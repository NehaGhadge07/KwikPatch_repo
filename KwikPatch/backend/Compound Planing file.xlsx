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1840" windowHeight="13020" tabRatio="600" firstSheet="1" activeTab="1" autoFilterDateGrouping="1"/>
  </bookViews>
  <sheets>
    <sheet xmlns:r="http://schemas.openxmlformats.org/officeDocument/2006/relationships" name="LVP + SVG" sheetId="1" state="hidden" r:id="rId1"/>
    <sheet xmlns:r="http://schemas.openxmlformats.org/officeDocument/2006/relationships" name="Sheet4" sheetId="2" state="visible" r:id="rId2"/>
    <sheet xmlns:r="http://schemas.openxmlformats.org/officeDocument/2006/relationships" name="Kwik Patch" sheetId="3" state="visible" r:id="rId3"/>
    <sheet xmlns:r="http://schemas.openxmlformats.org/officeDocument/2006/relationships" name="An Than Vietnam" sheetId="4" state="visible" r:id="rId4"/>
    <sheet xmlns:r="http://schemas.openxmlformats.org/officeDocument/2006/relationships" name="Final output like this" sheetId="5" state="visible" r:id="rId5"/>
    <sheet xmlns:r="http://schemas.openxmlformats.org/officeDocument/2006/relationships" name="VOLGA PI 055" sheetId="6" state="visible" r:id="rId6"/>
    <sheet xmlns:r="http://schemas.openxmlformats.org/officeDocument/2006/relationships" name="PC Products" sheetId="7" state="visible" r:id="rId7"/>
  </sheets>
  <definedNames>
    <definedName name="_xlnm._FilterDatabase" localSheetId="4" hidden="1">'Final output like this'!$A$3:$O$3</definedName>
  </definedNames>
  <calcPr calcId="18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0.000"/>
    <numFmt numFmtId="166" formatCode="0.0"/>
    <numFmt numFmtId="167" formatCode="0.0000"/>
  </numFmts>
  <fonts count="9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9"/>
    </font>
    <font>
      <name val="Arial"/>
      <family val="2"/>
      <sz val="8"/>
    </font>
    <font>
      <name val="Verdana"/>
      <family val="2"/>
      <sz val="10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2" fillId="0" borderId="0"/>
    <xf numFmtId="43" fontId="2" fillId="0" borderId="0"/>
    <xf numFmtId="0" fontId="1" fillId="0" borderId="0"/>
    <xf numFmtId="43" fontId="1" fillId="0" borderId="0"/>
    <xf numFmtId="0" fontId="8" fillId="0" borderId="0"/>
    <xf numFmtId="43" fontId="1" fillId="0" borderId="0"/>
  </cellStyleXfs>
  <cellXfs count="245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" fontId="0" fillId="0" borderId="0" pivotButton="0" quotePrefix="0" xfId="0"/>
    <xf numFmtId="0" fontId="3" fillId="0" borderId="0" pivotButton="0" quotePrefix="0" xfId="0"/>
    <xf numFmtId="0" fontId="4" fillId="0" borderId="1" applyAlignment="1" applyProtection="1" pivotButton="0" quotePrefix="0" xfId="0">
      <alignment horizontal="center" vertical="center" wrapText="1"/>
      <protection locked="0" hidden="0"/>
    </xf>
    <xf numFmtId="1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vertical="center"/>
      <protection locked="0" hidden="0"/>
    </xf>
    <xf numFmtId="0" fontId="5" fillId="0" borderId="2" applyAlignment="1" applyProtection="1" pivotButton="0" quotePrefix="0" xfId="0">
      <alignment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vertical="center"/>
      <protection locked="0" hidden="0"/>
    </xf>
    <xf numFmtId="0" fontId="5" fillId="0" borderId="1" applyAlignment="1" applyProtection="1" pivotButton="0" quotePrefix="0" xfId="0">
      <alignment vertical="center" wrapText="1"/>
      <protection locked="0" hidden="0"/>
    </xf>
    <xf numFmtId="1" fontId="5" fillId="0" borderId="1" applyAlignment="1" applyProtection="1" pivotButton="0" quotePrefix="0" xfId="1">
      <alignment vertical="center"/>
      <protection locked="0" hidden="0"/>
    </xf>
    <xf numFmtId="1" fontId="5" fillId="2" borderId="1" applyAlignment="1" pivotButton="0" quotePrefix="0" xfId="0">
      <alignment vertical="center"/>
    </xf>
    <xf numFmtId="2" fontId="5" fillId="2" borderId="1" applyAlignment="1" pivotButton="0" quotePrefix="0" xfId="0">
      <alignment vertical="center"/>
    </xf>
    <xf numFmtId="1" fontId="4" fillId="2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3" applyAlignment="1" applyProtection="1" pivotButton="0" quotePrefix="0" xfId="0">
      <alignment vertical="center"/>
      <protection locked="0" hidden="0"/>
    </xf>
    <xf numFmtId="0" fontId="5" fillId="0" borderId="3" applyAlignment="1" applyProtection="1" pivotButton="0" quotePrefix="0" xfId="0">
      <alignment vertical="center" wrapText="1"/>
      <protection locked="0" hidden="0"/>
    </xf>
    <xf numFmtId="0" fontId="5" fillId="0" borderId="4" applyAlignment="1" applyProtection="1" pivotButton="0" quotePrefix="0" xfId="0">
      <alignment vertical="center"/>
      <protection locked="0" hidden="0"/>
    </xf>
    <xf numFmtId="0" fontId="5" fillId="0" borderId="4" applyAlignment="1" applyProtection="1" pivotButton="0" quotePrefix="0" xfId="0">
      <alignment vertical="center" wrapText="1"/>
      <protection locked="0" hidden="0"/>
    </xf>
    <xf numFmtId="0" fontId="5" fillId="0" borderId="5" applyAlignment="1" applyProtection="1" pivotButton="0" quotePrefix="0" xfId="0">
      <alignment horizontal="center" vertical="center" wrapText="1"/>
      <protection locked="0" hidden="0"/>
    </xf>
    <xf numFmtId="0" fontId="5" fillId="0" borderId="5" applyAlignment="1" applyProtection="1" pivotButton="0" quotePrefix="0" xfId="0">
      <alignment vertical="center"/>
      <protection locked="0" hidden="0"/>
    </xf>
    <xf numFmtId="1" fontId="5" fillId="0" borderId="5" applyAlignment="1" applyProtection="1" pivotButton="0" quotePrefix="0" xfId="1">
      <alignment vertical="center"/>
      <protection locked="0" hidden="0"/>
    </xf>
    <xf numFmtId="1" fontId="5" fillId="2" borderId="5" applyAlignment="1" pivotButton="0" quotePrefix="0" xfId="0">
      <alignment vertical="center"/>
    </xf>
    <xf numFmtId="2" fontId="5" fillId="2" borderId="5" applyAlignment="1" pivotButton="0" quotePrefix="0" xfId="0">
      <alignment vertical="center"/>
    </xf>
    <xf numFmtId="1" fontId="4" fillId="2" borderId="5" applyAlignment="1" pivotButton="0" quotePrefix="0" xfId="0">
      <alignment vertical="center"/>
    </xf>
    <xf numFmtId="0" fontId="5" fillId="0" borderId="6" applyAlignment="1" applyProtection="1" pivotButton="0" quotePrefix="0" xfId="0">
      <alignment horizontal="center" vertical="center" wrapText="1"/>
      <protection locked="0" hidden="0"/>
    </xf>
    <xf numFmtId="0" fontId="5" fillId="0" borderId="6" applyAlignment="1" applyProtection="1" pivotButton="0" quotePrefix="0" xfId="0">
      <alignment vertical="center"/>
      <protection locked="0" hidden="0"/>
    </xf>
    <xf numFmtId="1" fontId="5" fillId="0" borderId="6" applyAlignment="1" applyProtection="1" pivotButton="0" quotePrefix="0" xfId="1">
      <alignment vertical="center"/>
      <protection locked="0" hidden="0"/>
    </xf>
    <xf numFmtId="1" fontId="5" fillId="2" borderId="6" applyAlignment="1" pivotButton="0" quotePrefix="0" xfId="0">
      <alignment vertical="center"/>
    </xf>
    <xf numFmtId="2" fontId="5" fillId="2" borderId="6" applyAlignment="1" pivotButton="0" quotePrefix="0" xfId="0">
      <alignment vertical="center"/>
    </xf>
    <xf numFmtId="1" fontId="4" fillId="2" borderId="6" applyAlignment="1" pivotButton="0" quotePrefix="0" xfId="0">
      <alignment vertical="center"/>
    </xf>
    <xf numFmtId="1" fontId="5" fillId="0" borderId="1" applyAlignment="1" applyProtection="1" pivotButton="0" quotePrefix="0" xfId="0">
      <alignment vertical="center"/>
      <protection locked="0" hidden="0"/>
    </xf>
    <xf numFmtId="0" fontId="5" fillId="0" borderId="7" applyAlignment="1" applyProtection="1" pivotButton="0" quotePrefix="0" xfId="0">
      <alignment vertical="center"/>
      <protection locked="0" hidden="0"/>
    </xf>
    <xf numFmtId="0" fontId="5" fillId="0" borderId="7" applyAlignment="1" applyProtection="1" pivotButton="0" quotePrefix="0" xfId="0">
      <alignment horizontal="center" vertical="center" wrapText="1"/>
      <protection locked="0" hidden="0"/>
    </xf>
    <xf numFmtId="0" fontId="5" fillId="0" borderId="8" applyAlignment="1" applyProtection="1" pivotButton="0" quotePrefix="0" xfId="0">
      <alignment vertical="center"/>
      <protection locked="0" hidden="0"/>
    </xf>
    <xf numFmtId="0" fontId="5" fillId="0" borderId="7" applyAlignment="1" applyProtection="1" pivotButton="0" quotePrefix="0" xfId="0">
      <alignment horizontal="right" vertical="center"/>
      <protection locked="0" hidden="0"/>
    </xf>
    <xf numFmtId="0" fontId="5" fillId="0" borderId="7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right" vertical="center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right" vertical="center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0" fontId="5" fillId="3" borderId="9" applyAlignment="1" applyProtection="1" pivotButton="0" quotePrefix="0" xfId="0">
      <alignment horizontal="center" vertical="center"/>
      <protection locked="0" hidden="0"/>
    </xf>
    <xf numFmtId="0" fontId="5" fillId="3" borderId="10" applyAlignment="1" applyProtection="1" pivotButton="0" quotePrefix="0" xfId="0">
      <alignment horizontal="center" vertical="center"/>
      <protection locked="0" hidden="0"/>
    </xf>
    <xf numFmtId="0" fontId="5" fillId="3" borderId="11" applyAlignment="1" applyProtection="1" pivotButton="0" quotePrefix="0" xfId="0">
      <alignment horizontal="center" vertical="center"/>
      <protection locked="0" hidden="0"/>
    </xf>
    <xf numFmtId="0" fontId="5" fillId="3" borderId="12" applyAlignment="1" applyProtection="1" pivotButton="0" quotePrefix="0" xfId="0">
      <alignment horizontal="center" vertical="center"/>
      <protection locked="0" hidden="0"/>
    </xf>
    <xf numFmtId="0" fontId="5" fillId="3" borderId="0" applyAlignment="1" applyProtection="1" pivotButton="0" quotePrefix="0" xfId="0">
      <alignment horizontal="center" vertical="center"/>
      <protection locked="0" hidden="0"/>
    </xf>
    <xf numFmtId="0" fontId="5" fillId="3" borderId="13" applyAlignment="1" applyProtection="1" pivotButton="0" quotePrefix="0" xfId="0">
      <alignment horizontal="center" vertical="center"/>
      <protection locked="0" hidden="0"/>
    </xf>
    <xf numFmtId="0" fontId="5" fillId="3" borderId="14" applyAlignment="1" applyProtection="1" pivotButton="0" quotePrefix="0" xfId="0">
      <alignment horizontal="center" vertical="center"/>
      <protection locked="0" hidden="0"/>
    </xf>
    <xf numFmtId="0" fontId="5" fillId="3" borderId="15" applyAlignment="1" applyProtection="1" pivotButton="0" quotePrefix="0" xfId="0">
      <alignment horizontal="center" vertical="center"/>
      <protection locked="0" hidden="0"/>
    </xf>
    <xf numFmtId="0" fontId="5" fillId="3" borderId="16" applyAlignment="1" applyProtection="1" pivotButton="0" quotePrefix="0" xfId="0">
      <alignment horizontal="center" vertical="center"/>
      <protection locked="0" hidden="0"/>
    </xf>
    <xf numFmtId="0" fontId="5" fillId="0" borderId="7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 wrapText="1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 wrapText="1"/>
      <protection locked="0" hidden="0"/>
    </xf>
    <xf numFmtId="0" fontId="5" fillId="0" borderId="6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4" borderId="3" applyAlignment="1" applyProtection="1" pivotButton="0" quotePrefix="0" xfId="0">
      <alignment horizontal="center" vertical="center"/>
      <protection locked="0" hidden="0"/>
    </xf>
    <xf numFmtId="0" fontId="5" fillId="4" borderId="3" applyAlignment="1" applyProtection="1" pivotButton="0" quotePrefix="0" xfId="0">
      <alignment horizontal="center" vertical="center" wrapText="1"/>
      <protection locked="0" hidden="0"/>
    </xf>
    <xf numFmtId="0" fontId="5" fillId="4" borderId="3" applyAlignment="1" applyProtection="1" pivotButton="0" quotePrefix="0" xfId="0">
      <alignment vertical="center"/>
      <protection locked="0" hidden="0"/>
    </xf>
    <xf numFmtId="1" fontId="5" fillId="4" borderId="3" applyAlignment="1" applyProtection="1" pivotButton="0" quotePrefix="0" xfId="1">
      <alignment vertical="center"/>
      <protection locked="0" hidden="0"/>
    </xf>
    <xf numFmtId="1" fontId="5" fillId="4" borderId="3" applyAlignment="1" pivotButton="0" quotePrefix="0" xfId="0">
      <alignment vertical="center"/>
    </xf>
    <xf numFmtId="2" fontId="5" fillId="4" borderId="3" applyAlignment="1" pivotButton="0" quotePrefix="0" xfId="0">
      <alignment vertical="center"/>
    </xf>
    <xf numFmtId="1" fontId="4" fillId="4" borderId="3" applyAlignment="1" pivotButton="0" quotePrefix="0" xfId="0">
      <alignment vertical="center"/>
    </xf>
    <xf numFmtId="164" fontId="5" fillId="0" borderId="6" applyAlignment="1" applyProtection="1" pivotButton="0" quotePrefix="0" xfId="1">
      <alignment vertical="center"/>
      <protection locked="0" hidden="0"/>
    </xf>
    <xf numFmtId="1" fontId="5" fillId="2" borderId="2" applyAlignment="1" pivotButton="0" quotePrefix="0" xfId="0">
      <alignment vertical="center"/>
    </xf>
    <xf numFmtId="2" fontId="5" fillId="2" borderId="2" applyAlignment="1" pivotButton="0" quotePrefix="0" xfId="0">
      <alignment vertical="center"/>
    </xf>
    <xf numFmtId="1" fontId="4" fillId="2" borderId="2" applyAlignment="1" pivotButton="0" quotePrefix="0" xfId="0">
      <alignment vertical="center"/>
    </xf>
    <xf numFmtId="0" fontId="5" fillId="0" borderId="3" applyAlignment="1" applyProtection="1" pivotButton="0" quotePrefix="0" xfId="0">
      <alignment horizontal="right" vertical="center"/>
      <protection locked="0" hidden="0"/>
    </xf>
    <xf numFmtId="1" fontId="5" fillId="2" borderId="8" applyAlignment="1" pivotButton="0" quotePrefix="0" xfId="0">
      <alignment vertical="center"/>
    </xf>
    <xf numFmtId="2" fontId="5" fillId="2" borderId="8" applyAlignment="1" pivotButton="0" quotePrefix="0" xfId="0">
      <alignment vertical="center"/>
    </xf>
    <xf numFmtId="1" fontId="4" fillId="2" borderId="8" applyAlignment="1" pivotButton="0" quotePrefix="0" xfId="0">
      <alignment vertical="center"/>
    </xf>
    <xf numFmtId="0" fontId="5" fillId="0" borderId="4" applyAlignment="1" applyProtection="1" pivotButton="0" quotePrefix="0" xfId="0">
      <alignment horizontal="right" vertical="center"/>
      <protection locked="0" hidden="0"/>
    </xf>
    <xf numFmtId="0" fontId="5" fillId="0" borderId="5" applyAlignment="1" applyProtection="1" pivotButton="0" quotePrefix="0" xfId="0">
      <alignment horizontal="right" vertical="center" wrapText="1"/>
      <protection locked="0" hidden="0"/>
    </xf>
    <xf numFmtId="0" fontId="5" fillId="0" borderId="8" applyAlignment="1" applyProtection="1" pivotButton="0" quotePrefix="0" xfId="0">
      <alignment horizontal="left" vertical="center"/>
      <protection locked="0" hidden="0"/>
    </xf>
    <xf numFmtId="1" fontId="5" fillId="0" borderId="8" applyAlignment="1" applyProtection="1" pivotButton="0" quotePrefix="0" xfId="1">
      <alignment vertical="center"/>
      <protection locked="0" hidden="0"/>
    </xf>
    <xf numFmtId="0" fontId="5" fillId="0" borderId="1" applyAlignment="1" applyProtection="1" pivotButton="0" quotePrefix="0" xfId="0">
      <alignment horizontal="left" vertical="center"/>
      <protection locked="0" hidden="0"/>
    </xf>
    <xf numFmtId="0" fontId="5" fillId="0" borderId="5" applyAlignment="1" applyProtection="1" pivotButton="0" quotePrefix="0" xfId="0">
      <alignment horizontal="left" vertical="center" wrapText="1"/>
      <protection locked="0" hidden="0"/>
    </xf>
    <xf numFmtId="0" fontId="5" fillId="5" borderId="7" applyAlignment="1" applyProtection="1" pivotButton="0" quotePrefix="0" xfId="0">
      <alignment horizontal="center" vertical="center" textRotation="255"/>
      <protection locked="0" hidden="0"/>
    </xf>
    <xf numFmtId="0" fontId="5" fillId="5" borderId="3" applyAlignment="1" applyProtection="1" pivotButton="0" quotePrefix="0" xfId="0">
      <alignment horizontal="center" vertical="center" textRotation="255"/>
      <protection locked="0" hidden="0"/>
    </xf>
    <xf numFmtId="0" fontId="5" fillId="5" borderId="4" applyAlignment="1" applyProtection="1" pivotButton="0" quotePrefix="0" xfId="0">
      <alignment horizontal="center" vertical="center" textRotation="255"/>
      <protection locked="0" hidden="0"/>
    </xf>
    <xf numFmtId="165" fontId="4" fillId="2" borderId="6" applyAlignment="1" pivotButton="0" quotePrefix="0" xfId="0">
      <alignment vertical="center"/>
    </xf>
    <xf numFmtId="0" fontId="5" fillId="0" borderId="12" applyAlignment="1" applyProtection="1" pivotButton="0" quotePrefix="0" xfId="0">
      <alignment horizontal="right" vertical="center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" fontId="5" fillId="0" borderId="0" applyAlignment="1" applyProtection="1" pivotButton="0" quotePrefix="0" xfId="1">
      <alignment vertical="center"/>
      <protection locked="0" hidden="0"/>
    </xf>
    <xf numFmtId="1" fontId="5" fillId="2" borderId="0" applyAlignment="1" pivotButton="0" quotePrefix="0" xfId="0">
      <alignment vertical="center"/>
    </xf>
    <xf numFmtId="2" fontId="5" fillId="2" borderId="0" applyAlignment="1" pivotButton="0" quotePrefix="0" xfId="0">
      <alignment vertical="center"/>
    </xf>
    <xf numFmtId="1" fontId="4" fillId="2" borderId="13" applyAlignment="1" pivotButton="0" quotePrefix="0" xfId="0">
      <alignment vertical="center"/>
    </xf>
    <xf numFmtId="0" fontId="5" fillId="0" borderId="12" applyAlignment="1" applyProtection="1" pivotButton="0" quotePrefix="0" xfId="0">
      <alignment horizontal="center" vertical="center"/>
      <protection locked="0" hidden="0"/>
    </xf>
    <xf numFmtId="0" fontId="5" fillId="3" borderId="12" applyAlignment="1" applyProtection="1" pivotButton="0" quotePrefix="0" xfId="0">
      <alignment horizontal="center" vertical="center"/>
      <protection locked="0" hidden="0"/>
    </xf>
    <xf numFmtId="0" fontId="5" fillId="3" borderId="0" applyAlignment="1" applyProtection="1" pivotButton="0" quotePrefix="0" xfId="0">
      <alignment horizontal="center" vertical="center"/>
      <protection locked="0" hidden="0"/>
    </xf>
    <xf numFmtId="0" fontId="5" fillId="3" borderId="13" applyAlignment="1" applyProtection="1" pivotButton="0" quotePrefix="0" xfId="0">
      <alignment horizontal="center" vertical="center"/>
      <protection locked="0" hidden="0"/>
    </xf>
    <xf numFmtId="0" fontId="5" fillId="0" borderId="7" applyAlignment="1" applyProtection="1" pivotButton="0" quotePrefix="0" xfId="0">
      <alignment horizontal="center" vertical="center" wrapText="1"/>
      <protection locked="0" hidden="0"/>
    </xf>
    <xf numFmtId="165" fontId="4" fillId="2" borderId="5" applyAlignment="1" pivotButton="0" quotePrefix="0" xfId="0">
      <alignment vertical="center"/>
    </xf>
    <xf numFmtId="166" fontId="4" fillId="2" borderId="6" applyAlignment="1" pivotButton="0" quotePrefix="0" xfId="0">
      <alignment vertical="center"/>
    </xf>
    <xf numFmtId="166" fontId="4" fillId="2" borderId="1" applyAlignment="1" pivotButton="0" quotePrefix="0" xfId="0">
      <alignment vertical="center"/>
    </xf>
    <xf numFmtId="166" fontId="4" fillId="2" borderId="5" applyAlignment="1" pivotButton="0" quotePrefix="0" xfId="0">
      <alignment vertical="center"/>
    </xf>
    <xf numFmtId="165" fontId="4" fillId="2" borderId="1" applyAlignment="1" pivotButton="0" quotePrefix="0" xfId="0">
      <alignment vertical="center"/>
    </xf>
    <xf numFmtId="167" fontId="4" fillId="2" borderId="6" applyAlignment="1" pivotButton="0" quotePrefix="0" xfId="0">
      <alignment vertical="center"/>
    </xf>
    <xf numFmtId="167" fontId="4" fillId="2" borderId="1" applyAlignment="1" pivotButton="0" quotePrefix="0" xfId="0">
      <alignment vertical="center"/>
    </xf>
    <xf numFmtId="0" fontId="5" fillId="0" borderId="7" applyAlignment="1" applyProtection="1" pivotButton="0" quotePrefix="0" xfId="0">
      <alignment horizontal="center" vertical="center" textRotation="45"/>
      <protection locked="0" hidden="0"/>
    </xf>
    <xf numFmtId="0" fontId="5" fillId="0" borderId="3" applyAlignment="1" applyProtection="1" pivotButton="0" quotePrefix="0" xfId="0">
      <alignment horizontal="center" vertical="center" textRotation="45"/>
      <protection locked="0" hidden="0"/>
    </xf>
    <xf numFmtId="0" fontId="5" fillId="0" borderId="4" applyAlignment="1" applyProtection="1" pivotButton="0" quotePrefix="0" xfId="0">
      <alignment horizontal="center" vertical="center" textRotation="45"/>
      <protection locked="0" hidden="0"/>
    </xf>
    <xf numFmtId="0" fontId="0" fillId="0" borderId="17" applyAlignment="1" applyProtection="1" pivotButton="0" quotePrefix="0" xfId="0">
      <alignment horizontal="center" vertical="center" textRotation="45"/>
      <protection locked="0" hidden="0"/>
    </xf>
    <xf numFmtId="0" fontId="5" fillId="0" borderId="11" applyAlignment="1" applyProtection="1" pivotButton="0" quotePrefix="0" xfId="0">
      <alignment horizontal="center" vertical="center" wrapText="1"/>
      <protection locked="0" hidden="0"/>
    </xf>
    <xf numFmtId="0" fontId="0" fillId="0" borderId="18" applyAlignment="1" applyProtection="1" pivotButton="0" quotePrefix="0" xfId="0">
      <alignment horizontal="center" vertical="center" textRotation="45"/>
      <protection locked="0" hidden="0"/>
    </xf>
    <xf numFmtId="0" fontId="5" fillId="0" borderId="13" applyAlignment="1" applyProtection="1" pivotButton="0" quotePrefix="0" xfId="0">
      <alignment horizontal="center" vertical="center" wrapText="1"/>
      <protection locked="0" hidden="0"/>
    </xf>
    <xf numFmtId="0" fontId="5" fillId="0" borderId="16" applyAlignment="1" applyProtection="1" pivotButton="0" quotePrefix="0" xfId="0">
      <alignment horizontal="center" vertical="center" wrapText="1"/>
      <protection locked="0" hidden="0"/>
    </xf>
    <xf numFmtId="0" fontId="0" fillId="0" borderId="19" applyAlignment="1" applyProtection="1" pivotButton="0" quotePrefix="0" xfId="0">
      <alignment horizontal="center" vertical="center" textRotation="45"/>
      <protection locked="0" hidden="0"/>
    </xf>
    <xf numFmtId="1" fontId="5" fillId="0" borderId="6" applyAlignment="1" applyProtection="1" pivotButton="0" quotePrefix="0" xfId="1">
      <alignment vertical="center"/>
      <protection locked="0" hidden="0"/>
    </xf>
    <xf numFmtId="1" fontId="5" fillId="0" borderId="5" applyAlignment="1" applyProtection="1" pivotButton="0" quotePrefix="0" xfId="1">
      <alignment vertical="center"/>
      <protection locked="0" hidden="0"/>
    </xf>
    <xf numFmtId="1" fontId="5" fillId="4" borderId="6" applyAlignment="1" applyProtection="1" pivotButton="0" quotePrefix="0" xfId="1">
      <alignment vertical="center"/>
      <protection locked="0" hidden="0"/>
    </xf>
    <xf numFmtId="1" fontId="5" fillId="4" borderId="1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horizontal="center" vertical="center" wrapText="1"/>
      <protection locked="0" hidden="0"/>
    </xf>
    <xf numFmtId="1" fontId="5" fillId="4" borderId="5" applyAlignment="1" applyProtection="1" pivotButton="0" quotePrefix="0" xfId="1">
      <alignment vertical="center"/>
      <protection locked="0" hidden="0"/>
    </xf>
    <xf numFmtId="0" fontId="7" fillId="0" borderId="5" applyAlignment="1" applyProtection="1" pivotButton="0" quotePrefix="0" xfId="0">
      <alignment horizontal="center" vertical="center" wrapText="1"/>
      <protection locked="0" hidden="0"/>
    </xf>
    <xf numFmtId="0" fontId="5" fillId="0" borderId="4" applyAlignment="1" applyProtection="1" pivotButton="0" quotePrefix="0" xfId="0">
      <alignment vertical="center"/>
      <protection locked="0" hidden="0"/>
    </xf>
    <xf numFmtId="1" fontId="5" fillId="0" borderId="5" applyAlignment="1" applyProtection="1" pivotButton="0" quotePrefix="0" xfId="0">
      <alignment vertical="center"/>
      <protection locked="0" hidden="0"/>
    </xf>
    <xf numFmtId="1" fontId="0" fillId="0" borderId="0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5" fillId="0" borderId="3" applyAlignment="1" applyProtection="1" pivotButton="0" quotePrefix="0" xfId="0">
      <alignment horizontal="center" vertical="center" wrapText="1"/>
      <protection locked="0" hidden="0"/>
    </xf>
    <xf numFmtId="0" fontId="5" fillId="0" borderId="3" applyAlignment="1" applyProtection="1" pivotButton="0" quotePrefix="0" xfId="0">
      <alignment vertical="center"/>
      <protection locked="0" hidden="0"/>
    </xf>
    <xf numFmtId="1" fontId="5" fillId="0" borderId="3" applyAlignment="1" applyProtection="1" pivotButton="0" quotePrefix="0" xfId="1">
      <alignment vertical="center"/>
      <protection locked="0" hidden="0"/>
    </xf>
    <xf numFmtId="1" fontId="5" fillId="2" borderId="3" applyAlignment="1" pivotButton="0" quotePrefix="0" xfId="0">
      <alignment vertical="center"/>
    </xf>
    <xf numFmtId="2" fontId="5" fillId="2" borderId="3" applyAlignment="1" pivotButton="0" quotePrefix="0" xfId="0">
      <alignment vertical="center"/>
    </xf>
    <xf numFmtId="1" fontId="4" fillId="2" borderId="3" applyAlignment="1" pivotButton="0" quotePrefix="0" xfId="0">
      <alignment vertical="center"/>
    </xf>
    <xf numFmtId="0" fontId="5" fillId="0" borderId="6" applyAlignment="1" applyProtection="1" pivotButton="0" quotePrefix="0" xfId="0">
      <alignment vertical="center" wrapText="1"/>
      <protection locked="0" hidden="0"/>
    </xf>
    <xf numFmtId="0" fontId="5" fillId="0" borderId="5" applyAlignment="1" applyProtection="1" pivotButton="0" quotePrefix="0" xfId="0">
      <alignment vertical="center" wrapText="1"/>
      <protection locked="0" hidden="0"/>
    </xf>
    <xf numFmtId="0" fontId="0" fillId="0" borderId="3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5" fillId="0" borderId="20" applyAlignment="1" applyProtection="1" pivotButton="0" quotePrefix="0" xfId="0">
      <alignment vertical="center"/>
      <protection locked="0" hidden="0"/>
    </xf>
    <xf numFmtId="0" fontId="5" fillId="0" borderId="22" applyAlignment="1" applyProtection="1" pivotButton="0" quotePrefix="0" xfId="0">
      <alignment horizontal="center" vertical="center" wrapText="1"/>
      <protection locked="0" hidden="0"/>
    </xf>
    <xf numFmtId="0" fontId="5" fillId="0" borderId="20" applyAlignment="1" applyProtection="1" pivotButton="0" quotePrefix="0" xfId="0">
      <alignment horizontal="right" vertical="center"/>
      <protection locked="0" hidden="0"/>
    </xf>
    <xf numFmtId="0" fontId="5" fillId="0" borderId="20" applyAlignment="1" applyProtection="1" pivotButton="0" quotePrefix="0" xfId="0">
      <alignment horizontal="left" vertical="center" wrapText="1"/>
      <protection locked="0" hidden="0"/>
    </xf>
    <xf numFmtId="0" fontId="5" fillId="3" borderId="20" applyAlignment="1" applyProtection="1" pivotButton="0" quotePrefix="0" xfId="0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5" fillId="0" borderId="20" applyAlignment="1" applyProtection="1" pivotButton="0" quotePrefix="0" xfId="0">
      <alignment horizontal="center" vertical="center"/>
      <protection locked="0" hidden="0"/>
    </xf>
    <xf numFmtId="0" fontId="5" fillId="0" borderId="20" applyAlignment="1" applyProtection="1" pivotButton="0" quotePrefix="0" xfId="0">
      <alignment horizontal="center" vertical="center" wrapText="1"/>
      <protection locked="0" hidden="0"/>
    </xf>
    <xf numFmtId="164" fontId="5" fillId="0" borderId="6" applyAlignment="1" applyProtection="1" pivotButton="0" quotePrefix="0" xfId="1">
      <alignment vertical="center"/>
      <protection locked="0" hidden="0"/>
    </xf>
    <xf numFmtId="0" fontId="5" fillId="5" borderId="20" applyAlignment="1" applyProtection="1" pivotButton="0" quotePrefix="0" xfId="0">
      <alignment horizontal="center" vertical="center" textRotation="255"/>
      <protection locked="0" hidden="0"/>
    </xf>
    <xf numFmtId="165" fontId="4" fillId="2" borderId="6" applyAlignment="1" pivotButton="0" quotePrefix="0" xfId="0">
      <alignment vertical="center"/>
    </xf>
    <xf numFmtId="165" fontId="4" fillId="2" borderId="5" applyAlignment="1" pivotButton="0" quotePrefix="0" xfId="0">
      <alignment vertical="center"/>
    </xf>
    <xf numFmtId="166" fontId="4" fillId="2" borderId="6" applyAlignment="1" pivotButton="0" quotePrefix="0" xfId="0">
      <alignment vertical="center"/>
    </xf>
    <xf numFmtId="166" fontId="4" fillId="2" borderId="1" applyAlignment="1" pivotButton="0" quotePrefix="0" xfId="0">
      <alignment vertical="center"/>
    </xf>
    <xf numFmtId="166" fontId="4" fillId="2" borderId="5" applyAlignment="1" pivotButton="0" quotePrefix="0" xfId="0">
      <alignment vertical="center"/>
    </xf>
    <xf numFmtId="165" fontId="4" fillId="2" borderId="1" applyAlignment="1" pivotButton="0" quotePrefix="0" xfId="0">
      <alignment vertical="center"/>
    </xf>
    <xf numFmtId="0" fontId="5" fillId="0" borderId="20" applyAlignment="1" applyProtection="1" pivotButton="0" quotePrefix="0" xfId="0">
      <alignment horizontal="center" vertical="center" textRotation="45"/>
      <protection locked="0" hidden="0"/>
    </xf>
    <xf numFmtId="0" fontId="0" fillId="0" borderId="25" applyAlignment="1" applyProtection="1" pivotButton="0" quotePrefix="0" xfId="0">
      <alignment horizontal="center" vertical="center" textRotation="45"/>
      <protection locked="0" hidden="0"/>
    </xf>
    <xf numFmtId="0" fontId="5" fillId="0" borderId="23" applyAlignment="1" applyProtection="1" pivotButton="0" quotePrefix="0" xfId="0">
      <alignment horizontal="center" vertical="center" wrapText="1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1" fontId="5" fillId="0" borderId="1" applyAlignment="1" pivotButton="0" quotePrefix="0" xfId="0">
      <alignment vertical="center"/>
    </xf>
    <xf numFmtId="0" fontId="2" fillId="0" borderId="3" pivotButton="0" quotePrefix="0" xfId="0"/>
    <xf numFmtId="0" fontId="2" fillId="0" borderId="27" pivotButton="0" quotePrefix="0" xfId="0"/>
    <xf numFmtId="0" fontId="2" fillId="0" borderId="4" pivotButton="0" quotePrefix="0" xfId="0"/>
    <xf numFmtId="0" fontId="5" fillId="0" borderId="5" applyAlignment="1" pivotButton="0" quotePrefix="0" xfId="0">
      <alignment horizontal="center" vertical="center" wrapText="1"/>
    </xf>
    <xf numFmtId="1" fontId="5" fillId="0" borderId="5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vertical="center"/>
    </xf>
    <xf numFmtId="1" fontId="5" fillId="0" borderId="6" applyAlignment="1" pivotButton="0" quotePrefix="0" xfId="0">
      <alignment vertical="center"/>
    </xf>
    <xf numFmtId="0" fontId="2" fillId="0" borderId="6" pivotButton="0" quotePrefix="0" xfId="0"/>
    <xf numFmtId="0" fontId="5" fillId="0" borderId="20" applyAlignment="1" pivotButton="0" quotePrefix="0" xfId="0">
      <alignment vertical="center"/>
    </xf>
    <xf numFmtId="0" fontId="5" fillId="0" borderId="22" applyAlignment="1" pivotButton="0" quotePrefix="0" xfId="0">
      <alignment horizontal="center" vertical="center" wrapText="1"/>
    </xf>
    <xf numFmtId="0" fontId="5" fillId="0" borderId="8" applyAlignment="1" pivotButton="0" quotePrefix="0" xfId="0">
      <alignment vertical="center"/>
    </xf>
    <xf numFmtId="0" fontId="5" fillId="0" borderId="20" applyAlignment="1" pivotButton="0" quotePrefix="0" xfId="0">
      <alignment horizontal="right" vertical="center"/>
    </xf>
    <xf numFmtId="0" fontId="5" fillId="0" borderId="2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/>
    </xf>
    <xf numFmtId="0" fontId="2" fillId="0" borderId="10" pivotButton="0" quotePrefix="0" xfId="0"/>
    <xf numFmtId="0" fontId="2" fillId="0" borderId="11" pivotButton="0" quotePrefix="0" xfId="0"/>
    <xf numFmtId="0" fontId="2" fillId="0" borderId="21" pivotButton="0" quotePrefix="0" xfId="0"/>
    <xf numFmtId="0" fontId="2" fillId="0" borderId="0" pivotButton="0" quotePrefix="0" xfId="0"/>
    <xf numFmtId="0" fontId="2" fillId="0" borderId="24" pivotButton="0" quotePrefix="0" xfId="0"/>
    <xf numFmtId="0" fontId="2" fillId="0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5" fillId="0" borderId="20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 wrapText="1"/>
    </xf>
    <xf numFmtId="0" fontId="5" fillId="4" borderId="3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0" fontId="5" fillId="0" borderId="3" applyAlignment="1" pivotButton="0" quotePrefix="0" xfId="0">
      <alignment horizontal="right" vertical="center"/>
    </xf>
    <xf numFmtId="0" fontId="5" fillId="0" borderId="4" applyAlignment="1" pivotButton="0" quotePrefix="0" xfId="0">
      <alignment horizontal="right" vertical="center"/>
    </xf>
    <xf numFmtId="0" fontId="5" fillId="0" borderId="5" applyAlignment="1" pivotButton="0" quotePrefix="0" xfId="0">
      <alignment horizontal="right" vertical="center" wrapText="1"/>
    </xf>
    <xf numFmtId="0" fontId="5" fillId="0" borderId="8" applyAlignment="1" pivotButton="0" quotePrefix="0" xfId="0">
      <alignment horizontal="left" vertical="center"/>
    </xf>
    <xf numFmtId="1" fontId="5" fillId="0" borderId="8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 wrapText="1"/>
    </xf>
    <xf numFmtId="0" fontId="5" fillId="5" borderId="20" applyAlignment="1" pivotButton="0" quotePrefix="0" xfId="0">
      <alignment horizontal="center" vertical="center" textRotation="255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 vertical="center"/>
    </xf>
    <xf numFmtId="0" fontId="5" fillId="3" borderId="12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3" borderId="13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textRotation="45"/>
    </xf>
    <xf numFmtId="0" fontId="2" fillId="0" borderId="25" applyAlignment="1" pivotButton="0" quotePrefix="0" xfId="0">
      <alignment horizontal="center" vertical="center" textRotation="45"/>
    </xf>
    <xf numFmtId="0" fontId="5" fillId="0" borderId="23" applyAlignment="1" pivotButton="0" quotePrefix="0" xfId="0">
      <alignment horizontal="center" vertical="center" wrapText="1"/>
    </xf>
    <xf numFmtId="0" fontId="2" fillId="0" borderId="18" pivotButton="0" quotePrefix="0" xfId="0"/>
    <xf numFmtId="0" fontId="2" fillId="0" borderId="19" pivotButton="0" quotePrefix="0" xfId="0"/>
    <xf numFmtId="1" fontId="5" fillId="4" borderId="6" applyAlignment="1" pivotButton="0" quotePrefix="0" xfId="0">
      <alignment vertical="center"/>
    </xf>
    <xf numFmtId="1" fontId="5" fillId="4" borderId="1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 wrapText="1"/>
    </xf>
    <xf numFmtId="1" fontId="5" fillId="4" borderId="5" applyAlignment="1" pivotButton="0" quotePrefix="0" xfId="0">
      <alignment vertical="center"/>
    </xf>
    <xf numFmtId="0" fontId="7" fillId="0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7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</cellXfs>
  <cellStyles count="6">
    <cellStyle name="Normal" xfId="0" builtinId="0"/>
    <cellStyle name="Comma" xfId="1" builtinId="3"/>
    <cellStyle name="Normal 2" xfId="2"/>
    <cellStyle name="Comma 2" xfId="3"/>
    <cellStyle name="Normal 3" xfId="4"/>
    <cellStyle name="Comma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719"/>
  <sheetViews>
    <sheetView zoomScaleNormal="100" workbookViewId="0">
      <pane ySplit="1" topLeftCell="A446" activePane="bottomLeft" state="frozen"/>
      <selection pane="bottomLeft" activeCell="B504" sqref="B504:B506"/>
    </sheetView>
  </sheetViews>
  <sheetFormatPr baseColWidth="8" defaultRowHeight="12.75"/>
  <cols>
    <col width="7.85546875" customWidth="1" style="1" min="1" max="1"/>
    <col width="11.5703125" customWidth="1" style="1" min="2" max="2"/>
    <col width="12.7109375" customWidth="1" style="1" min="3" max="3"/>
    <col width="9.28515625" customWidth="1" style="1" min="4" max="4"/>
    <col width="6.42578125" bestFit="1" customWidth="1" style="1" min="5" max="5"/>
    <col width="8.5703125" bestFit="1" customWidth="1" style="1" min="6" max="6"/>
    <col width="20.7109375" customWidth="1" style="1" min="7" max="7"/>
    <col width="12.7109375" customWidth="1" style="1" min="8" max="8"/>
    <col width="12.5703125" customWidth="1" style="1" min="9" max="9"/>
    <col width="6.7109375" bestFit="1" customWidth="1" style="1" min="10" max="10"/>
    <col width="12.85546875" customWidth="1" style="123" min="11" max="11"/>
    <col width="10.7109375" customWidth="1" style="2" min="12" max="12"/>
    <col width="6.7109375" bestFit="1" customWidth="1" min="13" max="13"/>
    <col width="11.28515625" customWidth="1" min="14" max="14"/>
    <col width="9.85546875" bestFit="1" customWidth="1" style="3" min="15" max="15"/>
  </cols>
  <sheetData>
    <row r="1" ht="45" customFormat="1" customHeight="1" s="7">
      <c r="A1" s="4" t="inlineStr">
        <is>
          <t>Sr No</t>
        </is>
      </c>
      <c r="B1" s="4" t="inlineStr">
        <is>
          <t>Item Name</t>
        </is>
      </c>
      <c r="C1" s="4" t="inlineStr">
        <is>
          <t>Compound</t>
        </is>
      </c>
      <c r="D1" s="4" t="inlineStr">
        <is>
          <t>Side</t>
        </is>
      </c>
      <c r="E1" s="4" t="inlineStr">
        <is>
          <t>Thou</t>
        </is>
      </c>
      <c r="F1" s="4" t="inlineStr">
        <is>
          <t>Die Type</t>
        </is>
      </c>
      <c r="G1" s="4" t="inlineStr">
        <is>
          <t>Die Name</t>
        </is>
      </c>
      <c r="H1" s="4" t="inlineStr">
        <is>
          <t>Die Size in MM</t>
        </is>
      </c>
      <c r="I1" s="4" t="inlineStr">
        <is>
          <t>Comp Sheet Size in Inch</t>
        </is>
      </c>
      <c r="J1" s="4" t="inlineStr">
        <is>
          <t>Per sheet item</t>
        </is>
      </c>
      <c r="K1" s="4" t="inlineStr">
        <is>
          <t>order</t>
        </is>
      </c>
      <c r="L1" s="5" t="inlineStr">
        <is>
          <t>Required sheet</t>
        </is>
      </c>
      <c r="M1" s="6" t="inlineStr">
        <is>
          <t>Per sheet Gm</t>
        </is>
      </c>
      <c r="N1" s="6" t="inlineStr">
        <is>
          <t>Per sheet Weight in Gm</t>
        </is>
      </c>
      <c r="O1" s="6" t="inlineStr">
        <is>
          <t>Total kg</t>
        </is>
      </c>
    </row>
    <row r="2" ht="15" customFormat="1" customHeight="1" s="7">
      <c r="A2" s="124" t="n"/>
      <c r="B2" s="12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5" t="n"/>
      <c r="M2" s="6" t="n"/>
      <c r="N2" s="6" t="n"/>
      <c r="O2" s="6" t="n"/>
    </row>
    <row r="3" ht="17.25" customFormat="1" customHeight="1" s="17">
      <c r="A3" s="23" t="n">
        <v>1</v>
      </c>
      <c r="B3" s="132" t="inlineStr">
        <is>
          <t>MCX 08</t>
        </is>
      </c>
      <c r="C3" s="59" t="inlineStr">
        <is>
          <t>LVP</t>
        </is>
      </c>
      <c r="D3" s="11" t="inlineStr">
        <is>
          <t>Top</t>
        </is>
      </c>
      <c r="E3" s="11" t="n">
        <v>55</v>
      </c>
      <c r="F3" s="11" t="inlineStr">
        <is>
          <t>Single</t>
        </is>
      </c>
      <c r="G3" s="11" t="inlineStr">
        <is>
          <t>GNR 8 LVP</t>
        </is>
      </c>
      <c r="H3" s="12" t="inlineStr">
        <is>
          <t>35 X 55</t>
        </is>
      </c>
      <c r="I3" s="11" t="inlineStr">
        <is>
          <t>21 X 21</t>
        </is>
      </c>
      <c r="J3" s="11" t="n">
        <v>88</v>
      </c>
      <c r="K3" s="13" t="n"/>
      <c r="L3" s="14">
        <f>K3/J3</f>
        <v/>
      </c>
      <c r="M3" s="15" t="n">
        <v>1.042553191489362</v>
      </c>
      <c r="N3" s="14">
        <f>LEFT(I3,FIND("X",I3)-1)*RIGHT(I3,LEN(I3)-FIND("X",I3)-1)*M3</f>
        <v/>
      </c>
      <c r="O3" s="16">
        <f>(N3*L3)/1000</f>
        <v/>
      </c>
    </row>
    <row r="4" ht="17.25" customFormat="1" customHeight="1" s="17">
      <c r="A4" s="133" t="n"/>
      <c r="B4" s="133" t="n"/>
      <c r="C4" s="134" t="n"/>
      <c r="D4" s="11" t="inlineStr">
        <is>
          <t>Bottom</t>
        </is>
      </c>
      <c r="E4" s="11" t="n"/>
      <c r="F4" s="11" t="n"/>
      <c r="G4" s="11" t="n"/>
      <c r="H4" s="11" t="n"/>
      <c r="I4" s="11" t="n"/>
      <c r="J4" s="11" t="n"/>
      <c r="K4" s="13" t="n"/>
      <c r="L4" s="14">
        <f>K4/J4</f>
        <v/>
      </c>
      <c r="M4" s="15" t="e">
        <v>#N/A</v>
      </c>
      <c r="N4" s="14">
        <f>LEFT(I4,FIND("X",I4)-1)*RIGHT(I4,LEN(I4)-FIND("X",I4)-1)*M4</f>
        <v/>
      </c>
      <c r="O4" s="16">
        <f>(N4*L4)/1000</f>
        <v/>
      </c>
    </row>
    <row r="5" ht="17.25" customFormat="1" customHeight="1" s="17" thickBot="1">
      <c r="A5" s="135" t="n"/>
      <c r="B5" s="135" t="n"/>
      <c r="C5" s="22" t="inlineStr">
        <is>
          <t>SVG</t>
        </is>
      </c>
      <c r="D5" s="23" t="inlineStr">
        <is>
          <t>-</t>
        </is>
      </c>
      <c r="E5" s="23" t="n">
        <v>22</v>
      </c>
      <c r="F5" s="23" t="inlineStr">
        <is>
          <t>Single</t>
        </is>
      </c>
      <c r="G5" s="23" t="inlineStr">
        <is>
          <t>GNR 8 SVG</t>
        </is>
      </c>
      <c r="H5" s="23" t="inlineStr">
        <is>
          <t>45 X 65</t>
        </is>
      </c>
      <c r="I5" s="23" t="inlineStr">
        <is>
          <t>21 X 22</t>
        </is>
      </c>
      <c r="J5" s="23" t="n">
        <v>70</v>
      </c>
      <c r="K5" s="115" t="n"/>
      <c r="L5" s="25">
        <f>K5/J5</f>
        <v/>
      </c>
      <c r="M5" s="26" t="n">
        <v>0.4398148148148148</v>
      </c>
      <c r="N5" s="25">
        <f>LEFT(I5,FIND("X",I5)-1)*RIGHT(I5,LEN(I5)-FIND("X",I5)-1)*M5</f>
        <v/>
      </c>
      <c r="O5" s="27">
        <f>(N5*L5)/1000</f>
        <v/>
      </c>
    </row>
    <row r="6" ht="17.25" customFormat="1" customHeight="1" s="17">
      <c r="A6" s="121" t="n">
        <v>2</v>
      </c>
      <c r="B6" s="21" t="inlineStr">
        <is>
          <t>MCX 10</t>
        </is>
      </c>
      <c r="C6" s="58" t="inlineStr">
        <is>
          <t>LVP</t>
        </is>
      </c>
      <c r="D6" s="29" t="inlineStr">
        <is>
          <t>Top</t>
        </is>
      </c>
      <c r="E6" s="29" t="n">
        <v>60</v>
      </c>
      <c r="F6" s="29" t="inlineStr">
        <is>
          <t>Passing</t>
        </is>
      </c>
      <c r="G6" s="29" t="inlineStr">
        <is>
          <t>MCX 10 LVP</t>
        </is>
      </c>
      <c r="H6" s="29" t="inlineStr">
        <is>
          <t>40 X 60</t>
        </is>
      </c>
      <c r="I6" s="29" t="inlineStr">
        <is>
          <t>18.5 X 24</t>
        </is>
      </c>
      <c r="J6" s="29" t="n">
        <v>90</v>
      </c>
      <c r="K6" s="114" t="n">
        <v>28800</v>
      </c>
      <c r="L6" s="31">
        <f>K6/J6</f>
        <v/>
      </c>
      <c r="M6" s="32" t="n">
        <v>1.103988603988604</v>
      </c>
      <c r="N6" s="31">
        <f>LEFT(I6,FIND("X",I6)-1)*RIGHT(I6,LEN(I6)-FIND("X",I6)-1)*M6</f>
        <v/>
      </c>
      <c r="O6" s="33">
        <f>(N6*L6)/1000</f>
        <v/>
      </c>
    </row>
    <row r="7" ht="17.25" customFormat="1" customHeight="1" s="17">
      <c r="A7" s="133" t="n"/>
      <c r="B7" s="133" t="n"/>
      <c r="C7" s="136" t="n"/>
      <c r="D7" s="11" t="inlineStr">
        <is>
          <t>Bottom</t>
        </is>
      </c>
      <c r="E7" s="11" t="n"/>
      <c r="F7" s="11" t="n"/>
      <c r="G7" s="11" t="n"/>
      <c r="H7" s="11" t="n"/>
      <c r="I7" s="11" t="n"/>
      <c r="J7" s="11" t="n"/>
      <c r="K7" s="114" t="n">
        <v>28800</v>
      </c>
      <c r="L7" s="14">
        <f>K7/J7</f>
        <v/>
      </c>
      <c r="M7" s="15" t="e">
        <v>#N/A</v>
      </c>
      <c r="N7" s="14">
        <f>LEFT(I7,FIND("X",I7)-1)*RIGHT(I7,LEN(I7)-FIND("X",I7)-1)*M7</f>
        <v/>
      </c>
      <c r="O7" s="16">
        <f>(N7*L7)/1000</f>
        <v/>
      </c>
    </row>
    <row r="8" ht="17.25" customFormat="1" customHeight="1" s="17" thickBot="1">
      <c r="A8" s="135" t="n"/>
      <c r="B8" s="135" t="n"/>
      <c r="C8" s="22" t="inlineStr">
        <is>
          <t>SVG</t>
        </is>
      </c>
      <c r="D8" s="23" t="inlineStr">
        <is>
          <t>-</t>
        </is>
      </c>
      <c r="E8" s="23" t="n">
        <v>22</v>
      </c>
      <c r="F8" s="23" t="inlineStr">
        <is>
          <t>Passing</t>
        </is>
      </c>
      <c r="G8" s="23" t="inlineStr">
        <is>
          <t>MCX 10 SVG</t>
        </is>
      </c>
      <c r="H8" s="23" t="inlineStr">
        <is>
          <t>50 X 70</t>
        </is>
      </c>
      <c r="I8" s="23" t="inlineStr">
        <is>
          <t>18.5 X 25</t>
        </is>
      </c>
      <c r="J8" s="23" t="n">
        <v>66</v>
      </c>
      <c r="K8" s="114" t="n">
        <v>28800</v>
      </c>
      <c r="L8" s="25">
        <f>K8/J8</f>
        <v/>
      </c>
      <c r="M8" s="26" t="n">
        <v>0.4398148148148148</v>
      </c>
      <c r="N8" s="25">
        <f>LEFT(I8,FIND("X",I8)-1)*RIGHT(I8,LEN(I8)-FIND("X",I8)-1)*M8</f>
        <v/>
      </c>
      <c r="O8" s="27">
        <f>(N8*L8)/1000</f>
        <v/>
      </c>
    </row>
    <row r="9" ht="15" customHeight="1">
      <c r="A9" s="121" t="n">
        <v>3</v>
      </c>
      <c r="B9" s="21" t="inlineStr">
        <is>
          <t>MCX 12</t>
        </is>
      </c>
      <c r="C9" s="58" t="inlineStr">
        <is>
          <t>LVP</t>
        </is>
      </c>
      <c r="D9" s="29" t="inlineStr">
        <is>
          <t>Top</t>
        </is>
      </c>
      <c r="E9" s="29" t="n">
        <v>60</v>
      </c>
      <c r="F9" s="29" t="inlineStr">
        <is>
          <t>Passing</t>
        </is>
      </c>
      <c r="G9" s="29" t="inlineStr">
        <is>
          <t xml:space="preserve">MCX 12 LVP </t>
        </is>
      </c>
      <c r="H9" s="29" t="inlineStr">
        <is>
          <t>50 X 90</t>
        </is>
      </c>
      <c r="I9" s="29" t="inlineStr">
        <is>
          <t>18.5 X 23.5</t>
        </is>
      </c>
      <c r="J9" s="29" t="n">
        <v>48</v>
      </c>
      <c r="K9" s="114" t="n">
        <v>1800</v>
      </c>
      <c r="L9" s="31">
        <f>K9/J9</f>
        <v/>
      </c>
      <c r="M9" s="32" t="n">
        <v>1.103988603988604</v>
      </c>
      <c r="N9" s="31">
        <f>LEFT(I9,FIND("X",I9)-1)*RIGHT(I9,LEN(I9)-FIND("X",I9)-1)*M9</f>
        <v/>
      </c>
      <c r="O9" s="33">
        <f>(N9*L9)/1000</f>
        <v/>
      </c>
    </row>
    <row r="10" ht="15" customHeight="1">
      <c r="A10" s="133" t="n"/>
      <c r="B10" s="133" t="n"/>
      <c r="C10" s="136" t="n"/>
      <c r="D10" s="11" t="inlineStr">
        <is>
          <t>Bottom</t>
        </is>
      </c>
      <c r="E10" s="11" t="n"/>
      <c r="F10" s="11" t="n"/>
      <c r="G10" s="11" t="n"/>
      <c r="H10" s="11" t="n"/>
      <c r="I10" s="11" t="n"/>
      <c r="J10" s="11" t="n"/>
      <c r="K10" s="34" t="n">
        <v>1800</v>
      </c>
      <c r="L10" s="14">
        <f>K10/J10</f>
        <v/>
      </c>
      <c r="M10" s="15" t="e">
        <v>#N/A</v>
      </c>
      <c r="N10" s="14">
        <f>LEFT(I10,FIND("X",I10)-1)*RIGHT(I10,LEN(I10)-FIND("X",I10)-1)*M10</f>
        <v/>
      </c>
      <c r="O10" s="16">
        <f>(N10*L10)/1000</f>
        <v/>
      </c>
    </row>
    <row r="11" ht="15.75" customHeight="1" thickBot="1">
      <c r="A11" s="135" t="n"/>
      <c r="B11" s="135" t="n"/>
      <c r="C11" s="22" t="inlineStr">
        <is>
          <t>SVG</t>
        </is>
      </c>
      <c r="D11" s="23" t="inlineStr">
        <is>
          <t>-</t>
        </is>
      </c>
      <c r="E11" s="23" t="n">
        <v>22</v>
      </c>
      <c r="F11" s="23" t="inlineStr">
        <is>
          <t>Passing</t>
        </is>
      </c>
      <c r="G11" s="23" t="inlineStr">
        <is>
          <t>MCX 12 SVG</t>
        </is>
      </c>
      <c r="H11" s="23" t="inlineStr">
        <is>
          <t>61 X 101</t>
        </is>
      </c>
      <c r="I11" s="23" t="inlineStr">
        <is>
          <t>19 X 21.5</t>
        </is>
      </c>
      <c r="J11" s="23" t="n">
        <v>35</v>
      </c>
      <c r="K11" s="115" t="n">
        <v>1800</v>
      </c>
      <c r="L11" s="25">
        <f>K11/J11</f>
        <v/>
      </c>
      <c r="M11" s="26" t="n">
        <v>0.4398148148148148</v>
      </c>
      <c r="N11" s="25">
        <f>LEFT(I11,FIND("X",I11)-1)*RIGHT(I11,LEN(I11)-FIND("X",I11)-1)*M11</f>
        <v/>
      </c>
      <c r="O11" s="27">
        <f>(N11*L11)/1000</f>
        <v/>
      </c>
    </row>
    <row r="12" ht="15" customHeight="1">
      <c r="A12" s="137" t="n">
        <v>4</v>
      </c>
      <c r="B12" s="21" t="inlineStr">
        <is>
          <t>MCX 14</t>
        </is>
      </c>
      <c r="C12" s="138" t="inlineStr">
        <is>
          <t>LVP</t>
        </is>
      </c>
      <c r="D12" s="29" t="inlineStr">
        <is>
          <t>Top</t>
        </is>
      </c>
      <c r="E12" s="29" t="n">
        <v>60</v>
      </c>
      <c r="F12" s="37" t="inlineStr">
        <is>
          <t>Passing</t>
        </is>
      </c>
      <c r="G12" s="29" t="inlineStr">
        <is>
          <t>MCX 14 LVP</t>
        </is>
      </c>
      <c r="H12" s="29" t="inlineStr">
        <is>
          <t>60 X 114</t>
        </is>
      </c>
      <c r="I12" s="29" t="inlineStr">
        <is>
          <t>19 X 24.5</t>
        </is>
      </c>
      <c r="J12" s="29" t="n">
        <v>35</v>
      </c>
      <c r="K12" s="114" t="n">
        <v>1000</v>
      </c>
      <c r="L12" s="31">
        <f>K12/J12</f>
        <v/>
      </c>
      <c r="M12" s="32" t="n">
        <v>1.103988603988604</v>
      </c>
      <c r="N12" s="31">
        <f>LEFT(I12,FIND("X",I12)-1)*RIGHT(I12,LEN(I12)-FIND("X",I12)-1)*M12</f>
        <v/>
      </c>
      <c r="O12" s="33">
        <f>(N12*L12)/1000</f>
        <v/>
      </c>
    </row>
    <row r="13" ht="15" customHeight="1">
      <c r="A13" s="133" t="n"/>
      <c r="B13" s="133" t="n"/>
      <c r="C13" s="136" t="n"/>
      <c r="D13" s="11" t="inlineStr">
        <is>
          <t>Bottom</t>
        </is>
      </c>
      <c r="E13" s="11" t="n"/>
      <c r="F13" s="29" t="n"/>
      <c r="G13" s="11" t="n"/>
      <c r="H13" s="11" t="n"/>
      <c r="I13" s="11" t="n"/>
      <c r="J13" s="11" t="n"/>
      <c r="K13" s="34" t="n">
        <v>1000</v>
      </c>
      <c r="L13" s="14">
        <f>K13/J13</f>
        <v/>
      </c>
      <c r="M13" s="15" t="e">
        <v>#N/A</v>
      </c>
      <c r="N13" s="14">
        <f>LEFT(I13,FIND("X",I13)-1)*RIGHT(I13,LEN(I13)-FIND("X",I13)-1)*M13</f>
        <v/>
      </c>
      <c r="O13" s="16">
        <f>(N13*L13)/1000</f>
        <v/>
      </c>
    </row>
    <row r="14" ht="15.75" customHeight="1" thickBot="1">
      <c r="A14" s="135" t="n"/>
      <c r="B14" s="135" t="n"/>
      <c r="C14" s="22" t="inlineStr">
        <is>
          <t>SVG</t>
        </is>
      </c>
      <c r="D14" s="23" t="inlineStr">
        <is>
          <t>-</t>
        </is>
      </c>
      <c r="E14" s="23" t="n">
        <v>22</v>
      </c>
      <c r="F14" s="23" t="inlineStr">
        <is>
          <t>Passing</t>
        </is>
      </c>
      <c r="G14" s="23" t="inlineStr">
        <is>
          <t>MCX 14 SVG</t>
        </is>
      </c>
      <c r="H14" s="23" t="inlineStr">
        <is>
          <t>70 X 125</t>
        </is>
      </c>
      <c r="I14" s="23" t="inlineStr">
        <is>
          <t>21.5 X 24.5</t>
        </is>
      </c>
      <c r="J14" s="23" t="n">
        <v>32</v>
      </c>
      <c r="K14" s="115" t="n">
        <v>1000</v>
      </c>
      <c r="L14" s="25">
        <f>K14/J14</f>
        <v/>
      </c>
      <c r="M14" s="26" t="n">
        <v>0.4398148148148148</v>
      </c>
      <c r="N14" s="25">
        <f>LEFT(I14,FIND("X",I14)-1)*RIGHT(I14,LEN(I14)-FIND("X",I14)-1)*M14</f>
        <v/>
      </c>
      <c r="O14" s="27">
        <f>(N14*L14)/1000</f>
        <v/>
      </c>
    </row>
    <row r="15" ht="15" customHeight="1">
      <c r="A15" s="139" t="n">
        <v>5</v>
      </c>
      <c r="B15" s="140" t="inlineStr">
        <is>
          <t>MCX 15</t>
        </is>
      </c>
      <c r="C15" s="138" t="inlineStr">
        <is>
          <t>LVP</t>
        </is>
      </c>
      <c r="D15" s="29" t="inlineStr">
        <is>
          <t>Top</t>
        </is>
      </c>
      <c r="E15" s="29" t="n">
        <v>60</v>
      </c>
      <c r="F15" s="37" t="inlineStr">
        <is>
          <t>Passing</t>
        </is>
      </c>
      <c r="G15" s="29" t="inlineStr">
        <is>
          <t>MCX 15 LVP</t>
        </is>
      </c>
      <c r="H15" s="29" t="inlineStr">
        <is>
          <t>61 X 75</t>
        </is>
      </c>
      <c r="I15" s="29" t="inlineStr">
        <is>
          <t>19 X 23</t>
        </is>
      </c>
      <c r="J15" s="29" t="n">
        <v>49</v>
      </c>
      <c r="K15" s="114" t="n">
        <v>10000</v>
      </c>
      <c r="L15" s="31">
        <f>K15/J15</f>
        <v/>
      </c>
      <c r="M15" s="32" t="n">
        <v>1.103988603988604</v>
      </c>
      <c r="N15" s="31">
        <f>LEFT(I15,FIND("X",I15)-1)*RIGHT(I15,LEN(I15)-FIND("X",I15)-1)*M15</f>
        <v/>
      </c>
      <c r="O15" s="33">
        <f>(N15*L15)/1000</f>
        <v/>
      </c>
    </row>
    <row r="16" ht="15" customHeight="1">
      <c r="A16" s="133" t="n"/>
      <c r="B16" s="133" t="n"/>
      <c r="C16" s="136" t="n"/>
      <c r="D16" s="11" t="inlineStr">
        <is>
          <t>Bottom</t>
        </is>
      </c>
      <c r="E16" s="11" t="n"/>
      <c r="F16" s="29" t="n"/>
      <c r="G16" s="11" t="n"/>
      <c r="H16" s="11" t="n"/>
      <c r="I16" s="11" t="n"/>
      <c r="J16" s="11" t="n"/>
      <c r="K16" s="34" t="n">
        <v>10000</v>
      </c>
      <c r="L16" s="14">
        <f>K16/J16</f>
        <v/>
      </c>
      <c r="M16" s="15" t="e">
        <v>#N/A</v>
      </c>
      <c r="N16" s="14">
        <f>LEFT(I16,FIND("X",I16)-1)*RIGHT(I16,LEN(I16)-FIND("X",I16)-1)*M16</f>
        <v/>
      </c>
      <c r="O16" s="16">
        <f>(N16*L16)/1000</f>
        <v/>
      </c>
    </row>
    <row r="17" ht="15.75" customHeight="1" thickBot="1">
      <c r="A17" s="135" t="n"/>
      <c r="B17" s="135" t="n"/>
      <c r="C17" s="22" t="inlineStr">
        <is>
          <t>SVG</t>
        </is>
      </c>
      <c r="D17" s="23" t="inlineStr">
        <is>
          <t>-</t>
        </is>
      </c>
      <c r="E17" s="23" t="n">
        <v>22</v>
      </c>
      <c r="F17" s="23" t="inlineStr">
        <is>
          <t>Passing</t>
        </is>
      </c>
      <c r="G17" s="23" t="inlineStr">
        <is>
          <t>MCX 15 SVG</t>
        </is>
      </c>
      <c r="H17" s="23" t="inlineStr">
        <is>
          <t>71 X 85</t>
        </is>
      </c>
      <c r="I17" s="23" t="inlineStr">
        <is>
          <t>18.5 X 22</t>
        </is>
      </c>
      <c r="J17" s="23" t="n">
        <v>36</v>
      </c>
      <c r="K17" s="115" t="n">
        <v>10000</v>
      </c>
      <c r="L17" s="25">
        <f>K17/J17</f>
        <v/>
      </c>
      <c r="M17" s="26" t="n">
        <v>0.4398148148148148</v>
      </c>
      <c r="N17" s="25">
        <f>LEFT(I17,FIND("X",I17)-1)*RIGHT(I17,LEN(I17)-FIND("X",I17)-1)*M17</f>
        <v/>
      </c>
      <c r="O17" s="27">
        <f>(N17*L17)/1000</f>
        <v/>
      </c>
    </row>
    <row r="18" ht="15" customHeight="1">
      <c r="A18" s="139" t="n">
        <v>6</v>
      </c>
      <c r="B18" s="140" t="inlineStr">
        <is>
          <t>MCX 18</t>
        </is>
      </c>
      <c r="C18" s="138" t="inlineStr">
        <is>
          <t>LVP</t>
        </is>
      </c>
      <c r="D18" s="29" t="inlineStr">
        <is>
          <t>Top</t>
        </is>
      </c>
      <c r="E18" s="29" t="n">
        <v>60</v>
      </c>
      <c r="F18" s="37" t="inlineStr">
        <is>
          <t>Single</t>
        </is>
      </c>
      <c r="G18" s="29" t="inlineStr">
        <is>
          <t>GNR 18 LVP</t>
        </is>
      </c>
      <c r="H18" s="29" t="inlineStr">
        <is>
          <t>60 X 86</t>
        </is>
      </c>
      <c r="I18" s="29" t="inlineStr">
        <is>
          <t>23 X 23</t>
        </is>
      </c>
      <c r="J18" s="29" t="n">
        <v>48</v>
      </c>
      <c r="K18" s="114" t="n">
        <v>6000</v>
      </c>
      <c r="L18" s="31">
        <f>K18/J18</f>
        <v/>
      </c>
      <c r="M18" s="32" t="n">
        <v>1.103988603988604</v>
      </c>
      <c r="N18" s="31">
        <f>LEFT(I18,FIND("X",I18)-1)*RIGHT(I18,LEN(I18)-FIND("X",I18)-1)*M18</f>
        <v/>
      </c>
      <c r="O18" s="33">
        <f>(N18*L18)/1000</f>
        <v/>
      </c>
    </row>
    <row r="19" ht="15" customHeight="1">
      <c r="A19" s="133" t="n"/>
      <c r="B19" s="133" t="n"/>
      <c r="C19" s="136" t="n"/>
      <c r="D19" s="11" t="inlineStr">
        <is>
          <t>Bottom</t>
        </is>
      </c>
      <c r="E19" s="11" t="n"/>
      <c r="F19" s="29" t="n"/>
      <c r="G19" s="11" t="n"/>
      <c r="H19" s="11" t="n"/>
      <c r="I19" s="11" t="n"/>
      <c r="J19" s="11" t="n"/>
      <c r="K19" s="34" t="n">
        <v>6000</v>
      </c>
      <c r="L19" s="14">
        <f>K19/J19</f>
        <v/>
      </c>
      <c r="M19" s="15" t="e">
        <v>#N/A</v>
      </c>
      <c r="N19" s="14">
        <f>LEFT(I19,FIND("X",I19)-1)*RIGHT(I19,LEN(I19)-FIND("X",I19)-1)*M19</f>
        <v/>
      </c>
      <c r="O19" s="16">
        <f>(N19*L19)/1000</f>
        <v/>
      </c>
    </row>
    <row r="20" ht="15.75" customHeight="1" thickBot="1">
      <c r="A20" s="135" t="n"/>
      <c r="B20" s="135" t="n"/>
      <c r="C20" s="22" t="inlineStr">
        <is>
          <t>SVG</t>
        </is>
      </c>
      <c r="D20" s="23" t="inlineStr">
        <is>
          <t>-</t>
        </is>
      </c>
      <c r="E20" s="23" t="n">
        <v>22</v>
      </c>
      <c r="F20" s="23" t="inlineStr">
        <is>
          <t>Single</t>
        </is>
      </c>
      <c r="G20" s="23" t="inlineStr">
        <is>
          <t>GNR 18 SVG</t>
        </is>
      </c>
      <c r="H20" s="23" t="inlineStr">
        <is>
          <t>71 X 97</t>
        </is>
      </c>
      <c r="I20" s="23" t="inlineStr">
        <is>
          <t>22 X 23</t>
        </is>
      </c>
      <c r="J20" s="23" t="n">
        <v>35</v>
      </c>
      <c r="K20" s="115" t="n">
        <v>6000</v>
      </c>
      <c r="L20" s="25">
        <f>K20/J20</f>
        <v/>
      </c>
      <c r="M20" s="26" t="n">
        <v>0.4398148148148148</v>
      </c>
      <c r="N20" s="25">
        <f>LEFT(I20,FIND("X",I20)-1)*RIGHT(I20,LEN(I20)-FIND("X",I20)-1)*M20</f>
        <v/>
      </c>
      <c r="O20" s="27">
        <f>(N20*L20)/1000</f>
        <v/>
      </c>
    </row>
    <row r="21" ht="15" customHeight="1">
      <c r="A21" s="139" t="n">
        <v>7</v>
      </c>
      <c r="B21" s="140" t="inlineStr">
        <is>
          <t>MCX 20</t>
        </is>
      </c>
      <c r="C21" s="138" t="inlineStr">
        <is>
          <t>LVP</t>
        </is>
      </c>
      <c r="D21" s="29" t="inlineStr">
        <is>
          <t>Top</t>
        </is>
      </c>
      <c r="E21" s="29" t="n">
        <v>60</v>
      </c>
      <c r="F21" s="29" t="inlineStr">
        <is>
          <t>Passing</t>
        </is>
      </c>
      <c r="G21" s="29" t="inlineStr">
        <is>
          <t>MCX 20 LVP</t>
        </is>
      </c>
      <c r="H21" s="29" t="inlineStr">
        <is>
          <t>64 X 90</t>
        </is>
      </c>
      <c r="I21" s="29" t="inlineStr">
        <is>
          <t>17 X 23</t>
        </is>
      </c>
      <c r="J21" s="29" t="n">
        <v>36</v>
      </c>
      <c r="K21" s="114" t="n"/>
      <c r="L21" s="31">
        <f>K21/J21</f>
        <v/>
      </c>
      <c r="M21" s="32" t="n">
        <v>1.103988603988604</v>
      </c>
      <c r="N21" s="31">
        <f>LEFT(I21,FIND("X",I21)-1)*RIGHT(I21,LEN(I21)-FIND("X",I21)-1)*M21</f>
        <v/>
      </c>
      <c r="O21" s="33">
        <f>(N21*L21)/1000</f>
        <v/>
      </c>
    </row>
    <row r="22" ht="15" customHeight="1">
      <c r="A22" s="133" t="n"/>
      <c r="B22" s="133" t="n"/>
      <c r="C22" s="136" t="n"/>
      <c r="D22" s="11" t="inlineStr">
        <is>
          <t>Bottom</t>
        </is>
      </c>
      <c r="E22" s="11" t="n"/>
      <c r="F22" s="11" t="n"/>
      <c r="G22" s="11" t="n"/>
      <c r="H22" s="11" t="n"/>
      <c r="I22" s="11" t="n"/>
      <c r="J22" s="11" t="n"/>
      <c r="K22" s="34" t="n"/>
      <c r="L22" s="14">
        <f>K22/J22</f>
        <v/>
      </c>
      <c r="M22" s="15" t="e">
        <v>#N/A</v>
      </c>
      <c r="N22" s="14">
        <f>LEFT(I22,FIND("X",I22)-1)*RIGHT(I22,LEN(I22)-FIND("X",I22)-1)*M22</f>
        <v/>
      </c>
      <c r="O22" s="16">
        <f>(N22*L22)/1000</f>
        <v/>
      </c>
    </row>
    <row r="23" ht="15.75" customHeight="1" thickBot="1">
      <c r="A23" s="135" t="n"/>
      <c r="B23" s="135" t="n"/>
      <c r="C23" s="22" t="inlineStr">
        <is>
          <t>SVG</t>
        </is>
      </c>
      <c r="D23" s="23" t="inlineStr">
        <is>
          <t>-</t>
        </is>
      </c>
      <c r="E23" s="23" t="n">
        <v>22</v>
      </c>
      <c r="F23" s="23" t="inlineStr">
        <is>
          <t>Passing</t>
        </is>
      </c>
      <c r="G23" s="23" t="inlineStr">
        <is>
          <t>MCX 20 SVG</t>
        </is>
      </c>
      <c r="H23" s="23" t="inlineStr">
        <is>
          <t>76 X 102</t>
        </is>
      </c>
      <c r="I23" s="23" t="inlineStr">
        <is>
          <t>17 X 22</t>
        </is>
      </c>
      <c r="J23" s="23" t="n">
        <v>25</v>
      </c>
      <c r="K23" s="115" t="n"/>
      <c r="L23" s="25">
        <f>K23/J23</f>
        <v/>
      </c>
      <c r="M23" s="26" t="n">
        <v>0.4398148148148148</v>
      </c>
      <c r="N23" s="25">
        <f>LEFT(I23,FIND("X",I23)-1)*RIGHT(I23,LEN(I23)-FIND("X",I23)-1)*M23</f>
        <v/>
      </c>
      <c r="O23" s="27">
        <f>(N23*L23)/1000</f>
        <v/>
      </c>
    </row>
    <row r="24" ht="15" customHeight="1">
      <c r="A24" s="139" t="n">
        <v>8</v>
      </c>
      <c r="B24" s="140" t="inlineStr">
        <is>
          <t>MCX 22</t>
        </is>
      </c>
      <c r="C24" s="138" t="inlineStr">
        <is>
          <t>LVP</t>
        </is>
      </c>
      <c r="D24" s="29" t="inlineStr">
        <is>
          <t>Top</t>
        </is>
      </c>
      <c r="E24" s="29" t="n">
        <v>40</v>
      </c>
      <c r="F24" s="29" t="inlineStr">
        <is>
          <t>Single</t>
        </is>
      </c>
      <c r="G24" s="29" t="inlineStr">
        <is>
          <t>MCX 22 LVP</t>
        </is>
      </c>
      <c r="H24" s="29" t="inlineStr">
        <is>
          <t>60 X 140</t>
        </is>
      </c>
      <c r="I24" s="29" t="inlineStr">
        <is>
          <t>20 X 24</t>
        </is>
      </c>
      <c r="J24" s="29" t="n">
        <v>28</v>
      </c>
      <c r="K24" s="114" t="n"/>
      <c r="L24" s="31">
        <f>K24/J24</f>
        <v/>
      </c>
      <c r="M24" s="32" t="n">
        <v>0.6977821913273751</v>
      </c>
      <c r="N24" s="31">
        <f>LEFT(I24,FIND("X",I24)-1)*RIGHT(I24,LEN(I24)-FIND("X",I24)-1)*M24</f>
        <v/>
      </c>
      <c r="O24" s="33">
        <f>(N24*L24)/1000</f>
        <v/>
      </c>
    </row>
    <row r="25" ht="15" customHeight="1">
      <c r="A25" s="133" t="n"/>
      <c r="B25" s="133" t="n"/>
      <c r="C25" s="136" t="n"/>
      <c r="D25" s="11" t="inlineStr">
        <is>
          <t>Bottom</t>
        </is>
      </c>
      <c r="E25" s="11" t="n">
        <v>40</v>
      </c>
      <c r="F25" s="11" t="inlineStr">
        <is>
          <t>Single</t>
        </is>
      </c>
      <c r="G25" s="29" t="inlineStr">
        <is>
          <t>MCX 22 LVP</t>
        </is>
      </c>
      <c r="H25" s="29" t="inlineStr">
        <is>
          <t>60 X 140</t>
        </is>
      </c>
      <c r="I25" s="29" t="inlineStr">
        <is>
          <t>20 X 24</t>
        </is>
      </c>
      <c r="J25" s="29" t="n">
        <v>28</v>
      </c>
      <c r="K25" s="34" t="n"/>
      <c r="L25" s="14">
        <f>K25/J25</f>
        <v/>
      </c>
      <c r="M25" s="15" t="n">
        <v>0.6977821913273751</v>
      </c>
      <c r="N25" s="14">
        <f>LEFT(I25,FIND("X",I25)-1)*RIGHT(I25,LEN(I25)-FIND("X",I25)-1)*M25</f>
        <v/>
      </c>
      <c r="O25" s="16">
        <f>(N25*L25)/1000</f>
        <v/>
      </c>
    </row>
    <row r="26" ht="15.75" customHeight="1" thickBot="1">
      <c r="A26" s="135" t="n"/>
      <c r="B26" s="135" t="n"/>
      <c r="C26" s="22" t="inlineStr">
        <is>
          <t>SVG</t>
        </is>
      </c>
      <c r="D26" s="23" t="inlineStr">
        <is>
          <t>-</t>
        </is>
      </c>
      <c r="E26" s="23" t="n">
        <v>22</v>
      </c>
      <c r="F26" s="23" t="inlineStr">
        <is>
          <t>Single</t>
        </is>
      </c>
      <c r="G26" s="23" t="inlineStr">
        <is>
          <t>MCX 22 SVG</t>
        </is>
      </c>
      <c r="H26" s="23" t="inlineStr">
        <is>
          <t>74 X 154</t>
        </is>
      </c>
      <c r="I26" s="23" t="inlineStr">
        <is>
          <t>22 X 24</t>
        </is>
      </c>
      <c r="J26" s="23" t="n">
        <v>28</v>
      </c>
      <c r="K26" s="115" t="n"/>
      <c r="L26" s="25">
        <f>K26/J26</f>
        <v/>
      </c>
      <c r="M26" s="26" t="n">
        <v>0.4398148148148148</v>
      </c>
      <c r="N26" s="25">
        <f>LEFT(I26,FIND("X",I26)-1)*RIGHT(I26,LEN(I26)-FIND("X",I26)-1)*M26</f>
        <v/>
      </c>
      <c r="O26" s="27">
        <f>(N26*L26)/1000</f>
        <v/>
      </c>
    </row>
    <row r="27" ht="15" customHeight="1">
      <c r="A27" s="139" t="n">
        <v>9</v>
      </c>
      <c r="B27" s="140" t="inlineStr">
        <is>
          <t>MCX 24</t>
        </is>
      </c>
      <c r="C27" s="138" t="inlineStr">
        <is>
          <t>LVP</t>
        </is>
      </c>
      <c r="D27" s="29" t="inlineStr">
        <is>
          <t>Top</t>
        </is>
      </c>
      <c r="E27" s="29" t="n">
        <v>40</v>
      </c>
      <c r="F27" s="29" t="inlineStr">
        <is>
          <t>Single</t>
        </is>
      </c>
      <c r="G27" s="29" t="inlineStr">
        <is>
          <t>MCX 24 LVP</t>
        </is>
      </c>
      <c r="H27" s="29" t="inlineStr">
        <is>
          <t>61 X 198</t>
        </is>
      </c>
      <c r="I27" s="29" t="inlineStr">
        <is>
          <t>20 X 25</t>
        </is>
      </c>
      <c r="J27" s="29" t="n">
        <v>21</v>
      </c>
      <c r="K27" s="114" t="n"/>
      <c r="L27" s="31">
        <f>K27/J27</f>
        <v/>
      </c>
      <c r="M27" s="32" t="n">
        <v>0.6977821913273751</v>
      </c>
      <c r="N27" s="31">
        <f>LEFT(I27,FIND("X",I27)-1)*RIGHT(I27,LEN(I27)-FIND("X",I27)-1)*M27</f>
        <v/>
      </c>
      <c r="O27" s="33">
        <f>(N27*L27)/1000</f>
        <v/>
      </c>
    </row>
    <row r="28" ht="15" customHeight="1">
      <c r="A28" s="133" t="n"/>
      <c r="B28" s="133" t="n"/>
      <c r="C28" s="136" t="n"/>
      <c r="D28" s="11" t="inlineStr">
        <is>
          <t>Bottom</t>
        </is>
      </c>
      <c r="E28" s="11" t="n">
        <v>40</v>
      </c>
      <c r="F28" s="11" t="inlineStr">
        <is>
          <t>Single</t>
        </is>
      </c>
      <c r="G28" s="29" t="inlineStr">
        <is>
          <t>MCX 24 LVP</t>
        </is>
      </c>
      <c r="H28" s="29" t="inlineStr">
        <is>
          <t>61 X 198</t>
        </is>
      </c>
      <c r="I28" s="29" t="inlineStr">
        <is>
          <t>20 X 25</t>
        </is>
      </c>
      <c r="J28" s="29" t="n">
        <v>21</v>
      </c>
      <c r="K28" s="34" t="n"/>
      <c r="L28" s="14">
        <f>K28/J28</f>
        <v/>
      </c>
      <c r="M28" s="15" t="n">
        <v>0.6977821913273751</v>
      </c>
      <c r="N28" s="14">
        <f>LEFT(I28,FIND("X",I28)-1)*RIGHT(I28,LEN(I28)-FIND("X",I28)-1)*M28</f>
        <v/>
      </c>
      <c r="O28" s="16">
        <f>(N28*L28)/1000</f>
        <v/>
      </c>
    </row>
    <row r="29" ht="15.75" customHeight="1" thickBot="1">
      <c r="A29" s="135" t="n"/>
      <c r="B29" s="135" t="n"/>
      <c r="C29" s="22" t="inlineStr">
        <is>
          <t>SVG</t>
        </is>
      </c>
      <c r="D29" s="23" t="inlineStr">
        <is>
          <t>-</t>
        </is>
      </c>
      <c r="E29" s="23" t="n">
        <v>22</v>
      </c>
      <c r="F29" s="23" t="inlineStr">
        <is>
          <t>Single</t>
        </is>
      </c>
      <c r="G29" s="23" t="inlineStr">
        <is>
          <t>MCX 24 SVG</t>
        </is>
      </c>
      <c r="H29" s="23" t="inlineStr">
        <is>
          <t>72 X 212</t>
        </is>
      </c>
      <c r="I29" s="23" t="inlineStr">
        <is>
          <t>20 X 25.5</t>
        </is>
      </c>
      <c r="J29" s="23" t="n">
        <v>18</v>
      </c>
      <c r="K29" s="115" t="n"/>
      <c r="L29" s="25">
        <f>K29/J29</f>
        <v/>
      </c>
      <c r="M29" s="26" t="n">
        <v>0.4398148148148148</v>
      </c>
      <c r="N29" s="25">
        <f>LEFT(I29,FIND("X",I29)-1)*RIGHT(I29,LEN(I29)-FIND("X",I29)-1)*M29</f>
        <v/>
      </c>
      <c r="O29" s="27">
        <f>(N29*L29)/1000</f>
        <v/>
      </c>
    </row>
    <row r="30" ht="15" customHeight="1">
      <c r="A30" s="139" t="n">
        <v>10</v>
      </c>
      <c r="B30" s="140" t="inlineStr">
        <is>
          <t>MCX 25</t>
        </is>
      </c>
      <c r="C30" s="138" t="inlineStr">
        <is>
          <t>LVP</t>
        </is>
      </c>
      <c r="D30" s="29" t="inlineStr">
        <is>
          <t>Top</t>
        </is>
      </c>
      <c r="E30" s="29" t="n">
        <v>40</v>
      </c>
      <c r="F30" s="29" t="inlineStr">
        <is>
          <t>Single</t>
        </is>
      </c>
      <c r="G30" s="29" t="inlineStr">
        <is>
          <t>TOP MCX 25 LVP</t>
        </is>
      </c>
      <c r="H30" s="29" t="inlineStr">
        <is>
          <t>85 X 98</t>
        </is>
      </c>
      <c r="I30" s="29" t="inlineStr">
        <is>
          <t>22 X 23</t>
        </is>
      </c>
      <c r="J30" s="29" t="n">
        <v>30</v>
      </c>
      <c r="K30" s="114" t="n">
        <v>2000</v>
      </c>
      <c r="L30" s="31">
        <f>K30/J30</f>
        <v/>
      </c>
      <c r="M30" s="32" t="n">
        <v>0.6977821913273751</v>
      </c>
      <c r="N30" s="31">
        <f>LEFT(I30,FIND("X",I30)-1)*RIGHT(I30,LEN(I30)-FIND("X",I30)-1)*M30</f>
        <v/>
      </c>
      <c r="O30" s="33">
        <f>(N30*L30)/1000</f>
        <v/>
      </c>
    </row>
    <row r="31" ht="15" customHeight="1">
      <c r="A31" s="133" t="n"/>
      <c r="B31" s="133" t="n"/>
      <c r="C31" s="136" t="n"/>
      <c r="D31" s="11" t="inlineStr">
        <is>
          <t>Bottom</t>
        </is>
      </c>
      <c r="E31" s="11" t="n">
        <v>40</v>
      </c>
      <c r="F31" s="11" t="inlineStr">
        <is>
          <t>Single</t>
        </is>
      </c>
      <c r="G31" s="11" t="inlineStr">
        <is>
          <t>BOT.MCX 25 LVP</t>
        </is>
      </c>
      <c r="H31" s="11" t="inlineStr">
        <is>
          <t>94 X 108</t>
        </is>
      </c>
      <c r="I31" s="11" t="inlineStr">
        <is>
          <t>21 X 24</t>
        </is>
      </c>
      <c r="J31" s="11" t="n">
        <v>25</v>
      </c>
      <c r="K31" s="34" t="n">
        <v>2000</v>
      </c>
      <c r="L31" s="14">
        <f>K31/J31</f>
        <v/>
      </c>
      <c r="M31" s="15" t="n">
        <v>0.6977821913273751</v>
      </c>
      <c r="N31" s="14">
        <f>LEFT(I31,FIND("X",I31)-1)*RIGHT(I31,LEN(I31)-FIND("X",I31)-1)*M31</f>
        <v/>
      </c>
      <c r="O31" s="16">
        <f>(N31*L31)/1000</f>
        <v/>
      </c>
    </row>
    <row r="32" ht="15.75" customHeight="1" thickBot="1">
      <c r="A32" s="135" t="n"/>
      <c r="B32" s="135" t="n"/>
      <c r="C32" s="22" t="inlineStr">
        <is>
          <t>SVG</t>
        </is>
      </c>
      <c r="D32" s="23" t="inlineStr">
        <is>
          <t>-</t>
        </is>
      </c>
      <c r="E32" s="23" t="n">
        <v>22</v>
      </c>
      <c r="F32" s="23" t="inlineStr">
        <is>
          <t>Single</t>
        </is>
      </c>
      <c r="G32" s="23" t="inlineStr">
        <is>
          <t>MCX 25 SVG</t>
        </is>
      </c>
      <c r="H32" s="23" t="inlineStr">
        <is>
          <t>108 X 120</t>
        </is>
      </c>
      <c r="I32" s="23" t="inlineStr">
        <is>
          <t>21 X 24</t>
        </is>
      </c>
      <c r="J32" s="23" t="n">
        <v>20</v>
      </c>
      <c r="K32" s="115" t="n">
        <v>2000</v>
      </c>
      <c r="L32" s="25">
        <f>K32/J32</f>
        <v/>
      </c>
      <c r="M32" s="26" t="n">
        <v>0.4398148148148148</v>
      </c>
      <c r="N32" s="25">
        <f>LEFT(I32,FIND("X",I32)-1)*RIGHT(I32,LEN(I32)-FIND("X",I32)-1)*M32</f>
        <v/>
      </c>
      <c r="O32" s="27">
        <f>(N32*L32)/1000</f>
        <v/>
      </c>
    </row>
    <row r="33" ht="15" customHeight="1">
      <c r="A33" s="139" t="n">
        <v>11</v>
      </c>
      <c r="B33" s="140" t="inlineStr">
        <is>
          <t>MCX 26</t>
        </is>
      </c>
      <c r="C33" s="138" t="inlineStr">
        <is>
          <t>LVP</t>
        </is>
      </c>
      <c r="D33" s="29" t="inlineStr">
        <is>
          <t>Top</t>
        </is>
      </c>
      <c r="E33" s="29" t="n">
        <v>40</v>
      </c>
      <c r="F33" s="29" t="inlineStr">
        <is>
          <t>Single</t>
        </is>
      </c>
      <c r="G33" s="29" t="inlineStr">
        <is>
          <t>MCX 26  LVP</t>
        </is>
      </c>
      <c r="H33" s="29" t="inlineStr">
        <is>
          <t>64 X 248</t>
        </is>
      </c>
      <c r="I33" s="29" t="inlineStr">
        <is>
          <t>21 X 24</t>
        </is>
      </c>
      <c r="J33" s="29" t="n">
        <v>16</v>
      </c>
      <c r="K33" s="114" t="n"/>
      <c r="L33" s="31">
        <f>K33/J33</f>
        <v/>
      </c>
      <c r="M33" s="32" t="n">
        <v>0.6977821913273751</v>
      </c>
      <c r="N33" s="31">
        <f>LEFT(I33,FIND("X",I33)-1)*RIGHT(I33,LEN(I33)-FIND("X",I33)-1)*M33</f>
        <v/>
      </c>
      <c r="O33" s="33">
        <f>(N33*L33)/1000</f>
        <v/>
      </c>
    </row>
    <row r="34" ht="15" customHeight="1">
      <c r="A34" s="133" t="n"/>
      <c r="B34" s="133" t="n"/>
      <c r="C34" s="136" t="n"/>
      <c r="D34" s="11" t="inlineStr">
        <is>
          <t>Bottom</t>
        </is>
      </c>
      <c r="E34" s="11" t="n">
        <v>40</v>
      </c>
      <c r="F34" s="11" t="inlineStr">
        <is>
          <t>Single</t>
        </is>
      </c>
      <c r="G34" s="29" t="inlineStr">
        <is>
          <t>MCX 26  LVP</t>
        </is>
      </c>
      <c r="H34" s="29" t="inlineStr">
        <is>
          <t>64 X 248</t>
        </is>
      </c>
      <c r="I34" s="29" t="inlineStr">
        <is>
          <t>21 X 24</t>
        </is>
      </c>
      <c r="J34" s="29" t="n">
        <v>16</v>
      </c>
      <c r="K34" s="34" t="n"/>
      <c r="L34" s="14">
        <f>K34/J34</f>
        <v/>
      </c>
      <c r="M34" s="15" t="n">
        <v>0.6977821913273751</v>
      </c>
      <c r="N34" s="14">
        <f>LEFT(I34,FIND("X",I34)-1)*RIGHT(I34,LEN(I34)-FIND("X",I34)-1)*M34</f>
        <v/>
      </c>
      <c r="O34" s="16">
        <f>(N34*L34)/1000</f>
        <v/>
      </c>
    </row>
    <row r="35" ht="15.75" customHeight="1" thickBot="1">
      <c r="A35" s="135" t="n"/>
      <c r="B35" s="135" t="n"/>
      <c r="C35" s="22" t="inlineStr">
        <is>
          <t>SVG</t>
        </is>
      </c>
      <c r="D35" s="23" t="inlineStr">
        <is>
          <t>-</t>
        </is>
      </c>
      <c r="E35" s="23" t="n">
        <v>22</v>
      </c>
      <c r="F35" s="23" t="inlineStr">
        <is>
          <t>Single</t>
        </is>
      </c>
      <c r="G35" s="23" t="inlineStr">
        <is>
          <t>MCX 26 SVG</t>
        </is>
      </c>
      <c r="H35" s="23" t="inlineStr">
        <is>
          <t>76 X 260</t>
        </is>
      </c>
      <c r="I35" s="23" t="inlineStr">
        <is>
          <t>21 X 21.5</t>
        </is>
      </c>
      <c r="J35" s="23" t="n">
        <v>12</v>
      </c>
      <c r="K35" s="115" t="n"/>
      <c r="L35" s="25">
        <f>K35/J35</f>
        <v/>
      </c>
      <c r="M35" s="26" t="n">
        <v>0.4398148148148148</v>
      </c>
      <c r="N35" s="25">
        <f>LEFT(I35,FIND("X",I35)-1)*RIGHT(I35,LEN(I35)-FIND("X",I35)-1)*M35</f>
        <v/>
      </c>
      <c r="O35" s="27">
        <f>(N35*L35)/1000</f>
        <v/>
      </c>
    </row>
    <row r="36" ht="15" customHeight="1">
      <c r="A36" s="139" t="n">
        <v>12</v>
      </c>
      <c r="B36" s="140" t="inlineStr">
        <is>
          <t>MCX 28</t>
        </is>
      </c>
      <c r="C36" s="138" t="inlineStr">
        <is>
          <t>LVP</t>
        </is>
      </c>
      <c r="D36" s="29" t="inlineStr">
        <is>
          <t>Top</t>
        </is>
      </c>
      <c r="E36" s="29" t="n">
        <v>40</v>
      </c>
      <c r="F36" s="29" t="inlineStr">
        <is>
          <t>Single</t>
        </is>
      </c>
      <c r="G36" s="29" t="inlineStr">
        <is>
          <t>MCX 28 LVP</t>
        </is>
      </c>
      <c r="H36" s="29" t="inlineStr">
        <is>
          <t>58 X 311</t>
        </is>
      </c>
      <c r="I36" s="29" t="inlineStr">
        <is>
          <t>22.5 X 25.5</t>
        </is>
      </c>
      <c r="J36" s="29" t="n">
        <v>16</v>
      </c>
      <c r="K36" s="114" t="n"/>
      <c r="L36" s="31">
        <f>K36/J36</f>
        <v/>
      </c>
      <c r="M36" s="32" t="n">
        <v>0.6977821913273751</v>
      </c>
      <c r="N36" s="31">
        <f>LEFT(I36,FIND("X",I36)-1)*RIGHT(I36,LEN(I36)-FIND("X",I36)-1)*M36</f>
        <v/>
      </c>
      <c r="O36" s="33">
        <f>(N36*L36)/1000</f>
        <v/>
      </c>
    </row>
    <row r="37" ht="15" customHeight="1">
      <c r="A37" s="133" t="n"/>
      <c r="B37" s="133" t="n"/>
      <c r="C37" s="136" t="n"/>
      <c r="D37" s="11" t="inlineStr">
        <is>
          <t>Bottom</t>
        </is>
      </c>
      <c r="E37" s="11" t="n">
        <v>40</v>
      </c>
      <c r="F37" s="11" t="inlineStr">
        <is>
          <t>Single</t>
        </is>
      </c>
      <c r="G37" s="29" t="inlineStr">
        <is>
          <t>MCX 28 LVP</t>
        </is>
      </c>
      <c r="H37" s="29" t="inlineStr">
        <is>
          <t>58 X 311</t>
        </is>
      </c>
      <c r="I37" s="29" t="inlineStr">
        <is>
          <t>22.5 X 25.5</t>
        </is>
      </c>
      <c r="J37" s="11" t="n">
        <v>16</v>
      </c>
      <c r="K37" s="34" t="n"/>
      <c r="L37" s="14">
        <f>K37/J37</f>
        <v/>
      </c>
      <c r="M37" s="15" t="n">
        <v>0.6977821913273751</v>
      </c>
      <c r="N37" s="14">
        <f>LEFT(I37,FIND("X",I37)-1)*RIGHT(I37,LEN(I37)-FIND("X",I37)-1)*M37</f>
        <v/>
      </c>
      <c r="O37" s="16">
        <f>(N37*L37)/1000</f>
        <v/>
      </c>
    </row>
    <row r="38" ht="15.75" customHeight="1" thickBot="1">
      <c r="A38" s="135" t="n"/>
      <c r="B38" s="135" t="n"/>
      <c r="C38" s="22" t="inlineStr">
        <is>
          <t>SVG</t>
        </is>
      </c>
      <c r="D38" s="23" t="inlineStr">
        <is>
          <t>-</t>
        </is>
      </c>
      <c r="E38" s="23" t="n">
        <v>22</v>
      </c>
      <c r="F38" s="23" t="inlineStr">
        <is>
          <t>Single</t>
        </is>
      </c>
      <c r="G38" s="23" t="inlineStr">
        <is>
          <t>MCX 28 SVG</t>
        </is>
      </c>
      <c r="H38" s="23" t="inlineStr">
        <is>
          <t>69 X 323</t>
        </is>
      </c>
      <c r="I38" s="23" t="inlineStr">
        <is>
          <t>23 X 26.5</t>
        </is>
      </c>
      <c r="J38" s="23" t="n">
        <v>14</v>
      </c>
      <c r="K38" s="115" t="n"/>
      <c r="L38" s="25">
        <f>K38/J38</f>
        <v/>
      </c>
      <c r="M38" s="26" t="n">
        <v>0.4398148148148148</v>
      </c>
      <c r="N38" s="25">
        <f>LEFT(I38,FIND("X",I38)-1)*RIGHT(I38,LEN(I38)-FIND("X",I38)-1)*M38</f>
        <v/>
      </c>
      <c r="O38" s="27">
        <f>(N38*L38)/1000</f>
        <v/>
      </c>
    </row>
    <row r="39" ht="15" customHeight="1">
      <c r="A39" s="139" t="n">
        <v>13</v>
      </c>
      <c r="B39" s="140" t="inlineStr">
        <is>
          <t>MCX 35</t>
        </is>
      </c>
      <c r="C39" s="138" t="inlineStr">
        <is>
          <t>LVP</t>
        </is>
      </c>
      <c r="D39" s="29" t="inlineStr">
        <is>
          <t>Top</t>
        </is>
      </c>
      <c r="E39" s="29" t="n">
        <v>40</v>
      </c>
      <c r="F39" s="29" t="inlineStr">
        <is>
          <t>Single</t>
        </is>
      </c>
      <c r="G39" s="29" t="inlineStr">
        <is>
          <t>MCX 35 TOP LVP</t>
        </is>
      </c>
      <c r="H39" s="29" t="inlineStr">
        <is>
          <t>94 X 145</t>
        </is>
      </c>
      <c r="I39" s="29" t="inlineStr">
        <is>
          <t>21 X 25</t>
        </is>
      </c>
      <c r="J39" s="29" t="n">
        <v>20</v>
      </c>
      <c r="K39" s="114" t="n">
        <v>500</v>
      </c>
      <c r="L39" s="31">
        <f>K39/J39</f>
        <v/>
      </c>
      <c r="M39" s="32" t="n">
        <v>0.6977821913273751</v>
      </c>
      <c r="N39" s="31">
        <f>LEFT(I39,FIND("X",I39)-1)*RIGHT(I39,LEN(I39)-FIND("X",I39)-1)*M39</f>
        <v/>
      </c>
      <c r="O39" s="33">
        <f>(N39*L39)/1000</f>
        <v/>
      </c>
    </row>
    <row r="40" ht="15" customHeight="1">
      <c r="A40" s="133" t="n"/>
      <c r="B40" s="133" t="n"/>
      <c r="C40" s="136" t="n"/>
      <c r="D40" s="11" t="inlineStr">
        <is>
          <t>Bottom</t>
        </is>
      </c>
      <c r="E40" s="11" t="n">
        <v>40</v>
      </c>
      <c r="F40" s="11" t="inlineStr">
        <is>
          <t>Single</t>
        </is>
      </c>
      <c r="G40" s="11" t="inlineStr">
        <is>
          <t>MCX 35 BOT. LVP</t>
        </is>
      </c>
      <c r="H40" s="11" t="inlineStr">
        <is>
          <t>104 X 154</t>
        </is>
      </c>
      <c r="I40" s="11" t="inlineStr">
        <is>
          <t>20 X 23</t>
        </is>
      </c>
      <c r="J40" s="11" t="n">
        <v>15</v>
      </c>
      <c r="K40" s="34" t="n">
        <v>500</v>
      </c>
      <c r="L40" s="14">
        <f>K40/J40</f>
        <v/>
      </c>
      <c r="M40" s="15" t="n">
        <v>0.6977821913273751</v>
      </c>
      <c r="N40" s="14">
        <f>LEFT(I40,FIND("X",I40)-1)*RIGHT(I40,LEN(I40)-FIND("X",I40)-1)*M40</f>
        <v/>
      </c>
      <c r="O40" s="16">
        <f>(N40*L40)/1000</f>
        <v/>
      </c>
    </row>
    <row r="41" ht="15.75" customHeight="1" thickBot="1">
      <c r="A41" s="135" t="n"/>
      <c r="B41" s="135" t="n"/>
      <c r="C41" s="22" t="inlineStr">
        <is>
          <t>SVG</t>
        </is>
      </c>
      <c r="D41" s="23" t="inlineStr">
        <is>
          <t>-</t>
        </is>
      </c>
      <c r="E41" s="23" t="n">
        <v>22</v>
      </c>
      <c r="F41" s="23" t="inlineStr">
        <is>
          <t>Single</t>
        </is>
      </c>
      <c r="G41" s="23" t="inlineStr">
        <is>
          <t>MCX 35 SVG</t>
        </is>
      </c>
      <c r="H41" s="23" t="inlineStr">
        <is>
          <t>121 X 172</t>
        </is>
      </c>
      <c r="I41" s="23" t="inlineStr">
        <is>
          <t>21 X 22</t>
        </is>
      </c>
      <c r="J41" s="23" t="n">
        <v>12</v>
      </c>
      <c r="K41" s="115" t="n">
        <v>500</v>
      </c>
      <c r="L41" s="25">
        <f>K41/J41</f>
        <v/>
      </c>
      <c r="M41" s="26" t="n">
        <v>0.4398148148148148</v>
      </c>
      <c r="N41" s="25">
        <f>LEFT(I41,FIND("X",I41)-1)*RIGHT(I41,LEN(I41)-FIND("X",I41)-1)*M41</f>
        <v/>
      </c>
      <c r="O41" s="27">
        <f>(N41*L41)/1000</f>
        <v/>
      </c>
    </row>
    <row r="42" ht="15" customHeight="1">
      <c r="A42" s="139" t="n">
        <v>14</v>
      </c>
      <c r="B42" s="140" t="inlineStr">
        <is>
          <t>MCX 40</t>
        </is>
      </c>
      <c r="C42" s="138" t="inlineStr">
        <is>
          <t>LVP</t>
        </is>
      </c>
      <c r="D42" s="29" t="inlineStr">
        <is>
          <t>Top</t>
        </is>
      </c>
      <c r="E42" s="29" t="n">
        <v>60</v>
      </c>
      <c r="F42" s="29" t="inlineStr">
        <is>
          <t>Single</t>
        </is>
      </c>
      <c r="G42" s="29" t="inlineStr">
        <is>
          <t>MCX 40 TOP LVP</t>
        </is>
      </c>
      <c r="H42" s="29" t="inlineStr">
        <is>
          <t>76 X 168</t>
        </is>
      </c>
      <c r="I42" s="29" t="inlineStr">
        <is>
          <t>21 X 24</t>
        </is>
      </c>
      <c r="J42" s="29" t="n">
        <v>21</v>
      </c>
      <c r="K42" s="114" t="n">
        <v>1000</v>
      </c>
      <c r="L42" s="31">
        <f>K42/J42</f>
        <v/>
      </c>
      <c r="M42" s="32" t="n">
        <v>1.103988603988604</v>
      </c>
      <c r="N42" s="31">
        <f>LEFT(I42,FIND("X",I42)-1)*RIGHT(I42,LEN(I42)-FIND("X",I42)-1)*M42</f>
        <v/>
      </c>
      <c r="O42" s="33">
        <f>(N42*L42)/1000</f>
        <v/>
      </c>
    </row>
    <row r="43" ht="15" customHeight="1">
      <c r="A43" s="133" t="n"/>
      <c r="B43" s="133" t="n"/>
      <c r="C43" s="136" t="n"/>
      <c r="D43" s="11" t="inlineStr">
        <is>
          <t>Bottom</t>
        </is>
      </c>
      <c r="E43" s="11" t="n">
        <v>40</v>
      </c>
      <c r="F43" s="11" t="inlineStr">
        <is>
          <t>Single</t>
        </is>
      </c>
      <c r="G43" s="11" t="inlineStr">
        <is>
          <t>MCX 40 BOT LVP</t>
        </is>
      </c>
      <c r="H43" s="11" t="inlineStr">
        <is>
          <t>88 X 178</t>
        </is>
      </c>
      <c r="I43" s="11" t="inlineStr">
        <is>
          <t>20 X 23</t>
        </is>
      </c>
      <c r="J43" s="11" t="n">
        <v>15</v>
      </c>
      <c r="K43" s="114" t="n">
        <v>1000</v>
      </c>
      <c r="L43" s="14">
        <f>K43/J43</f>
        <v/>
      </c>
      <c r="M43" s="15" t="n">
        <v>0.6977821913273751</v>
      </c>
      <c r="N43" s="14">
        <f>LEFT(I43,FIND("X",I43)-1)*RIGHT(I43,LEN(I43)-FIND("X",I43)-1)*M43</f>
        <v/>
      </c>
      <c r="O43" s="16">
        <f>(N43*L43)/1000</f>
        <v/>
      </c>
    </row>
    <row r="44" ht="15.75" customHeight="1" thickBot="1">
      <c r="A44" s="135" t="n"/>
      <c r="B44" s="135" t="n"/>
      <c r="C44" s="22" t="inlineStr">
        <is>
          <t>SVG</t>
        </is>
      </c>
      <c r="D44" s="23" t="inlineStr">
        <is>
          <t>-</t>
        </is>
      </c>
      <c r="E44" s="23" t="n">
        <v>22</v>
      </c>
      <c r="F44" s="23" t="inlineStr">
        <is>
          <t>Single</t>
        </is>
      </c>
      <c r="G44" s="23" t="inlineStr">
        <is>
          <t>MCX 40 SVG</t>
        </is>
      </c>
      <c r="H44" s="23" t="inlineStr">
        <is>
          <t>103 X 193</t>
        </is>
      </c>
      <c r="I44" s="23" t="inlineStr">
        <is>
          <t>18 X 24</t>
        </is>
      </c>
      <c r="J44" s="23" t="n">
        <v>12</v>
      </c>
      <c r="K44" s="115" t="n">
        <v>1000</v>
      </c>
      <c r="L44" s="25">
        <f>K44/J44</f>
        <v/>
      </c>
      <c r="M44" s="26" t="n">
        <v>0.4398148148148148</v>
      </c>
      <c r="N44" s="25">
        <f>LEFT(I44,FIND("X",I44)-1)*RIGHT(I44,LEN(I44)-FIND("X",I44)-1)*M44</f>
        <v/>
      </c>
      <c r="O44" s="27">
        <f>(N44*L44)/1000</f>
        <v/>
      </c>
    </row>
    <row r="45" ht="15" customHeight="1">
      <c r="A45" s="139" t="n">
        <v>15</v>
      </c>
      <c r="B45" s="140" t="inlineStr">
        <is>
          <t>MCX 42</t>
        </is>
      </c>
      <c r="C45" s="138" t="inlineStr">
        <is>
          <t>LVP</t>
        </is>
      </c>
      <c r="D45" s="29" t="inlineStr">
        <is>
          <t>Top</t>
        </is>
      </c>
      <c r="E45" s="29" t="n">
        <v>60</v>
      </c>
      <c r="F45" s="29" t="inlineStr">
        <is>
          <t>Single</t>
        </is>
      </c>
      <c r="G45" s="29" t="inlineStr">
        <is>
          <t>MCX 42 TOP LVP</t>
        </is>
      </c>
      <c r="H45" s="29" t="inlineStr">
        <is>
          <t>100 X 227</t>
        </is>
      </c>
      <c r="I45" s="29" t="inlineStr">
        <is>
          <t>19 X 22</t>
        </is>
      </c>
      <c r="J45" s="29" t="n">
        <v>10</v>
      </c>
      <c r="K45" s="114" t="n">
        <v>25</v>
      </c>
      <c r="L45" s="31">
        <f>K45/J45</f>
        <v/>
      </c>
      <c r="M45" s="32" t="n">
        <v>1.103988603988604</v>
      </c>
      <c r="N45" s="31">
        <f>LEFT(I45,FIND("X",I45)-1)*RIGHT(I45,LEN(I45)-FIND("X",I45)-1)*M45</f>
        <v/>
      </c>
      <c r="O45" s="33">
        <f>(N45*L45)/1000</f>
        <v/>
      </c>
    </row>
    <row r="46" ht="15" customHeight="1">
      <c r="A46" s="133" t="n"/>
      <c r="B46" s="133" t="n"/>
      <c r="C46" s="136" t="n"/>
      <c r="D46" s="11" t="inlineStr">
        <is>
          <t>Bottom</t>
        </is>
      </c>
      <c r="E46" s="11" t="n">
        <v>40</v>
      </c>
      <c r="F46" s="11" t="inlineStr">
        <is>
          <t>Single</t>
        </is>
      </c>
      <c r="G46" s="11" t="inlineStr">
        <is>
          <t>MCX 42 BOT LVP</t>
        </is>
      </c>
      <c r="H46" s="11" t="inlineStr">
        <is>
          <t>108 X 236</t>
        </is>
      </c>
      <c r="I46" s="11" t="inlineStr">
        <is>
          <t>20 X 24</t>
        </is>
      </c>
      <c r="J46" s="11" t="n">
        <v>10</v>
      </c>
      <c r="K46" s="34" t="n">
        <v>25</v>
      </c>
      <c r="L46" s="14">
        <f>K46/J46</f>
        <v/>
      </c>
      <c r="M46" s="15" t="n">
        <v>0.6977821913273751</v>
      </c>
      <c r="N46" s="14">
        <f>LEFT(I46,FIND("X",I46)-1)*RIGHT(I46,LEN(I46)-FIND("X",I46)-1)*M46</f>
        <v/>
      </c>
      <c r="O46" s="16">
        <f>(N46*L46)/1000</f>
        <v/>
      </c>
    </row>
    <row r="47" ht="15.75" customHeight="1" thickBot="1">
      <c r="A47" s="135" t="n"/>
      <c r="B47" s="135" t="n"/>
      <c r="C47" s="22" t="inlineStr">
        <is>
          <t>SVG</t>
        </is>
      </c>
      <c r="D47" s="23" t="inlineStr">
        <is>
          <t>-</t>
        </is>
      </c>
      <c r="E47" s="23" t="n">
        <v>22</v>
      </c>
      <c r="F47" s="23" t="inlineStr">
        <is>
          <t>Single</t>
        </is>
      </c>
      <c r="G47" s="23" t="inlineStr">
        <is>
          <t>MCX 42 SVG</t>
        </is>
      </c>
      <c r="H47" s="23" t="inlineStr">
        <is>
          <t>122 X 252</t>
        </is>
      </c>
      <c r="I47" s="23" t="inlineStr">
        <is>
          <t>21 X 21</t>
        </is>
      </c>
      <c r="J47" s="23" t="n">
        <v>8</v>
      </c>
      <c r="K47" s="115" t="n">
        <v>25</v>
      </c>
      <c r="L47" s="25">
        <f>K47/J47</f>
        <v/>
      </c>
      <c r="M47" s="26" t="n">
        <v>0.4398148148148148</v>
      </c>
      <c r="N47" s="25">
        <f>LEFT(I47,FIND("X",I47)-1)*RIGHT(I47,LEN(I47)-FIND("X",I47)-1)*M47</f>
        <v/>
      </c>
      <c r="O47" s="27">
        <f>(N47*L47)/1000</f>
        <v/>
      </c>
    </row>
    <row r="48" ht="15" customHeight="1">
      <c r="A48" s="139" t="n">
        <v>16</v>
      </c>
      <c r="B48" s="140" t="inlineStr">
        <is>
          <t>MCX 44</t>
        </is>
      </c>
      <c r="C48" s="138" t="inlineStr">
        <is>
          <t>LVP</t>
        </is>
      </c>
      <c r="D48" s="29" t="inlineStr">
        <is>
          <t>Top</t>
        </is>
      </c>
      <c r="E48" s="29" t="n">
        <v>60</v>
      </c>
      <c r="F48" s="29" t="inlineStr">
        <is>
          <t>Single</t>
        </is>
      </c>
      <c r="G48" s="29" t="inlineStr">
        <is>
          <t>MCX 44 TOP LVP</t>
        </is>
      </c>
      <c r="H48" s="29" t="inlineStr">
        <is>
          <t>100 X 308</t>
        </is>
      </c>
      <c r="I48" s="29" t="inlineStr">
        <is>
          <t>18 X 25</t>
        </is>
      </c>
      <c r="J48" s="29" t="n">
        <v>8</v>
      </c>
      <c r="K48" s="114" t="n">
        <v>10</v>
      </c>
      <c r="L48" s="31">
        <f>K48/J48</f>
        <v/>
      </c>
      <c r="M48" s="32" t="n">
        <v>1.103988603988604</v>
      </c>
      <c r="N48" s="31">
        <f>LEFT(I48,FIND("X",I48)-1)*RIGHT(I48,LEN(I48)-FIND("X",I48)-1)*M48</f>
        <v/>
      </c>
      <c r="O48" s="33">
        <f>(N48*L48)/1000</f>
        <v/>
      </c>
    </row>
    <row r="49" ht="15" customHeight="1">
      <c r="A49" s="133" t="n"/>
      <c r="B49" s="133" t="n"/>
      <c r="C49" s="136" t="n"/>
      <c r="D49" s="11" t="inlineStr">
        <is>
          <t>Bottom</t>
        </is>
      </c>
      <c r="E49" s="11" t="n">
        <v>40</v>
      </c>
      <c r="F49" s="11" t="inlineStr">
        <is>
          <t>Single</t>
        </is>
      </c>
      <c r="G49" s="11" t="inlineStr">
        <is>
          <t>MCX 44 BOT LVP</t>
        </is>
      </c>
      <c r="H49" s="11" t="inlineStr">
        <is>
          <t>110 X 320</t>
        </is>
      </c>
      <c r="I49" s="11" t="inlineStr">
        <is>
          <t>24 X 26</t>
        </is>
      </c>
      <c r="J49" s="11" t="n">
        <v>10</v>
      </c>
      <c r="K49" s="34" t="n">
        <v>10</v>
      </c>
      <c r="L49" s="14">
        <f>K49/J49</f>
        <v/>
      </c>
      <c r="M49" s="15" t="n">
        <v>0.6977821913273751</v>
      </c>
      <c r="N49" s="14">
        <f>LEFT(I49,FIND("X",I49)-1)*RIGHT(I49,LEN(I49)-FIND("X",I49)-1)*M49</f>
        <v/>
      </c>
      <c r="O49" s="16">
        <f>(N49*L49)/1000</f>
        <v/>
      </c>
    </row>
    <row r="50" ht="15.75" customHeight="1" thickBot="1">
      <c r="A50" s="135" t="n"/>
      <c r="B50" s="135" t="n"/>
      <c r="C50" s="22" t="inlineStr">
        <is>
          <t>SVG</t>
        </is>
      </c>
      <c r="D50" s="23" t="inlineStr">
        <is>
          <t>-</t>
        </is>
      </c>
      <c r="E50" s="23" t="n">
        <v>22</v>
      </c>
      <c r="F50" s="23" t="inlineStr">
        <is>
          <t>Single</t>
        </is>
      </c>
      <c r="G50" s="23" t="inlineStr">
        <is>
          <t>MCX 44 SVG</t>
        </is>
      </c>
      <c r="H50" s="23" t="inlineStr">
        <is>
          <t>125 X 338</t>
        </is>
      </c>
      <c r="I50" s="23" t="inlineStr">
        <is>
          <t>14 X 22</t>
        </is>
      </c>
      <c r="J50" s="23" t="n">
        <v>4</v>
      </c>
      <c r="K50" s="115" t="n">
        <v>10</v>
      </c>
      <c r="L50" s="25">
        <f>K50/J50</f>
        <v/>
      </c>
      <c r="M50" s="26" t="n">
        <v>0.4398148148148148</v>
      </c>
      <c r="N50" s="25">
        <f>LEFT(I50,FIND("X",I50)-1)*RIGHT(I50,LEN(I50)-FIND("X",I50)-1)*M50</f>
        <v/>
      </c>
      <c r="O50" s="27">
        <f>(N50*L50)/1000</f>
        <v/>
      </c>
    </row>
    <row r="51" ht="15" customHeight="1">
      <c r="A51" s="139" t="n">
        <v>16</v>
      </c>
      <c r="B51" s="140" t="inlineStr">
        <is>
          <t>MCX 45</t>
        </is>
      </c>
      <c r="C51" s="138" t="inlineStr">
        <is>
          <t>LVP</t>
        </is>
      </c>
      <c r="D51" s="29" t="inlineStr">
        <is>
          <t>Top</t>
        </is>
      </c>
      <c r="E51" s="29" t="n">
        <v>40</v>
      </c>
      <c r="F51" s="29" t="inlineStr">
        <is>
          <t>Single</t>
        </is>
      </c>
      <c r="G51" s="29" t="inlineStr">
        <is>
          <t>MCX 45 LVP</t>
        </is>
      </c>
      <c r="H51" s="29" t="inlineStr">
        <is>
          <t>158 X 209</t>
        </is>
      </c>
      <c r="I51" s="29" t="inlineStr">
        <is>
          <t>18 X 20</t>
        </is>
      </c>
      <c r="J51" s="29" t="n">
        <v>6</v>
      </c>
      <c r="K51" s="114" t="n">
        <v>120</v>
      </c>
      <c r="L51" s="31">
        <f>K51/J51</f>
        <v/>
      </c>
      <c r="M51" s="32" t="n">
        <v>0.6977821913273751</v>
      </c>
      <c r="N51" s="31">
        <f>LEFT(I51,FIND("X",I51)-1)*RIGHT(I51,LEN(I51)-FIND("X",I51)-1)*M51</f>
        <v/>
      </c>
      <c r="O51" s="33">
        <f>(N51*L51)/1000</f>
        <v/>
      </c>
    </row>
    <row r="52" ht="15" customHeight="1">
      <c r="A52" s="133" t="n"/>
      <c r="B52" s="133" t="n"/>
      <c r="C52" s="136" t="n"/>
      <c r="D52" s="11" t="inlineStr">
        <is>
          <t>Bottom</t>
        </is>
      </c>
      <c r="E52" s="11" t="n">
        <v>40</v>
      </c>
      <c r="F52" s="11" t="inlineStr">
        <is>
          <t>Single</t>
        </is>
      </c>
      <c r="G52" s="29" t="inlineStr">
        <is>
          <t>MCX 45 LVP</t>
        </is>
      </c>
      <c r="H52" s="29" t="inlineStr">
        <is>
          <t>158 X 209</t>
        </is>
      </c>
      <c r="I52" s="29" t="inlineStr">
        <is>
          <t>18 X 20</t>
        </is>
      </c>
      <c r="J52" s="29" t="n">
        <v>6</v>
      </c>
      <c r="K52" s="34" t="n">
        <v>120</v>
      </c>
      <c r="L52" s="14">
        <f>K52/J52</f>
        <v/>
      </c>
      <c r="M52" s="15" t="n">
        <v>0.6977821913273751</v>
      </c>
      <c r="N52" s="14">
        <f>LEFT(I52,FIND("X",I52)-1)*RIGHT(I52,LEN(I52)-FIND("X",I52)-1)*M52</f>
        <v/>
      </c>
      <c r="O52" s="16">
        <f>(N52*L52)/1000</f>
        <v/>
      </c>
    </row>
    <row r="53" ht="15.75" customHeight="1" thickBot="1">
      <c r="A53" s="135" t="n"/>
      <c r="B53" s="135" t="n"/>
      <c r="C53" s="22" t="inlineStr">
        <is>
          <t>SVG</t>
        </is>
      </c>
      <c r="D53" s="23" t="inlineStr">
        <is>
          <t>-</t>
        </is>
      </c>
      <c r="E53" s="23" t="n">
        <v>22</v>
      </c>
      <c r="F53" s="23" t="inlineStr">
        <is>
          <t>Single</t>
        </is>
      </c>
      <c r="G53" s="23" t="inlineStr">
        <is>
          <t>MCX 45 SVG</t>
        </is>
      </c>
      <c r="H53" s="23" t="inlineStr">
        <is>
          <t>171 X 222</t>
        </is>
      </c>
      <c r="I53" s="23" t="inlineStr">
        <is>
          <t>18.5 X 22</t>
        </is>
      </c>
      <c r="J53" s="23" t="n">
        <v>6</v>
      </c>
      <c r="K53" s="115" t="n">
        <v>120</v>
      </c>
      <c r="L53" s="25">
        <f>K53/J53</f>
        <v/>
      </c>
      <c r="M53" s="26" t="n">
        <v>0.4398148148148148</v>
      </c>
      <c r="N53" s="25">
        <f>LEFT(I53,FIND("X",I53)-1)*RIGHT(I53,LEN(I53)-FIND("X",I53)-1)*M53</f>
        <v/>
      </c>
      <c r="O53" s="27">
        <f>(N53*L53)/1000</f>
        <v/>
      </c>
    </row>
    <row r="54" ht="15" customHeight="1">
      <c r="A54" s="139" t="n">
        <v>17</v>
      </c>
      <c r="B54" s="140" t="inlineStr">
        <is>
          <t>MCX 46</t>
        </is>
      </c>
      <c r="C54" s="138" t="inlineStr">
        <is>
          <t>LVP</t>
        </is>
      </c>
      <c r="D54" s="29" t="inlineStr">
        <is>
          <t>Top</t>
        </is>
      </c>
      <c r="E54" s="29" t="n">
        <v>40</v>
      </c>
      <c r="F54" s="29" t="inlineStr">
        <is>
          <t>Single</t>
        </is>
      </c>
      <c r="G54" s="29" t="inlineStr">
        <is>
          <t>MCX 46 LVP</t>
        </is>
      </c>
      <c r="H54" s="29" t="inlineStr">
        <is>
          <t>128 X 389</t>
        </is>
      </c>
      <c r="I54" s="29" t="inlineStr">
        <is>
          <t>16 X 23</t>
        </is>
      </c>
      <c r="J54" s="29" t="n">
        <v>4</v>
      </c>
      <c r="K54" s="114" t="n">
        <v>300</v>
      </c>
      <c r="L54" s="31">
        <f>K54/J54</f>
        <v/>
      </c>
      <c r="M54" s="32" t="n">
        <v>0.6977821913273751</v>
      </c>
      <c r="N54" s="31">
        <f>LEFT(I54,FIND("X",I54)-1)*RIGHT(I54,LEN(I54)-FIND("X",I54)-1)*M54</f>
        <v/>
      </c>
      <c r="O54" s="33">
        <f>(N54*L54)/1000</f>
        <v/>
      </c>
    </row>
    <row r="55" ht="15" customHeight="1">
      <c r="A55" s="133" t="n"/>
      <c r="B55" s="133" t="n"/>
      <c r="C55" s="136" t="n"/>
      <c r="D55" s="11" t="inlineStr">
        <is>
          <t>Bottom</t>
        </is>
      </c>
      <c r="E55" s="11" t="n">
        <v>40</v>
      </c>
      <c r="F55" s="11" t="inlineStr">
        <is>
          <t>Single</t>
        </is>
      </c>
      <c r="G55" s="29" t="inlineStr">
        <is>
          <t>MCX 46 LVP</t>
        </is>
      </c>
      <c r="H55" s="29" t="inlineStr">
        <is>
          <t>128 X 389</t>
        </is>
      </c>
      <c r="I55" s="29" t="inlineStr">
        <is>
          <t>16 X 23</t>
        </is>
      </c>
      <c r="J55" s="29" t="n">
        <v>4</v>
      </c>
      <c r="K55" s="34" t="n">
        <v>300</v>
      </c>
      <c r="L55" s="14">
        <f>K55/J55</f>
        <v/>
      </c>
      <c r="M55" s="15" t="n">
        <v>0.6977821913273751</v>
      </c>
      <c r="N55" s="14">
        <f>LEFT(I55,FIND("X",I55)-1)*RIGHT(I55,LEN(I55)-FIND("X",I55)-1)*M55</f>
        <v/>
      </c>
      <c r="O55" s="16">
        <f>(N55*L55)/1000</f>
        <v/>
      </c>
    </row>
    <row r="56" ht="15.75" customHeight="1" thickBot="1">
      <c r="A56" s="135" t="n"/>
      <c r="B56" s="135" t="n"/>
      <c r="C56" s="22" t="inlineStr">
        <is>
          <t>SVG</t>
        </is>
      </c>
      <c r="D56" s="23" t="inlineStr">
        <is>
          <t>-</t>
        </is>
      </c>
      <c r="E56" s="23" t="n">
        <v>22</v>
      </c>
      <c r="F56" s="23" t="inlineStr">
        <is>
          <t>Single</t>
        </is>
      </c>
      <c r="G56" s="23" t="inlineStr">
        <is>
          <t>MCX 46 SVG</t>
        </is>
      </c>
      <c r="H56" s="23" t="inlineStr">
        <is>
          <t>145 X 406</t>
        </is>
      </c>
      <c r="I56" s="23" t="inlineStr">
        <is>
          <t>17 X 25</t>
        </is>
      </c>
      <c r="J56" s="23" t="n">
        <v>4</v>
      </c>
      <c r="K56" s="115" t="n">
        <v>300</v>
      </c>
      <c r="L56" s="25">
        <f>K56/J56</f>
        <v/>
      </c>
      <c r="M56" s="26" t="n">
        <v>0.4398148148148148</v>
      </c>
      <c r="N56" s="25">
        <f>LEFT(I56,FIND("X",I56)-1)*RIGHT(I56,LEN(I56)-FIND("X",I56)-1)*M56</f>
        <v/>
      </c>
      <c r="O56" s="27">
        <f>(N56*L56)/1000</f>
        <v/>
      </c>
    </row>
    <row r="57" ht="15" customHeight="1">
      <c r="A57" s="139" t="n">
        <v>18</v>
      </c>
      <c r="B57" s="140" t="inlineStr">
        <is>
          <t>MCX 50</t>
        </is>
      </c>
      <c r="C57" s="138" t="inlineStr">
        <is>
          <t>LVP</t>
        </is>
      </c>
      <c r="D57" s="29" t="inlineStr">
        <is>
          <t>Top</t>
        </is>
      </c>
      <c r="E57" s="29" t="n">
        <v>60</v>
      </c>
      <c r="F57" s="29" t="inlineStr">
        <is>
          <t>Single</t>
        </is>
      </c>
      <c r="G57" s="29" t="inlineStr">
        <is>
          <t>MCX 50 LVP</t>
        </is>
      </c>
      <c r="H57" s="29" t="inlineStr">
        <is>
          <t>178 X 539</t>
        </is>
      </c>
      <c r="I57" s="29" t="inlineStr">
        <is>
          <t>22 X 23</t>
        </is>
      </c>
      <c r="J57" s="29" t="n">
        <v>3</v>
      </c>
      <c r="K57" s="114" t="n"/>
      <c r="L57" s="31">
        <f>K57/J57</f>
        <v/>
      </c>
      <c r="M57" s="32" t="n">
        <v>1.103988603988604</v>
      </c>
      <c r="N57" s="31">
        <f>LEFT(I57,FIND("X",I57)-1)*RIGHT(I57,LEN(I57)-FIND("X",I57)-1)*M57</f>
        <v/>
      </c>
      <c r="O57" s="33">
        <f>(N57*L57)/1000</f>
        <v/>
      </c>
    </row>
    <row r="58" ht="15" customHeight="1">
      <c r="A58" s="133" t="n"/>
      <c r="B58" s="133" t="n"/>
      <c r="C58" s="136" t="n"/>
      <c r="D58" s="11" t="inlineStr">
        <is>
          <t>Bottom</t>
        </is>
      </c>
      <c r="E58" s="11" t="n">
        <v>40</v>
      </c>
      <c r="F58" s="11" t="inlineStr">
        <is>
          <t>Single</t>
        </is>
      </c>
      <c r="G58" s="29" t="inlineStr">
        <is>
          <t>MCX 50 LVP</t>
        </is>
      </c>
      <c r="H58" s="29" t="inlineStr">
        <is>
          <t>178 X 539</t>
        </is>
      </c>
      <c r="I58" s="29" t="inlineStr">
        <is>
          <t>22 X 23</t>
        </is>
      </c>
      <c r="J58" s="29" t="n">
        <v>3</v>
      </c>
      <c r="K58" s="34" t="n"/>
      <c r="L58" s="14">
        <f>K58/J58</f>
        <v/>
      </c>
      <c r="M58" s="15" t="n">
        <v>0.6977821913273751</v>
      </c>
      <c r="N58" s="14">
        <f>LEFT(I58,FIND("X",I58)-1)*RIGHT(I58,LEN(I58)-FIND("X",I58)-1)*M58</f>
        <v/>
      </c>
      <c r="O58" s="16">
        <f>(N58*L58)/1000</f>
        <v/>
      </c>
    </row>
    <row r="59" ht="15.75" customHeight="1" thickBot="1">
      <c r="A59" s="135" t="n"/>
      <c r="B59" s="135" t="n"/>
      <c r="C59" s="22" t="inlineStr">
        <is>
          <t>SVG</t>
        </is>
      </c>
      <c r="D59" s="23" t="inlineStr">
        <is>
          <t>-</t>
        </is>
      </c>
      <c r="E59" s="23" t="n">
        <v>22</v>
      </c>
      <c r="F59" s="23" t="inlineStr">
        <is>
          <t>Single</t>
        </is>
      </c>
      <c r="G59" s="23" t="inlineStr">
        <is>
          <t>MCX 50 SVG</t>
        </is>
      </c>
      <c r="H59" s="23" t="inlineStr">
        <is>
          <t>196 X 558</t>
        </is>
      </c>
      <c r="I59" s="23" t="inlineStr">
        <is>
          <t>22.5 X 25</t>
        </is>
      </c>
      <c r="J59" s="23" t="n">
        <v>3</v>
      </c>
      <c r="K59" s="115" t="n"/>
      <c r="L59" s="25">
        <f>K59/J59</f>
        <v/>
      </c>
      <c r="M59" s="26" t="n">
        <v>0.4398148148148148</v>
      </c>
      <c r="N59" s="25">
        <f>LEFT(I59,FIND("X",I59)-1)*RIGHT(I59,LEN(I59)-FIND("X",I59)-1)*M59</f>
        <v/>
      </c>
      <c r="O59" s="27">
        <f>(N59*L59)/1000</f>
        <v/>
      </c>
    </row>
    <row r="60" ht="15" customHeight="1">
      <c r="A60" s="139" t="n">
        <v>19</v>
      </c>
      <c r="B60" s="140" t="inlineStr">
        <is>
          <t>MCX 52</t>
        </is>
      </c>
      <c r="C60" s="138" t="inlineStr">
        <is>
          <t>LVP</t>
        </is>
      </c>
      <c r="D60" s="29" t="inlineStr">
        <is>
          <t>Top</t>
        </is>
      </c>
      <c r="E60" s="29" t="n">
        <v>60</v>
      </c>
      <c r="F60" s="29" t="inlineStr">
        <is>
          <t>Single</t>
        </is>
      </c>
      <c r="G60" s="29" t="inlineStr">
        <is>
          <t>MCX 52/54 LVP</t>
        </is>
      </c>
      <c r="H60" s="29" t="inlineStr">
        <is>
          <t>240 X 559</t>
        </is>
      </c>
      <c r="I60" s="29" t="inlineStr">
        <is>
          <t>22 X 23</t>
        </is>
      </c>
      <c r="J60" s="29" t="n">
        <v>2</v>
      </c>
      <c r="K60" s="114" t="n"/>
      <c r="L60" s="31">
        <f>K60/J60</f>
        <v/>
      </c>
      <c r="M60" s="32" t="n">
        <v>1.103988603988604</v>
      </c>
      <c r="N60" s="31">
        <f>LEFT(I60,FIND("X",I60)-1)*RIGHT(I60,LEN(I60)-FIND("X",I60)-1)*M60</f>
        <v/>
      </c>
      <c r="O60" s="33">
        <f>(N60*L60)/1000</f>
        <v/>
      </c>
    </row>
    <row r="61" ht="15" customHeight="1">
      <c r="A61" s="133" t="n"/>
      <c r="B61" s="133" t="n"/>
      <c r="C61" s="136" t="n"/>
      <c r="D61" s="11" t="inlineStr">
        <is>
          <t>Bottom</t>
        </is>
      </c>
      <c r="E61" s="11" t="n">
        <v>40</v>
      </c>
      <c r="F61" s="11" t="inlineStr">
        <is>
          <t>Single</t>
        </is>
      </c>
      <c r="G61" s="29" t="inlineStr">
        <is>
          <t>MCX 52/54 LVP</t>
        </is>
      </c>
      <c r="H61" s="29" t="inlineStr">
        <is>
          <t>240 X 559</t>
        </is>
      </c>
      <c r="I61" s="29" t="inlineStr">
        <is>
          <t>22 X 23</t>
        </is>
      </c>
      <c r="J61" s="29" t="n">
        <v>2</v>
      </c>
      <c r="K61" s="34" t="n"/>
      <c r="L61" s="14">
        <f>K61/J61</f>
        <v/>
      </c>
      <c r="M61" s="15" t="n">
        <v>0.6977821913273751</v>
      </c>
      <c r="N61" s="14">
        <f>LEFT(I61,FIND("X",I61)-1)*RIGHT(I61,LEN(I61)-FIND("X",I61)-1)*M61</f>
        <v/>
      </c>
      <c r="O61" s="16">
        <f>(N61*L61)/1000</f>
        <v/>
      </c>
    </row>
    <row r="62" ht="15.75" customHeight="1" thickBot="1">
      <c r="A62" s="135" t="n"/>
      <c r="B62" s="135" t="n"/>
      <c r="C62" s="22" t="inlineStr">
        <is>
          <t>SVG</t>
        </is>
      </c>
      <c r="D62" s="23" t="inlineStr">
        <is>
          <t>-</t>
        </is>
      </c>
      <c r="E62" s="23" t="n">
        <v>22</v>
      </c>
      <c r="F62" s="23" t="inlineStr">
        <is>
          <t>Single</t>
        </is>
      </c>
      <c r="G62" s="23" t="inlineStr">
        <is>
          <t>MCX 52/54 SVG</t>
        </is>
      </c>
      <c r="H62" s="23" t="inlineStr">
        <is>
          <t>258 X 577</t>
        </is>
      </c>
      <c r="I62" s="23" t="inlineStr">
        <is>
          <t>21 X 22.5</t>
        </is>
      </c>
      <c r="J62" s="23" t="n">
        <v>2</v>
      </c>
      <c r="K62" s="115" t="n"/>
      <c r="L62" s="25">
        <f>K62/J62</f>
        <v/>
      </c>
      <c r="M62" s="26" t="n">
        <v>0.4398148148148148</v>
      </c>
      <c r="N62" s="25">
        <f>LEFT(I62,FIND("X",I62)-1)*RIGHT(I62,LEN(I62)-FIND("X",I62)-1)*M62</f>
        <v/>
      </c>
      <c r="O62" s="27">
        <f>(N62*L62)/1000</f>
        <v/>
      </c>
    </row>
    <row r="63" ht="15" customHeight="1">
      <c r="A63" s="139" t="n">
        <v>20</v>
      </c>
      <c r="B63" s="140" t="inlineStr">
        <is>
          <t>MCX 54</t>
        </is>
      </c>
      <c r="C63" s="138" t="inlineStr">
        <is>
          <t>LVP</t>
        </is>
      </c>
      <c r="D63" s="29" t="inlineStr">
        <is>
          <t>Top</t>
        </is>
      </c>
      <c r="E63" s="29" t="n">
        <v>60</v>
      </c>
      <c r="F63" s="29" t="inlineStr">
        <is>
          <t>Single</t>
        </is>
      </c>
      <c r="G63" s="29" t="inlineStr">
        <is>
          <t>MCX 52/54 LVP</t>
        </is>
      </c>
      <c r="H63" s="29" t="inlineStr">
        <is>
          <t>240 X 559</t>
        </is>
      </c>
      <c r="I63" s="29" t="inlineStr">
        <is>
          <t>22 X 23</t>
        </is>
      </c>
      <c r="J63" s="29" t="n">
        <v>2</v>
      </c>
      <c r="K63" s="114" t="n"/>
      <c r="L63" s="31">
        <f>K63/J63</f>
        <v/>
      </c>
      <c r="M63" s="32" t="n">
        <v>1.103988603988604</v>
      </c>
      <c r="N63" s="31">
        <f>LEFT(I63,FIND("X",I63)-1)*RIGHT(I63,LEN(I63)-FIND("X",I63)-1)*M63</f>
        <v/>
      </c>
      <c r="O63" s="33">
        <f>(N63*L63)/1000</f>
        <v/>
      </c>
    </row>
    <row r="64" ht="15" customHeight="1">
      <c r="A64" s="133" t="n"/>
      <c r="B64" s="133" t="n"/>
      <c r="C64" s="136" t="n"/>
      <c r="D64" s="11" t="inlineStr">
        <is>
          <t>Bottom</t>
        </is>
      </c>
      <c r="E64" s="11" t="n">
        <v>40</v>
      </c>
      <c r="F64" s="11" t="inlineStr">
        <is>
          <t>Single</t>
        </is>
      </c>
      <c r="G64" s="29" t="inlineStr">
        <is>
          <t>MCX 52/54 LVP</t>
        </is>
      </c>
      <c r="H64" s="29" t="inlineStr">
        <is>
          <t>240 X 559</t>
        </is>
      </c>
      <c r="I64" s="29" t="inlineStr">
        <is>
          <t>22 X 23</t>
        </is>
      </c>
      <c r="J64" s="29" t="n">
        <v>2</v>
      </c>
      <c r="K64" s="34" t="n"/>
      <c r="L64" s="14">
        <f>K64/J64</f>
        <v/>
      </c>
      <c r="M64" s="15" t="n">
        <v>0.6977821913273751</v>
      </c>
      <c r="N64" s="14">
        <f>LEFT(I64,FIND("X",I64)-1)*RIGHT(I64,LEN(I64)-FIND("X",I64)-1)*M64</f>
        <v/>
      </c>
      <c r="O64" s="16">
        <f>(N64*L64)/1000</f>
        <v/>
      </c>
    </row>
    <row r="65" ht="15.75" customHeight="1" thickBot="1">
      <c r="A65" s="135" t="n"/>
      <c r="B65" s="135" t="n"/>
      <c r="C65" s="22" t="inlineStr">
        <is>
          <t>SVG</t>
        </is>
      </c>
      <c r="D65" s="23" t="inlineStr">
        <is>
          <t>-</t>
        </is>
      </c>
      <c r="E65" s="23" t="n">
        <v>22</v>
      </c>
      <c r="F65" s="23" t="inlineStr">
        <is>
          <t>Single</t>
        </is>
      </c>
      <c r="G65" s="23" t="inlineStr">
        <is>
          <t>MCX 52/54 SVG</t>
        </is>
      </c>
      <c r="H65" s="23" t="inlineStr">
        <is>
          <t>258 X 577</t>
        </is>
      </c>
      <c r="I65" s="23" t="inlineStr">
        <is>
          <t>21 X 22.5</t>
        </is>
      </c>
      <c r="J65" s="23" t="n">
        <v>2</v>
      </c>
      <c r="K65" s="115" t="n"/>
      <c r="L65" s="25">
        <f>K65/J65</f>
        <v/>
      </c>
      <c r="M65" s="26" t="n">
        <v>0.4398148148148148</v>
      </c>
      <c r="N65" s="25">
        <f>LEFT(I65,FIND("X",I65)-1)*RIGHT(I65,LEN(I65)-FIND("X",I65)-1)*M65</f>
        <v/>
      </c>
      <c r="O65" s="27">
        <f>(N65*L65)/1000</f>
        <v/>
      </c>
    </row>
    <row r="66" ht="15" customHeight="1">
      <c r="A66" s="139" t="n">
        <v>21</v>
      </c>
      <c r="B66" s="140" t="inlineStr">
        <is>
          <t>MCX 55</t>
        </is>
      </c>
      <c r="C66" s="138" t="inlineStr">
        <is>
          <t>LVP</t>
        </is>
      </c>
      <c r="D66" s="29" t="inlineStr">
        <is>
          <t>Top</t>
        </is>
      </c>
      <c r="E66" s="29" t="n">
        <v>60</v>
      </c>
      <c r="F66" s="29" t="inlineStr">
        <is>
          <t>Single</t>
        </is>
      </c>
      <c r="G66" s="29" t="inlineStr">
        <is>
          <t>MCX 55 LVP</t>
        </is>
      </c>
      <c r="H66" s="29" t="inlineStr">
        <is>
          <t>237 X 308</t>
        </is>
      </c>
      <c r="I66" s="29" t="inlineStr">
        <is>
          <t>20 X 25</t>
        </is>
      </c>
      <c r="J66" s="29" t="n">
        <v>4</v>
      </c>
      <c r="K66" s="114" t="n">
        <v>75</v>
      </c>
      <c r="L66" s="31">
        <f>K66/J66</f>
        <v/>
      </c>
      <c r="M66" s="32" t="n">
        <v>1.103988603988604</v>
      </c>
      <c r="N66" s="31">
        <f>LEFT(I66,FIND("X",I66)-1)*RIGHT(I66,LEN(I66)-FIND("X",I66)-1)*M66</f>
        <v/>
      </c>
      <c r="O66" s="33">
        <f>(N66*L66)/1000</f>
        <v/>
      </c>
    </row>
    <row r="67" ht="15" customHeight="1">
      <c r="A67" s="133" t="n"/>
      <c r="B67" s="133" t="n"/>
      <c r="C67" s="136" t="n"/>
      <c r="D67" s="11" t="inlineStr">
        <is>
          <t>Bottom</t>
        </is>
      </c>
      <c r="E67" s="11" t="n">
        <v>40</v>
      </c>
      <c r="F67" s="11" t="inlineStr">
        <is>
          <t>Single</t>
        </is>
      </c>
      <c r="G67" s="29" t="inlineStr">
        <is>
          <t>MCX 55 LVP</t>
        </is>
      </c>
      <c r="H67" s="29" t="inlineStr">
        <is>
          <t>237 X 308</t>
        </is>
      </c>
      <c r="I67" s="29" t="inlineStr">
        <is>
          <t>20 X 25</t>
        </is>
      </c>
      <c r="J67" s="29" t="n">
        <v>4</v>
      </c>
      <c r="K67" s="34" t="n">
        <v>75</v>
      </c>
      <c r="L67" s="14">
        <f>K67/J67</f>
        <v/>
      </c>
      <c r="M67" s="15" t="n">
        <v>0.6977821913273751</v>
      </c>
      <c r="N67" s="14">
        <f>LEFT(I67,FIND("X",I67)-1)*RIGHT(I67,LEN(I67)-FIND("X",I67)-1)*M67</f>
        <v/>
      </c>
      <c r="O67" s="16">
        <f>(N67*L67)/1000</f>
        <v/>
      </c>
    </row>
    <row r="68" ht="15.75" customHeight="1" thickBot="1">
      <c r="A68" s="135" t="n"/>
      <c r="B68" s="135" t="n"/>
      <c r="C68" s="22" t="inlineStr">
        <is>
          <t>SVG</t>
        </is>
      </c>
      <c r="D68" s="23" t="inlineStr">
        <is>
          <t>-</t>
        </is>
      </c>
      <c r="E68" s="23" t="n">
        <v>22</v>
      </c>
      <c r="F68" s="23" t="inlineStr">
        <is>
          <t>Single</t>
        </is>
      </c>
      <c r="G68" s="23" t="inlineStr">
        <is>
          <t>MCX 55 SVG</t>
        </is>
      </c>
      <c r="H68" s="23" t="inlineStr">
        <is>
          <t>254 X 320</t>
        </is>
      </c>
      <c r="I68" s="23" t="inlineStr">
        <is>
          <t xml:space="preserve">21 X 26 </t>
        </is>
      </c>
      <c r="J68" s="23" t="n">
        <v>4</v>
      </c>
      <c r="K68" s="115" t="n">
        <v>75</v>
      </c>
      <c r="L68" s="25">
        <f>K68/J68</f>
        <v/>
      </c>
      <c r="M68" s="26" t="n">
        <v>0.4398148148148148</v>
      </c>
      <c r="N68" s="25">
        <f>LEFT(I68,FIND("X",I68)-1)*RIGHT(I68,LEN(I68)-FIND("X",I68)-1)*M68</f>
        <v/>
      </c>
      <c r="O68" s="27">
        <f>(N68*L68)/1000</f>
        <v/>
      </c>
    </row>
    <row r="69" ht="15" customHeight="1">
      <c r="A69" s="139" t="n">
        <v>22</v>
      </c>
      <c r="B69" s="140" t="inlineStr">
        <is>
          <t>MCX 56</t>
        </is>
      </c>
      <c r="C69" s="138" t="inlineStr">
        <is>
          <t>LVP</t>
        </is>
      </c>
      <c r="D69" s="29" t="inlineStr">
        <is>
          <t>Top</t>
        </is>
      </c>
      <c r="E69" s="29" t="n">
        <v>60</v>
      </c>
      <c r="F69" s="29" t="inlineStr">
        <is>
          <t>H.C.</t>
        </is>
      </c>
      <c r="G69" s="29" t="inlineStr">
        <is>
          <t>Hand Cutting</t>
        </is>
      </c>
      <c r="H69" s="29" t="inlineStr">
        <is>
          <t>250 X 719</t>
        </is>
      </c>
      <c r="I69" s="29" t="inlineStr">
        <is>
          <t>21 X 29</t>
        </is>
      </c>
      <c r="J69" s="29" t="n">
        <v>2</v>
      </c>
      <c r="K69" s="114" t="n"/>
      <c r="L69" s="31">
        <f>K69/J69</f>
        <v/>
      </c>
      <c r="M69" s="32" t="n">
        <v>1.103988603988604</v>
      </c>
      <c r="N69" s="31">
        <f>LEFT(I69,FIND("X",I69)-1)*RIGHT(I69,LEN(I69)-FIND("X",I69)-1)*M69</f>
        <v/>
      </c>
      <c r="O69" s="33">
        <f>(N69*L69)/1000</f>
        <v/>
      </c>
    </row>
    <row r="70" ht="15" customHeight="1">
      <c r="A70" s="133" t="n"/>
      <c r="B70" s="133" t="n"/>
      <c r="C70" s="136" t="n"/>
      <c r="D70" s="11" t="inlineStr">
        <is>
          <t>Bottom</t>
        </is>
      </c>
      <c r="E70" s="11" t="n">
        <v>40</v>
      </c>
      <c r="F70" s="11" t="inlineStr">
        <is>
          <t>H.C.</t>
        </is>
      </c>
      <c r="G70" s="29" t="inlineStr">
        <is>
          <t>Hand Cutting</t>
        </is>
      </c>
      <c r="H70" s="11" t="inlineStr">
        <is>
          <t>250 X 719</t>
        </is>
      </c>
      <c r="I70" s="29" t="inlineStr">
        <is>
          <t>21 X 29</t>
        </is>
      </c>
      <c r="J70" s="29" t="n">
        <v>2</v>
      </c>
      <c r="K70" s="34" t="n"/>
      <c r="L70" s="14">
        <f>K70/J70</f>
        <v/>
      </c>
      <c r="M70" s="15" t="n">
        <v>0.6977821913273751</v>
      </c>
      <c r="N70" s="14">
        <f>LEFT(I70,FIND("X",I70)-1)*RIGHT(I70,LEN(I70)-FIND("X",I70)-1)*M70</f>
        <v/>
      </c>
      <c r="O70" s="16">
        <f>(N70*L70)/1000</f>
        <v/>
      </c>
    </row>
    <row r="71" ht="15.75" customHeight="1" thickBot="1">
      <c r="A71" s="135" t="n"/>
      <c r="B71" s="135" t="n"/>
      <c r="C71" s="22" t="inlineStr">
        <is>
          <t>SVG</t>
        </is>
      </c>
      <c r="D71" s="23" t="inlineStr">
        <is>
          <t>-</t>
        </is>
      </c>
      <c r="E71" s="23" t="n">
        <v>22</v>
      </c>
      <c r="F71" s="23" t="inlineStr">
        <is>
          <t>H.C.</t>
        </is>
      </c>
      <c r="G71" s="23" t="inlineStr">
        <is>
          <t>Hand Cutting</t>
        </is>
      </c>
      <c r="H71" s="23" t="inlineStr">
        <is>
          <t>266 X 735</t>
        </is>
      </c>
      <c r="I71" s="23" t="inlineStr">
        <is>
          <t>22 X 29</t>
        </is>
      </c>
      <c r="J71" s="23" t="n">
        <v>2</v>
      </c>
      <c r="K71" s="115" t="n"/>
      <c r="L71" s="25">
        <f>K71/J71</f>
        <v/>
      </c>
      <c r="M71" s="26" t="n">
        <v>0.4398148148148148</v>
      </c>
      <c r="N71" s="25">
        <f>LEFT(I71,FIND("X",I71)-1)*RIGHT(I71,LEN(I71)-FIND("X",I71)-1)*M71</f>
        <v/>
      </c>
      <c r="O71" s="27">
        <f>(N71*L71)/1000</f>
        <v/>
      </c>
    </row>
    <row r="72" ht="15" customHeight="1">
      <c r="A72" s="139" t="n">
        <v>23</v>
      </c>
      <c r="B72" s="140" t="inlineStr">
        <is>
          <t>MCX 60</t>
        </is>
      </c>
      <c r="C72" s="138" t="inlineStr">
        <is>
          <t>LVP</t>
        </is>
      </c>
      <c r="D72" s="29" t="inlineStr">
        <is>
          <t>Top</t>
        </is>
      </c>
      <c r="E72" s="29" t="n">
        <v>60</v>
      </c>
      <c r="F72" s="29" t="inlineStr">
        <is>
          <t>H.C.</t>
        </is>
      </c>
      <c r="G72" s="29" t="inlineStr">
        <is>
          <t>Hand Cutting</t>
        </is>
      </c>
      <c r="H72" s="29" t="inlineStr">
        <is>
          <t>243 X 998</t>
        </is>
      </c>
      <c r="I72" s="29" t="inlineStr">
        <is>
          <t>20 X 40</t>
        </is>
      </c>
      <c r="J72" s="29" t="n">
        <v>2</v>
      </c>
      <c r="K72" s="114" t="n"/>
      <c r="L72" s="31">
        <f>K72/J72</f>
        <v/>
      </c>
      <c r="M72" s="32" t="n">
        <v>1.103988603988604</v>
      </c>
      <c r="N72" s="31">
        <f>LEFT(I72,FIND("X",I72)-1)*RIGHT(I72,LEN(I72)-FIND("X",I72)-1)*M72</f>
        <v/>
      </c>
      <c r="O72" s="33">
        <f>(N72*L72)/1000</f>
        <v/>
      </c>
    </row>
    <row r="73" ht="15" customHeight="1">
      <c r="A73" s="133" t="n"/>
      <c r="B73" s="133" t="n"/>
      <c r="C73" s="136" t="n"/>
      <c r="D73" s="11" t="inlineStr">
        <is>
          <t>Bottom</t>
        </is>
      </c>
      <c r="E73" s="11" t="n">
        <v>40</v>
      </c>
      <c r="F73" s="11" t="inlineStr">
        <is>
          <t>H.C.</t>
        </is>
      </c>
      <c r="G73" s="29" t="inlineStr">
        <is>
          <t>Hand Cutting</t>
        </is>
      </c>
      <c r="H73" s="29" t="inlineStr">
        <is>
          <t>243 X 998</t>
        </is>
      </c>
      <c r="I73" s="29" t="inlineStr">
        <is>
          <t>20 X 40</t>
        </is>
      </c>
      <c r="J73" s="29" t="n">
        <v>2</v>
      </c>
      <c r="K73" s="34" t="n"/>
      <c r="L73" s="14">
        <f>K73/J73</f>
        <v/>
      </c>
      <c r="M73" s="15" t="n">
        <v>0.6977821913273751</v>
      </c>
      <c r="N73" s="14">
        <f>LEFT(I73,FIND("X",I73)-1)*RIGHT(I73,LEN(I73)-FIND("X",I73)-1)*M73</f>
        <v/>
      </c>
      <c r="O73" s="16">
        <f>(N73*L73)/1000</f>
        <v/>
      </c>
    </row>
    <row r="74" ht="15.75" customHeight="1" thickBot="1">
      <c r="A74" s="135" t="n"/>
      <c r="B74" s="135" t="n"/>
      <c r="C74" s="22" t="inlineStr">
        <is>
          <t>SVG</t>
        </is>
      </c>
      <c r="D74" s="23" t="inlineStr">
        <is>
          <t>-</t>
        </is>
      </c>
      <c r="E74" s="23" t="n">
        <v>22</v>
      </c>
      <c r="F74" s="23" t="inlineStr">
        <is>
          <t>H.C.</t>
        </is>
      </c>
      <c r="G74" s="23" t="inlineStr">
        <is>
          <t>Hand Cutting</t>
        </is>
      </c>
      <c r="H74" s="23" t="inlineStr">
        <is>
          <t>266 X 1015</t>
        </is>
      </c>
      <c r="I74" s="23" t="inlineStr">
        <is>
          <t>22 X 40.5</t>
        </is>
      </c>
      <c r="J74" s="23" t="n">
        <v>2</v>
      </c>
      <c r="K74" s="115" t="n"/>
      <c r="L74" s="25">
        <f>K74/J74</f>
        <v/>
      </c>
      <c r="M74" s="26" t="n">
        <v>0.4398148148148148</v>
      </c>
      <c r="N74" s="25">
        <f>LEFT(I74,FIND("X",I74)-1)*RIGHT(I74,LEN(I74)-FIND("X",I74)-1)*M74</f>
        <v/>
      </c>
      <c r="O74" s="27">
        <f>(N74*L74)/1000</f>
        <v/>
      </c>
    </row>
    <row r="75" ht="15" customHeight="1">
      <c r="A75" s="139" t="n">
        <v>24</v>
      </c>
      <c r="B75" s="140" t="inlineStr">
        <is>
          <t>MCX 62</t>
        </is>
      </c>
      <c r="C75" s="138" t="inlineStr">
        <is>
          <t>LVP</t>
        </is>
      </c>
      <c r="D75" s="29" t="inlineStr">
        <is>
          <t>Top</t>
        </is>
      </c>
      <c r="E75" s="29" t="n">
        <v>60</v>
      </c>
      <c r="F75" s="29" t="inlineStr">
        <is>
          <t>H.C.</t>
        </is>
      </c>
      <c r="G75" s="29" t="inlineStr">
        <is>
          <t>Hand Cutting</t>
        </is>
      </c>
      <c r="H75" s="29" t="inlineStr">
        <is>
          <t>302 X 1027</t>
        </is>
      </c>
      <c r="I75" s="29" t="inlineStr">
        <is>
          <t>25 X 41</t>
        </is>
      </c>
      <c r="J75" s="29" t="n">
        <v>2</v>
      </c>
      <c r="K75" s="114" t="n"/>
      <c r="L75" s="31">
        <f>K75/J75</f>
        <v/>
      </c>
      <c r="M75" s="32" t="n">
        <v>1.103988603988604</v>
      </c>
      <c r="N75" s="31">
        <f>LEFT(I75,FIND("X",I75)-1)*RIGHT(I75,LEN(I75)-FIND("X",I75)-1)*M75</f>
        <v/>
      </c>
      <c r="O75" s="33">
        <f>(N75*L75)/1000</f>
        <v/>
      </c>
    </row>
    <row r="76" ht="15" customHeight="1">
      <c r="A76" s="133" t="n"/>
      <c r="B76" s="133" t="n"/>
      <c r="C76" s="136" t="n"/>
      <c r="D76" s="11" t="inlineStr">
        <is>
          <t>Bottom</t>
        </is>
      </c>
      <c r="E76" s="11" t="n">
        <v>40</v>
      </c>
      <c r="F76" s="11" t="inlineStr">
        <is>
          <t>H.C.</t>
        </is>
      </c>
      <c r="G76" s="29" t="inlineStr">
        <is>
          <t>Hand Cutting</t>
        </is>
      </c>
      <c r="H76" s="29" t="inlineStr">
        <is>
          <t>302 X 1027</t>
        </is>
      </c>
      <c r="I76" s="29" t="inlineStr">
        <is>
          <t>25 X 41</t>
        </is>
      </c>
      <c r="J76" s="29" t="n">
        <v>2</v>
      </c>
      <c r="K76" s="34" t="n"/>
      <c r="L76" s="14">
        <f>K76/J76</f>
        <v/>
      </c>
      <c r="M76" s="15" t="n">
        <v>0.6977821913273751</v>
      </c>
      <c r="N76" s="14">
        <f>LEFT(I76,FIND("X",I76)-1)*RIGHT(I76,LEN(I76)-FIND("X",I76)-1)*M76</f>
        <v/>
      </c>
      <c r="O76" s="16">
        <f>(N76*L76)/1000</f>
        <v/>
      </c>
    </row>
    <row r="77" ht="15.75" customHeight="1" thickBot="1">
      <c r="A77" s="135" t="n"/>
      <c r="B77" s="135" t="n"/>
      <c r="C77" s="22" t="inlineStr">
        <is>
          <t>SVG</t>
        </is>
      </c>
      <c r="D77" s="23" t="inlineStr">
        <is>
          <t>-</t>
        </is>
      </c>
      <c r="E77" s="23" t="n">
        <v>22</v>
      </c>
      <c r="F77" s="23" t="inlineStr">
        <is>
          <t>H.C.</t>
        </is>
      </c>
      <c r="G77" s="23" t="inlineStr">
        <is>
          <t>Hand Cutting</t>
        </is>
      </c>
      <c r="H77" s="23" t="inlineStr">
        <is>
          <t>322 X 1047</t>
        </is>
      </c>
      <c r="I77" s="23" t="inlineStr">
        <is>
          <t>26.5 X 42</t>
        </is>
      </c>
      <c r="J77" s="23" t="n">
        <v>2</v>
      </c>
      <c r="K77" s="115" t="n"/>
      <c r="L77" s="25">
        <f>K77/J77</f>
        <v/>
      </c>
      <c r="M77" s="26" t="n">
        <v>0.4398148148148148</v>
      </c>
      <c r="N77" s="25">
        <f>LEFT(I77,FIND("X",I77)-1)*RIGHT(I77,LEN(I77)-FIND("X",I77)-1)*M77</f>
        <v/>
      </c>
      <c r="O77" s="27">
        <f>(N77*L77)/1000</f>
        <v/>
      </c>
    </row>
    <row r="78" ht="15" customHeight="1">
      <c r="A78" s="139" t="n">
        <v>25</v>
      </c>
      <c r="B78" s="140" t="inlineStr">
        <is>
          <t>MCX 65</t>
        </is>
      </c>
      <c r="C78" s="138" t="inlineStr">
        <is>
          <t>LVP</t>
        </is>
      </c>
      <c r="D78" s="29" t="inlineStr">
        <is>
          <t>Top</t>
        </is>
      </c>
      <c r="E78" s="29" t="n">
        <v>60</v>
      </c>
      <c r="F78" s="29" t="inlineStr">
        <is>
          <t>Single</t>
        </is>
      </c>
      <c r="G78" s="29" t="inlineStr">
        <is>
          <t>MCX 65 LVP</t>
        </is>
      </c>
      <c r="H78" s="29" t="inlineStr">
        <is>
          <t>307 X 398</t>
        </is>
      </c>
      <c r="I78" s="29" t="inlineStr">
        <is>
          <t>16 X 25</t>
        </is>
      </c>
      <c r="J78" s="29" t="n">
        <v>2</v>
      </c>
      <c r="K78" s="114" t="n"/>
      <c r="L78" s="31">
        <f>K78/J78</f>
        <v/>
      </c>
      <c r="M78" s="32" t="n">
        <v>1.103988603988604</v>
      </c>
      <c r="N78" s="31">
        <f>LEFT(I78,FIND("X",I78)-1)*RIGHT(I78,LEN(I78)-FIND("X",I78)-1)*M78</f>
        <v/>
      </c>
      <c r="O78" s="33">
        <f>(N78*L78)/1000</f>
        <v/>
      </c>
    </row>
    <row r="79" ht="15" customHeight="1">
      <c r="A79" s="133" t="n"/>
      <c r="B79" s="133" t="n"/>
      <c r="C79" s="136" t="n"/>
      <c r="D79" s="11" t="inlineStr">
        <is>
          <t>Bottom</t>
        </is>
      </c>
      <c r="E79" s="11" t="n">
        <v>40</v>
      </c>
      <c r="F79" s="11" t="inlineStr">
        <is>
          <t>Single</t>
        </is>
      </c>
      <c r="G79" s="29" t="inlineStr">
        <is>
          <t>MCX 65 LVP</t>
        </is>
      </c>
      <c r="H79" s="29" t="inlineStr">
        <is>
          <t>307 X 398</t>
        </is>
      </c>
      <c r="I79" s="29" t="inlineStr">
        <is>
          <t>16 X 25</t>
        </is>
      </c>
      <c r="J79" s="29" t="n">
        <v>2</v>
      </c>
      <c r="K79" s="34" t="n"/>
      <c r="L79" s="14">
        <f>K79/J79</f>
        <v/>
      </c>
      <c r="M79" s="15" t="n">
        <v>0.6977821913273751</v>
      </c>
      <c r="N79" s="14">
        <f>LEFT(I79,FIND("X",I79)-1)*RIGHT(I79,LEN(I79)-FIND("X",I79)-1)*M79</f>
        <v/>
      </c>
      <c r="O79" s="16">
        <f>(N79*L79)/1000</f>
        <v/>
      </c>
    </row>
    <row r="80" ht="15.75" customHeight="1" thickBot="1">
      <c r="A80" s="135" t="n"/>
      <c r="B80" s="135" t="n"/>
      <c r="C80" s="22" t="inlineStr">
        <is>
          <t>SVG</t>
        </is>
      </c>
      <c r="D80" s="23" t="inlineStr">
        <is>
          <t>-</t>
        </is>
      </c>
      <c r="E80" s="23" t="n">
        <v>22</v>
      </c>
      <c r="F80" s="23" t="inlineStr">
        <is>
          <t>Single</t>
        </is>
      </c>
      <c r="G80" s="23" t="inlineStr">
        <is>
          <t>MCX 65 SVG</t>
        </is>
      </c>
      <c r="H80" s="23" t="inlineStr">
        <is>
          <t>325 X 412</t>
        </is>
      </c>
      <c r="I80" s="23" t="inlineStr">
        <is>
          <t>16.5 X 26.5</t>
        </is>
      </c>
      <c r="J80" s="23" t="n">
        <v>2</v>
      </c>
      <c r="K80" s="115" t="n"/>
      <c r="L80" s="25">
        <f>K80/J80</f>
        <v/>
      </c>
      <c r="M80" s="26" t="n">
        <v>0.4398148148148148</v>
      </c>
      <c r="N80" s="25">
        <f>LEFT(I80,FIND("X",I80)-1)*RIGHT(I80,LEN(I80)-FIND("X",I80)-1)*M80</f>
        <v/>
      </c>
      <c r="O80" s="27">
        <f>(N80*L80)/1000</f>
        <v/>
      </c>
    </row>
    <row r="81" ht="15" customHeight="1">
      <c r="A81" s="139" t="n">
        <v>26</v>
      </c>
      <c r="B81" s="140" t="inlineStr">
        <is>
          <t>MCX 68</t>
        </is>
      </c>
      <c r="C81" s="138" t="inlineStr">
        <is>
          <t>LVP</t>
        </is>
      </c>
      <c r="D81" s="29" t="inlineStr">
        <is>
          <t>Top</t>
        </is>
      </c>
      <c r="E81" s="29" t="n">
        <v>60</v>
      </c>
      <c r="F81" s="29" t="inlineStr">
        <is>
          <t>H.C.</t>
        </is>
      </c>
      <c r="G81" s="29" t="inlineStr">
        <is>
          <t>Hand Cutting</t>
        </is>
      </c>
      <c r="H81" s="29" t="inlineStr">
        <is>
          <t>327 X 732</t>
        </is>
      </c>
      <c r="I81" s="29" t="inlineStr">
        <is>
          <t>27 X 29</t>
        </is>
      </c>
      <c r="J81" s="29" t="n">
        <v>2</v>
      </c>
      <c r="K81" s="114" t="n"/>
      <c r="L81" s="31">
        <f>K81/J81</f>
        <v/>
      </c>
      <c r="M81" s="32" t="n">
        <v>1.103988603988604</v>
      </c>
      <c r="N81" s="31">
        <f>LEFT(I81,FIND("X",I81)-1)*RIGHT(I81,LEN(I81)-FIND("X",I81)-1)*M81</f>
        <v/>
      </c>
      <c r="O81" s="33">
        <f>(N81*L81)/1000</f>
        <v/>
      </c>
    </row>
    <row r="82" ht="15" customHeight="1">
      <c r="A82" s="133" t="n"/>
      <c r="B82" s="133" t="n"/>
      <c r="C82" s="136" t="n"/>
      <c r="D82" s="11" t="inlineStr">
        <is>
          <t>Bottom</t>
        </is>
      </c>
      <c r="E82" s="11" t="n">
        <v>40</v>
      </c>
      <c r="F82" s="11" t="inlineStr">
        <is>
          <t>H.C.</t>
        </is>
      </c>
      <c r="G82" s="29" t="inlineStr">
        <is>
          <t>Hand Cutting</t>
        </is>
      </c>
      <c r="H82" s="29" t="inlineStr">
        <is>
          <t>327 X 732</t>
        </is>
      </c>
      <c r="I82" s="29" t="inlineStr">
        <is>
          <t>27 X 29</t>
        </is>
      </c>
      <c r="J82" s="29" t="n">
        <v>2</v>
      </c>
      <c r="K82" s="34" t="n"/>
      <c r="L82" s="14">
        <f>K82/J82</f>
        <v/>
      </c>
      <c r="M82" s="15" t="n">
        <v>0.6977821913273751</v>
      </c>
      <c r="N82" s="14">
        <f>LEFT(I82,FIND("X",I82)-1)*RIGHT(I82,LEN(I82)-FIND("X",I82)-1)*M82</f>
        <v/>
      </c>
      <c r="O82" s="16">
        <f>(N82*L82)/1000</f>
        <v/>
      </c>
    </row>
    <row r="83" ht="15.75" customHeight="1" thickBot="1">
      <c r="A83" s="135" t="n"/>
      <c r="B83" s="135" t="n"/>
      <c r="C83" s="22" t="inlineStr">
        <is>
          <t>SVG</t>
        </is>
      </c>
      <c r="D83" s="23" t="inlineStr">
        <is>
          <t>-</t>
        </is>
      </c>
      <c r="E83" s="23" t="n">
        <v>22</v>
      </c>
      <c r="F83" s="23" t="inlineStr">
        <is>
          <t>H.C.</t>
        </is>
      </c>
      <c r="G83" s="23" t="inlineStr">
        <is>
          <t>Hand Cutting</t>
        </is>
      </c>
      <c r="H83" s="23" t="inlineStr">
        <is>
          <t>345 X 750</t>
        </is>
      </c>
      <c r="I83" s="23" t="inlineStr">
        <is>
          <t>28 X 30</t>
        </is>
      </c>
      <c r="J83" s="23" t="n">
        <v>2</v>
      </c>
      <c r="K83" s="115" t="n"/>
      <c r="L83" s="25">
        <f>K83/J83</f>
        <v/>
      </c>
      <c r="M83" s="26" t="n">
        <v>0.4398148148148148</v>
      </c>
      <c r="N83" s="25">
        <f>LEFT(I83,FIND("X",I83)-1)*RIGHT(I83,LEN(I83)-FIND("X",I83)-1)*M83</f>
        <v/>
      </c>
      <c r="O83" s="27">
        <f>(N83*L83)/1000</f>
        <v/>
      </c>
    </row>
    <row r="84" ht="15" customHeight="1">
      <c r="A84" s="139" t="n">
        <v>27</v>
      </c>
      <c r="B84" s="140" t="inlineStr">
        <is>
          <t>MCX 75</t>
        </is>
      </c>
      <c r="C84" s="138" t="inlineStr">
        <is>
          <t>LVP</t>
        </is>
      </c>
      <c r="D84" s="29" t="inlineStr">
        <is>
          <t>Top</t>
        </is>
      </c>
      <c r="E84" s="29" t="n">
        <v>60</v>
      </c>
      <c r="F84" s="29" t="inlineStr">
        <is>
          <t>Single</t>
        </is>
      </c>
      <c r="G84" s="29" t="inlineStr">
        <is>
          <t>MCX 75 LVP</t>
        </is>
      </c>
      <c r="H84" s="29" t="inlineStr">
        <is>
          <t>427 X 508</t>
        </is>
      </c>
      <c r="I84" s="29" t="inlineStr">
        <is>
          <t>20.5 X 34.5</t>
        </is>
      </c>
      <c r="J84" s="29" t="n">
        <v>2</v>
      </c>
      <c r="K84" s="114" t="n"/>
      <c r="L84" s="31">
        <f>K84/J84</f>
        <v/>
      </c>
      <c r="M84" s="32" t="n">
        <v>1.103988603988604</v>
      </c>
      <c r="N84" s="31">
        <f>LEFT(I84,FIND("X",I84)-1)*RIGHT(I84,LEN(I84)-FIND("X",I84)-1)*M84</f>
        <v/>
      </c>
      <c r="O84" s="33">
        <f>(N84*L84)/1000</f>
        <v/>
      </c>
    </row>
    <row r="85" ht="15" customHeight="1">
      <c r="A85" s="133" t="n"/>
      <c r="B85" s="133" t="n"/>
      <c r="C85" s="136" t="n"/>
      <c r="D85" s="11" t="inlineStr">
        <is>
          <t>Bottom</t>
        </is>
      </c>
      <c r="E85" s="11" t="n">
        <v>40</v>
      </c>
      <c r="F85" s="11" t="inlineStr">
        <is>
          <t>Single</t>
        </is>
      </c>
      <c r="G85" s="29" t="inlineStr">
        <is>
          <t>MCX 75 LVP</t>
        </is>
      </c>
      <c r="H85" s="29" t="inlineStr">
        <is>
          <t>427 X 508</t>
        </is>
      </c>
      <c r="I85" s="29" t="inlineStr">
        <is>
          <t>20.5 X 34.5</t>
        </is>
      </c>
      <c r="J85" s="11" t="n">
        <v>2</v>
      </c>
      <c r="K85" s="34" t="n"/>
      <c r="L85" s="14">
        <f>K85/J85</f>
        <v/>
      </c>
      <c r="M85" s="15" t="n">
        <v>0.6977821913273751</v>
      </c>
      <c r="N85" s="14">
        <f>LEFT(I85,FIND("X",I85)-1)*RIGHT(I85,LEN(I85)-FIND("X",I85)-1)*M85</f>
        <v/>
      </c>
      <c r="O85" s="16">
        <f>(N85*L85)/1000</f>
        <v/>
      </c>
    </row>
    <row r="86" ht="15.75" customHeight="1" thickBot="1">
      <c r="A86" s="135" t="n"/>
      <c r="B86" s="135" t="n"/>
      <c r="C86" s="22" t="inlineStr">
        <is>
          <t>SVG</t>
        </is>
      </c>
      <c r="D86" s="23" t="inlineStr">
        <is>
          <t>-</t>
        </is>
      </c>
      <c r="E86" s="23" t="n">
        <v>22</v>
      </c>
      <c r="F86" s="23" t="inlineStr">
        <is>
          <t>Single</t>
        </is>
      </c>
      <c r="G86" s="23" t="inlineStr">
        <is>
          <t>MCX 75 SVG</t>
        </is>
      </c>
      <c r="H86" s="23" t="inlineStr">
        <is>
          <t>445 X 522</t>
        </is>
      </c>
      <c r="I86" s="23" t="inlineStr">
        <is>
          <t>21 X 36</t>
        </is>
      </c>
      <c r="J86" s="23" t="n">
        <v>2</v>
      </c>
      <c r="K86" s="115" t="n"/>
      <c r="L86" s="25">
        <f>K86/J86</f>
        <v/>
      </c>
      <c r="M86" s="26" t="n">
        <v>0.4398148148148148</v>
      </c>
      <c r="N86" s="25">
        <f>LEFT(I86,FIND("X",I86)-1)*RIGHT(I86,LEN(I86)-FIND("X",I86)-1)*M86</f>
        <v/>
      </c>
      <c r="O86" s="27">
        <f>(N86*L86)/1000</f>
        <v/>
      </c>
    </row>
    <row r="87" ht="15" customHeight="1">
      <c r="A87" s="139" t="n">
        <v>28</v>
      </c>
      <c r="B87" s="140" t="inlineStr">
        <is>
          <t>MCX 80</t>
        </is>
      </c>
      <c r="C87" s="138" t="inlineStr">
        <is>
          <t>LVP</t>
        </is>
      </c>
      <c r="D87" s="29" t="inlineStr">
        <is>
          <t>Top</t>
        </is>
      </c>
      <c r="E87" s="29" t="n">
        <v>60</v>
      </c>
      <c r="F87" s="29" t="inlineStr">
        <is>
          <t>Single</t>
        </is>
      </c>
      <c r="G87" s="29" t="inlineStr">
        <is>
          <t>MCX 80 LVP</t>
        </is>
      </c>
      <c r="H87" s="29" t="inlineStr">
        <is>
          <t>127 X 192</t>
        </is>
      </c>
      <c r="I87" s="29" t="inlineStr">
        <is>
          <t>22 X 24</t>
        </is>
      </c>
      <c r="J87" s="29" t="n">
        <v>9</v>
      </c>
      <c r="K87" s="114" t="n">
        <v>150</v>
      </c>
      <c r="L87" s="31">
        <f>K87/J87</f>
        <v/>
      </c>
      <c r="M87" s="32" t="n">
        <v>1.103988603988604</v>
      </c>
      <c r="N87" s="31">
        <f>LEFT(I87,FIND("X",I87)-1)*RIGHT(I87,LEN(I87)-FIND("X",I87)-1)*M87</f>
        <v/>
      </c>
      <c r="O87" s="33">
        <f>(N87*L87)/1000</f>
        <v/>
      </c>
    </row>
    <row r="88" ht="15" customHeight="1">
      <c r="A88" s="133" t="n"/>
      <c r="B88" s="133" t="n"/>
      <c r="C88" s="136" t="n"/>
      <c r="D88" s="11" t="inlineStr">
        <is>
          <t>Bottom</t>
        </is>
      </c>
      <c r="E88" s="11" t="n">
        <v>40</v>
      </c>
      <c r="F88" s="11" t="inlineStr">
        <is>
          <t>Single</t>
        </is>
      </c>
      <c r="G88" s="29" t="inlineStr">
        <is>
          <t>MCX 80 LVP</t>
        </is>
      </c>
      <c r="H88" s="29" t="inlineStr">
        <is>
          <t>127 X 192</t>
        </is>
      </c>
      <c r="I88" s="29" t="inlineStr">
        <is>
          <t>22 X 24</t>
        </is>
      </c>
      <c r="J88" s="29" t="n">
        <v>9</v>
      </c>
      <c r="K88" s="34" t="n">
        <v>150</v>
      </c>
      <c r="L88" s="14">
        <f>K88/J88</f>
        <v/>
      </c>
      <c r="M88" s="15" t="n">
        <v>0.6977821913273751</v>
      </c>
      <c r="N88" s="14">
        <f>LEFT(I88,FIND("X",I88)-1)*RIGHT(I88,LEN(I88)-FIND("X",I88)-1)*M88</f>
        <v/>
      </c>
      <c r="O88" s="16">
        <f>(N88*L88)/1000</f>
        <v/>
      </c>
    </row>
    <row r="89" ht="15.75" customHeight="1" thickBot="1">
      <c r="A89" s="135" t="n"/>
      <c r="B89" s="135" t="n"/>
      <c r="C89" s="22" t="inlineStr">
        <is>
          <t>SVG</t>
        </is>
      </c>
      <c r="D89" s="23" t="inlineStr">
        <is>
          <t>-</t>
        </is>
      </c>
      <c r="E89" s="23" t="n">
        <v>22</v>
      </c>
      <c r="F89" s="23" t="inlineStr">
        <is>
          <t>Single</t>
        </is>
      </c>
      <c r="G89" s="23" t="inlineStr">
        <is>
          <t>MCX 80 SVG</t>
        </is>
      </c>
      <c r="H89" s="23" t="inlineStr">
        <is>
          <t>139 X 201</t>
        </is>
      </c>
      <c r="I89" s="23" t="inlineStr">
        <is>
          <t>24 X 25</t>
        </is>
      </c>
      <c r="J89" s="23" t="n">
        <v>12</v>
      </c>
      <c r="K89" s="115" t="n">
        <v>150</v>
      </c>
      <c r="L89" s="25">
        <f>K89/J89</f>
        <v/>
      </c>
      <c r="M89" s="26" t="n">
        <v>0.4398148148148148</v>
      </c>
      <c r="N89" s="25">
        <f>LEFT(I89,FIND("X",I89)-1)*RIGHT(I89,LEN(I89)-FIND("X",I89)-1)*M89</f>
        <v/>
      </c>
      <c r="O89" s="27">
        <f>(N89*L89)/1000</f>
        <v/>
      </c>
    </row>
    <row r="90" ht="15" customHeight="1">
      <c r="A90" s="139" t="n">
        <v>29</v>
      </c>
      <c r="B90" s="140" t="inlineStr">
        <is>
          <t>MCX 82</t>
        </is>
      </c>
      <c r="C90" s="138" t="inlineStr">
        <is>
          <t>LVP</t>
        </is>
      </c>
      <c r="D90" s="29" t="inlineStr">
        <is>
          <t>Top</t>
        </is>
      </c>
      <c r="E90" s="29" t="n">
        <v>60</v>
      </c>
      <c r="F90" s="29" t="inlineStr">
        <is>
          <t>Single</t>
        </is>
      </c>
      <c r="G90" s="29" t="inlineStr">
        <is>
          <t>MCX 82 LVP</t>
        </is>
      </c>
      <c r="H90" s="29" t="inlineStr">
        <is>
          <t>178 X 254</t>
        </is>
      </c>
      <c r="I90" s="29" t="inlineStr">
        <is>
          <t>21 X 23</t>
        </is>
      </c>
      <c r="J90" s="29" t="n">
        <v>6</v>
      </c>
      <c r="K90" s="114" t="n">
        <v>250</v>
      </c>
      <c r="L90" s="31">
        <f>K90/J90</f>
        <v/>
      </c>
      <c r="M90" s="32" t="n">
        <v>1.103988603988604</v>
      </c>
      <c r="N90" s="31">
        <f>LEFT(I90,FIND("X",I90)-1)*RIGHT(I90,LEN(I90)-FIND("X",I90)-1)*M90</f>
        <v/>
      </c>
      <c r="O90" s="33">
        <f>(N90*L90)/1000</f>
        <v/>
      </c>
    </row>
    <row r="91" ht="15" customHeight="1">
      <c r="A91" s="133" t="n"/>
      <c r="B91" s="133" t="n"/>
      <c r="C91" s="136" t="n"/>
      <c r="D91" s="11" t="inlineStr">
        <is>
          <t>Bottom</t>
        </is>
      </c>
      <c r="E91" s="11" t="n">
        <v>40</v>
      </c>
      <c r="F91" s="11" t="inlineStr">
        <is>
          <t>Single</t>
        </is>
      </c>
      <c r="G91" s="29" t="inlineStr">
        <is>
          <t>MCX 82 LVP</t>
        </is>
      </c>
      <c r="H91" s="29" t="inlineStr">
        <is>
          <t>178 X 254</t>
        </is>
      </c>
      <c r="I91" s="29" t="inlineStr">
        <is>
          <t>21 X 23</t>
        </is>
      </c>
      <c r="J91" s="29" t="n">
        <v>6</v>
      </c>
      <c r="K91" s="34" t="n">
        <v>250</v>
      </c>
      <c r="L91" s="14">
        <f>K91/J91</f>
        <v/>
      </c>
      <c r="M91" s="15" t="n">
        <v>0.6977821913273751</v>
      </c>
      <c r="N91" s="14">
        <f>LEFT(I91,FIND("X",I91)-1)*RIGHT(I91,LEN(I91)-FIND("X",I91)-1)*M91</f>
        <v/>
      </c>
      <c r="O91" s="16">
        <f>(N91*L91)/1000</f>
        <v/>
      </c>
    </row>
    <row r="92" ht="15.75" customHeight="1" thickBot="1">
      <c r="A92" s="135" t="n"/>
      <c r="B92" s="135" t="n"/>
      <c r="C92" s="22" t="inlineStr">
        <is>
          <t>SVG</t>
        </is>
      </c>
      <c r="D92" s="23" t="inlineStr">
        <is>
          <t>-</t>
        </is>
      </c>
      <c r="E92" s="23" t="n">
        <v>22</v>
      </c>
      <c r="F92" s="23" t="inlineStr">
        <is>
          <t>Single</t>
        </is>
      </c>
      <c r="G92" s="23" t="inlineStr">
        <is>
          <t>MCX 82 SVG</t>
        </is>
      </c>
      <c r="H92" s="23" t="inlineStr">
        <is>
          <t>191 X 268</t>
        </is>
      </c>
      <c r="I92" s="23" t="inlineStr">
        <is>
          <t>22 X 24</t>
        </is>
      </c>
      <c r="J92" s="23" t="n">
        <v>6</v>
      </c>
      <c r="K92" s="115" t="n">
        <v>250</v>
      </c>
      <c r="L92" s="25">
        <f>K92/J92</f>
        <v/>
      </c>
      <c r="M92" s="26" t="n">
        <v>0.4398148148148148</v>
      </c>
      <c r="N92" s="25">
        <f>LEFT(I92,FIND("X",I92)-1)*RIGHT(I92,LEN(I92)-FIND("X",I92)-1)*M92</f>
        <v/>
      </c>
      <c r="O92" s="27">
        <f>(N92*L92)/1000</f>
        <v/>
      </c>
    </row>
    <row r="93" ht="15" customHeight="1">
      <c r="A93" s="139" t="n">
        <v>30</v>
      </c>
      <c r="B93" s="140" t="inlineStr">
        <is>
          <t>MCX 84</t>
        </is>
      </c>
      <c r="C93" s="138" t="inlineStr">
        <is>
          <t>LVP</t>
        </is>
      </c>
      <c r="D93" s="29" t="inlineStr">
        <is>
          <t>Top</t>
        </is>
      </c>
      <c r="E93" s="29" t="n">
        <v>60</v>
      </c>
      <c r="F93" s="29" t="inlineStr">
        <is>
          <t>Single</t>
        </is>
      </c>
      <c r="G93" s="29" t="inlineStr">
        <is>
          <t>MCX 84 LVP</t>
        </is>
      </c>
      <c r="H93" s="29" t="inlineStr">
        <is>
          <t>204 X 273</t>
        </is>
      </c>
      <c r="I93" s="29" t="inlineStr">
        <is>
          <t>17 X 23</t>
        </is>
      </c>
      <c r="J93" s="29" t="n">
        <v>4</v>
      </c>
      <c r="K93" s="114" t="n">
        <v>150</v>
      </c>
      <c r="L93" s="31">
        <f>K93/J93</f>
        <v/>
      </c>
      <c r="M93" s="32" t="n">
        <v>1.103988603988604</v>
      </c>
      <c r="N93" s="31">
        <f>LEFT(I93,FIND("X",I93)-1)*RIGHT(I93,LEN(I93)-FIND("X",I93)-1)*M93</f>
        <v/>
      </c>
      <c r="O93" s="33">
        <f>(N93*L93)/1000</f>
        <v/>
      </c>
    </row>
    <row r="94" ht="15" customHeight="1">
      <c r="A94" s="133" t="n"/>
      <c r="B94" s="133" t="n"/>
      <c r="C94" s="136" t="n"/>
      <c r="D94" s="11" t="inlineStr">
        <is>
          <t>Bottom</t>
        </is>
      </c>
      <c r="E94" s="11" t="n">
        <v>40</v>
      </c>
      <c r="F94" s="11" t="inlineStr">
        <is>
          <t>Single</t>
        </is>
      </c>
      <c r="G94" s="29" t="inlineStr">
        <is>
          <t>MCX 84 LVP</t>
        </is>
      </c>
      <c r="H94" s="29" t="inlineStr">
        <is>
          <t>204 X 273</t>
        </is>
      </c>
      <c r="I94" s="29" t="inlineStr">
        <is>
          <t>17 X 23</t>
        </is>
      </c>
      <c r="J94" s="29" t="n">
        <v>4</v>
      </c>
      <c r="K94" s="34" t="n">
        <v>150</v>
      </c>
      <c r="L94" s="14">
        <f>K94/J94</f>
        <v/>
      </c>
      <c r="M94" s="15" t="n">
        <v>0.6977821913273751</v>
      </c>
      <c r="N94" s="14">
        <f>LEFT(I94,FIND("X",I94)-1)*RIGHT(I94,LEN(I94)-FIND("X",I94)-1)*M94</f>
        <v/>
      </c>
      <c r="O94" s="16">
        <f>(N94*L94)/1000</f>
        <v/>
      </c>
    </row>
    <row r="95" ht="15.75" customHeight="1" thickBot="1">
      <c r="A95" s="135" t="n"/>
      <c r="B95" s="135" t="n"/>
      <c r="C95" s="22" t="inlineStr">
        <is>
          <t>SVG</t>
        </is>
      </c>
      <c r="D95" s="23" t="inlineStr">
        <is>
          <t>-</t>
        </is>
      </c>
      <c r="E95" s="23" t="n">
        <v>22</v>
      </c>
      <c r="F95" s="23" t="inlineStr">
        <is>
          <t>Single</t>
        </is>
      </c>
      <c r="G95" s="23" t="inlineStr">
        <is>
          <t>MCX 84 SVG</t>
        </is>
      </c>
      <c r="H95" s="23" t="inlineStr">
        <is>
          <t>217 X 287</t>
        </is>
      </c>
      <c r="I95" s="23" t="inlineStr">
        <is>
          <t>18 X 23.5</t>
        </is>
      </c>
      <c r="J95" s="23" t="n">
        <v>4</v>
      </c>
      <c r="K95" s="115" t="n">
        <v>150</v>
      </c>
      <c r="L95" s="25">
        <f>K95/J95</f>
        <v/>
      </c>
      <c r="M95" s="26" t="n">
        <v>0.4398148148148148</v>
      </c>
      <c r="N95" s="25">
        <f>LEFT(I95,FIND("X",I95)-1)*RIGHT(I95,LEN(I95)-FIND("X",I95)-1)*M95</f>
        <v/>
      </c>
      <c r="O95" s="27">
        <f>(N95*L95)/1000</f>
        <v/>
      </c>
    </row>
    <row r="96" ht="15" customHeight="1">
      <c r="A96" s="139" t="n">
        <v>31</v>
      </c>
      <c r="B96" s="140" t="inlineStr">
        <is>
          <t>MCX 86</t>
        </is>
      </c>
      <c r="C96" s="138" t="inlineStr">
        <is>
          <t>LVP</t>
        </is>
      </c>
      <c r="D96" s="29" t="inlineStr">
        <is>
          <t>Top</t>
        </is>
      </c>
      <c r="E96" s="29" t="n">
        <v>60</v>
      </c>
      <c r="F96" s="29" t="inlineStr">
        <is>
          <t>Single</t>
        </is>
      </c>
      <c r="G96" s="29" t="inlineStr">
        <is>
          <t>MCX 86 LVP</t>
        </is>
      </c>
      <c r="H96" s="29" t="inlineStr">
        <is>
          <t>235 X 330</t>
        </is>
      </c>
      <c r="I96" s="29" t="inlineStr">
        <is>
          <t>14 X 20</t>
        </is>
      </c>
      <c r="J96" s="29" t="n">
        <v>2</v>
      </c>
      <c r="K96" s="114" t="n">
        <v>150</v>
      </c>
      <c r="L96" s="31">
        <f>K96/J96</f>
        <v/>
      </c>
      <c r="M96" s="32" t="n">
        <v>1.103988603988604</v>
      </c>
      <c r="N96" s="31">
        <f>LEFT(I96,FIND("X",I96)-1)*RIGHT(I96,LEN(I96)-FIND("X",I96)-1)*M96</f>
        <v/>
      </c>
      <c r="O96" s="33">
        <f>(N96*L96)/1000</f>
        <v/>
      </c>
    </row>
    <row r="97" ht="15" customHeight="1">
      <c r="A97" s="133" t="n"/>
      <c r="B97" s="133" t="n"/>
      <c r="C97" s="136" t="n"/>
      <c r="D97" s="11" t="inlineStr">
        <is>
          <t>Bottom</t>
        </is>
      </c>
      <c r="E97" s="11" t="n">
        <v>40</v>
      </c>
      <c r="F97" s="11" t="inlineStr">
        <is>
          <t>Single</t>
        </is>
      </c>
      <c r="G97" s="29" t="inlineStr">
        <is>
          <t>MCX 86 LVP</t>
        </is>
      </c>
      <c r="H97" s="29" t="inlineStr">
        <is>
          <t>235 X 330</t>
        </is>
      </c>
      <c r="I97" s="29" t="inlineStr">
        <is>
          <t>14 X 20</t>
        </is>
      </c>
      <c r="J97" s="29" t="n">
        <v>2</v>
      </c>
      <c r="K97" s="34" t="n">
        <v>150</v>
      </c>
      <c r="L97" s="14">
        <f>K97/J97</f>
        <v/>
      </c>
      <c r="M97" s="15" t="n">
        <v>0.6977821913273751</v>
      </c>
      <c r="N97" s="14">
        <f>LEFT(I97,FIND("X",I97)-1)*RIGHT(I97,LEN(I97)-FIND("X",I97)-1)*M97</f>
        <v/>
      </c>
      <c r="O97" s="16">
        <f>(N97*L97)/1000</f>
        <v/>
      </c>
    </row>
    <row r="98" ht="15.75" customHeight="1" thickBot="1">
      <c r="A98" s="135" t="n"/>
      <c r="B98" s="135" t="n"/>
      <c r="C98" s="22" t="inlineStr">
        <is>
          <t>SVG</t>
        </is>
      </c>
      <c r="D98" s="23" t="inlineStr">
        <is>
          <t>-</t>
        </is>
      </c>
      <c r="E98" s="23" t="n">
        <v>22</v>
      </c>
      <c r="F98" s="23" t="inlineStr">
        <is>
          <t>Single</t>
        </is>
      </c>
      <c r="G98" s="23" t="inlineStr">
        <is>
          <t>MCX 86 SVG</t>
        </is>
      </c>
      <c r="H98" s="23" t="inlineStr">
        <is>
          <t>248 X 344</t>
        </is>
      </c>
      <c r="I98" s="23" t="inlineStr">
        <is>
          <t>21 X 28</t>
        </is>
      </c>
      <c r="J98" s="23" t="n">
        <v>4</v>
      </c>
      <c r="K98" s="115" t="n">
        <v>150</v>
      </c>
      <c r="L98" s="25">
        <f>K98/J98</f>
        <v/>
      </c>
      <c r="M98" s="26" t="n">
        <v>0.4398148148148148</v>
      </c>
      <c r="N98" s="25">
        <f>LEFT(I98,FIND("X",I98)-1)*RIGHT(I98,LEN(I98)-FIND("X",I98)-1)*M98</f>
        <v/>
      </c>
      <c r="O98" s="27">
        <f>(N98*L98)/1000</f>
        <v/>
      </c>
    </row>
    <row r="99" ht="14.25" customHeight="1">
      <c r="A99" s="141" t="inlineStr">
        <is>
          <t>C Series</t>
        </is>
      </c>
      <c r="B99" s="142" t="n"/>
      <c r="C99" s="142" t="n"/>
      <c r="D99" s="142" t="n"/>
      <c r="E99" s="142" t="n"/>
      <c r="F99" s="142" t="n"/>
      <c r="G99" s="142" t="n"/>
      <c r="H99" s="142" t="n"/>
      <c r="I99" s="142" t="n"/>
      <c r="J99" s="142" t="n"/>
      <c r="K99" s="142" t="n"/>
      <c r="L99" s="142" t="n"/>
      <c r="M99" s="142" t="n"/>
      <c r="N99" s="142" t="n"/>
      <c r="O99" s="143" t="n"/>
    </row>
    <row r="100">
      <c r="A100" s="144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45" t="n"/>
    </row>
    <row r="101" ht="13.5" customHeight="1" thickBot="1">
      <c r="A101" s="146" t="n"/>
      <c r="B101" s="147" t="n"/>
      <c r="C101" s="147" t="n"/>
      <c r="D101" s="147" t="n"/>
      <c r="E101" s="147" t="n"/>
      <c r="F101" s="147" t="n"/>
      <c r="G101" s="147" t="n"/>
      <c r="H101" s="147" t="n"/>
      <c r="I101" s="147" t="n"/>
      <c r="J101" s="147" t="n"/>
      <c r="K101" s="147" t="n"/>
      <c r="L101" s="147" t="n"/>
      <c r="M101" s="147" t="n"/>
      <c r="N101" s="147" t="n"/>
      <c r="O101" s="148" t="n"/>
    </row>
    <row r="102" ht="15" customHeight="1">
      <c r="A102" s="149" t="n">
        <v>1</v>
      </c>
      <c r="B102" s="150" t="inlineStr">
        <is>
          <t>C 0</t>
        </is>
      </c>
      <c r="C102" s="138" t="inlineStr">
        <is>
          <t>Fabric</t>
        </is>
      </c>
      <c r="D102" s="29" t="inlineStr">
        <is>
          <t>Top</t>
        </is>
      </c>
      <c r="E102" s="29" t="n"/>
      <c r="F102" s="29" t="n"/>
      <c r="G102" s="29" t="n"/>
      <c r="H102" s="29" t="n"/>
      <c r="I102" s="29" t="n"/>
      <c r="J102" s="29" t="n"/>
      <c r="K102" s="114" t="n"/>
      <c r="L102" s="31">
        <f>K102/J102</f>
        <v/>
      </c>
      <c r="M102" s="32" t="e">
        <v>#N/A</v>
      </c>
      <c r="N102" s="31">
        <f>LEFT(I102,FIND("X",I102)-1)*RIGHT(I102,LEN(I102)-FIND("X",I102)-1)*M102</f>
        <v/>
      </c>
      <c r="O102" s="33">
        <f>(N102*L102)/1000</f>
        <v/>
      </c>
    </row>
    <row r="103" ht="15" customHeight="1">
      <c r="A103" s="133" t="n"/>
      <c r="B103" s="133" t="n"/>
      <c r="C103" s="136" t="n"/>
      <c r="D103" s="11" t="inlineStr">
        <is>
          <t>Bottom</t>
        </is>
      </c>
      <c r="E103" s="11" t="n"/>
      <c r="F103" s="11" t="n"/>
      <c r="G103" s="11" t="n"/>
      <c r="H103" s="11" t="n"/>
      <c r="I103" s="11" t="n"/>
      <c r="J103" s="11" t="n"/>
      <c r="K103" s="34" t="n"/>
      <c r="L103" s="14">
        <f>K103/J103</f>
        <v/>
      </c>
      <c r="M103" s="15" t="e">
        <v>#N/A</v>
      </c>
      <c r="N103" s="14">
        <f>LEFT(I103,FIND("X",I103)-1)*RIGHT(I103,LEN(I103)-FIND("X",I103)-1)*M103</f>
        <v/>
      </c>
      <c r="O103" s="16">
        <f>(N103*L103)/1000</f>
        <v/>
      </c>
    </row>
    <row r="104" ht="15.75" customHeight="1" thickBot="1">
      <c r="A104" s="135" t="n"/>
      <c r="B104" s="135" t="n"/>
      <c r="C104" s="22" t="inlineStr">
        <is>
          <t>SVG</t>
        </is>
      </c>
      <c r="D104" s="23" t="inlineStr">
        <is>
          <t>-</t>
        </is>
      </c>
      <c r="E104" s="23" t="n">
        <v>22</v>
      </c>
      <c r="F104" s="23" t="inlineStr">
        <is>
          <t>Passing</t>
        </is>
      </c>
      <c r="G104" s="23" t="inlineStr">
        <is>
          <t>C 0 SVG</t>
        </is>
      </c>
      <c r="H104" s="23" t="n">
        <v>27</v>
      </c>
      <c r="I104" s="23" t="inlineStr">
        <is>
          <t>9 X 15.5</t>
        </is>
      </c>
      <c r="J104" s="23" t="n">
        <v>45</v>
      </c>
      <c r="K104" s="115" t="n"/>
      <c r="L104" s="25">
        <f>K104/J104</f>
        <v/>
      </c>
      <c r="M104" s="26" t="n">
        <v>0.4398148148148148</v>
      </c>
      <c r="N104" s="25">
        <f>LEFT(I104,FIND("X",I104)-1)*RIGHT(I104,LEN(I104)-FIND("X",I104)-1)*M104</f>
        <v/>
      </c>
      <c r="O104" s="27">
        <f>(N104*L104)/1000</f>
        <v/>
      </c>
    </row>
    <row r="105" ht="15" customHeight="1">
      <c r="A105" s="149" t="n">
        <v>2</v>
      </c>
      <c r="B105" s="150" t="inlineStr">
        <is>
          <t>C 1</t>
        </is>
      </c>
      <c r="C105" s="138" t="inlineStr">
        <is>
          <t>Fabric</t>
        </is>
      </c>
      <c r="D105" s="29" t="inlineStr">
        <is>
          <t>Top</t>
        </is>
      </c>
      <c r="E105" s="29" t="n"/>
      <c r="F105" s="29" t="n"/>
      <c r="G105" s="29" t="n"/>
      <c r="H105" s="29" t="n"/>
      <c r="I105" s="29" t="n"/>
      <c r="J105" s="29" t="n"/>
      <c r="K105" s="114" t="n"/>
      <c r="L105" s="31">
        <f>K105/J105</f>
        <v/>
      </c>
      <c r="M105" s="32" t="e">
        <v>#N/A</v>
      </c>
      <c r="N105" s="31">
        <f>LEFT(I105,FIND("X",I105)-1)*RIGHT(I105,LEN(I105)-FIND("X",I105)-1)*M105</f>
        <v/>
      </c>
      <c r="O105" s="33">
        <f>(N105*L105)/1000</f>
        <v/>
      </c>
    </row>
    <row r="106" ht="15" customHeight="1">
      <c r="A106" s="133" t="n"/>
      <c r="B106" s="133" t="n"/>
      <c r="C106" s="136" t="n"/>
      <c r="D106" s="11" t="inlineStr">
        <is>
          <t>Bottom</t>
        </is>
      </c>
      <c r="E106" s="11" t="n"/>
      <c r="F106" s="11" t="n"/>
      <c r="G106" s="11" t="n"/>
      <c r="H106" s="11" t="n"/>
      <c r="I106" s="11" t="n"/>
      <c r="J106" s="11" t="n"/>
      <c r="K106" s="34" t="n"/>
      <c r="L106" s="14">
        <f>K106/J106</f>
        <v/>
      </c>
      <c r="M106" s="15" t="e">
        <v>#N/A</v>
      </c>
      <c r="N106" s="14">
        <f>LEFT(I106,FIND("X",I106)-1)*RIGHT(I106,LEN(I106)-FIND("X",I106)-1)*M106</f>
        <v/>
      </c>
      <c r="O106" s="16">
        <f>(N106*L106)/1000</f>
        <v/>
      </c>
    </row>
    <row r="107" ht="15.75" customHeight="1" thickBot="1">
      <c r="A107" s="135" t="n"/>
      <c r="B107" s="135" t="n"/>
      <c r="C107" s="22" t="inlineStr">
        <is>
          <t>SVG</t>
        </is>
      </c>
      <c r="D107" s="23" t="inlineStr">
        <is>
          <t>-</t>
        </is>
      </c>
      <c r="E107" s="23" t="n">
        <v>22</v>
      </c>
      <c r="F107" s="23" t="inlineStr">
        <is>
          <t>Passing</t>
        </is>
      </c>
      <c r="G107" s="23" t="inlineStr">
        <is>
          <t>C1 SVG</t>
        </is>
      </c>
      <c r="H107" s="23" t="n">
        <v>38</v>
      </c>
      <c r="I107" s="23" t="inlineStr">
        <is>
          <t>15 X 18.5</t>
        </is>
      </c>
      <c r="J107" s="23" t="n">
        <v>105</v>
      </c>
      <c r="K107" s="115" t="n"/>
      <c r="L107" s="25">
        <f>K107/J107</f>
        <v/>
      </c>
      <c r="M107" s="26" t="n">
        <v>0.4398148148148148</v>
      </c>
      <c r="N107" s="25">
        <f>LEFT(I107,FIND("X",I107)-1)*RIGHT(I107,LEN(I107)-FIND("X",I107)-1)*M107</f>
        <v/>
      </c>
      <c r="O107" s="27">
        <f>(N107*L107)/1000</f>
        <v/>
      </c>
    </row>
    <row r="108" ht="15" customHeight="1">
      <c r="A108" s="149" t="n">
        <v>3</v>
      </c>
      <c r="B108" s="150" t="inlineStr">
        <is>
          <t>C 2</t>
        </is>
      </c>
      <c r="C108" s="138" t="inlineStr">
        <is>
          <t>Fabric</t>
        </is>
      </c>
      <c r="D108" s="29" t="inlineStr">
        <is>
          <t>Top</t>
        </is>
      </c>
      <c r="E108" s="29" t="n"/>
      <c r="F108" s="29" t="n"/>
      <c r="G108" s="29" t="n"/>
      <c r="H108" s="29" t="n"/>
      <c r="I108" s="29" t="n"/>
      <c r="J108" s="29" t="n"/>
      <c r="K108" s="114" t="n"/>
      <c r="L108" s="31">
        <f>K108/J108</f>
        <v/>
      </c>
      <c r="M108" s="32" t="e">
        <v>#N/A</v>
      </c>
      <c r="N108" s="31">
        <f>LEFT(I108,FIND("X",I108)-1)*RIGHT(I108,LEN(I108)-FIND("X",I108)-1)*M108</f>
        <v/>
      </c>
      <c r="O108" s="33">
        <f>(N108*L108)/1000</f>
        <v/>
      </c>
    </row>
    <row r="109" ht="15" customHeight="1">
      <c r="A109" s="133" t="n"/>
      <c r="B109" s="133" t="n"/>
      <c r="C109" s="136" t="n"/>
      <c r="D109" s="11" t="inlineStr">
        <is>
          <t>Bottom</t>
        </is>
      </c>
      <c r="E109" s="11" t="n"/>
      <c r="F109" s="11" t="n"/>
      <c r="G109" s="11" t="n"/>
      <c r="H109" s="11" t="n"/>
      <c r="I109" s="11" t="n"/>
      <c r="J109" s="11" t="n"/>
      <c r="K109" s="34" t="n"/>
      <c r="L109" s="14">
        <f>K109/J109</f>
        <v/>
      </c>
      <c r="M109" s="15" t="e">
        <v>#N/A</v>
      </c>
      <c r="N109" s="14">
        <f>LEFT(I109,FIND("X",I109)-1)*RIGHT(I109,LEN(I109)-FIND("X",I109)-1)*M109</f>
        <v/>
      </c>
      <c r="O109" s="16">
        <f>(N109*L109)/1000</f>
        <v/>
      </c>
    </row>
    <row r="110" ht="15.75" customHeight="1" thickBot="1">
      <c r="A110" s="135" t="n"/>
      <c r="B110" s="135" t="n"/>
      <c r="C110" s="22" t="inlineStr">
        <is>
          <t>SVG</t>
        </is>
      </c>
      <c r="D110" s="23" t="inlineStr">
        <is>
          <t>-</t>
        </is>
      </c>
      <c r="E110" s="23" t="n">
        <v>22</v>
      </c>
      <c r="F110" s="23" t="inlineStr">
        <is>
          <t>Passing</t>
        </is>
      </c>
      <c r="G110" s="23" t="inlineStr">
        <is>
          <t>C2 SVG</t>
        </is>
      </c>
      <c r="H110" s="23" t="n">
        <v>56</v>
      </c>
      <c r="I110" s="23" t="inlineStr">
        <is>
          <t>17.5 X 24</t>
        </is>
      </c>
      <c r="J110" s="23" t="n">
        <v>72</v>
      </c>
      <c r="K110" s="115" t="n"/>
      <c r="L110" s="25">
        <f>K110/J110</f>
        <v/>
      </c>
      <c r="M110" s="26" t="n">
        <v>0.4398148148148148</v>
      </c>
      <c r="N110" s="25">
        <f>LEFT(I110,FIND("X",I110)-1)*RIGHT(I110,LEN(I110)-FIND("X",I110)-1)*M110</f>
        <v/>
      </c>
      <c r="O110" s="27">
        <f>(N110*L110)/1000</f>
        <v/>
      </c>
    </row>
    <row r="111" ht="15" customHeight="1">
      <c r="A111" s="149" t="n">
        <v>4</v>
      </c>
      <c r="B111" s="150" t="inlineStr">
        <is>
          <t>C 3</t>
        </is>
      </c>
      <c r="C111" s="138" t="inlineStr">
        <is>
          <t>Fabric</t>
        </is>
      </c>
      <c r="D111" s="29" t="inlineStr">
        <is>
          <t>Top</t>
        </is>
      </c>
      <c r="E111" s="29" t="n"/>
      <c r="F111" s="29" t="n"/>
      <c r="G111" s="29" t="n"/>
      <c r="H111" s="29" t="n"/>
      <c r="I111" s="29" t="n"/>
      <c r="J111" s="29" t="n"/>
      <c r="K111" s="114" t="n"/>
      <c r="L111" s="31">
        <f>K111/J111</f>
        <v/>
      </c>
      <c r="M111" s="32" t="e">
        <v>#N/A</v>
      </c>
      <c r="N111" s="31">
        <f>LEFT(I111,FIND("X",I111)-1)*RIGHT(I111,LEN(I111)-FIND("X",I111)-1)*M111</f>
        <v/>
      </c>
      <c r="O111" s="33">
        <f>(N111*L111)/1000</f>
        <v/>
      </c>
    </row>
    <row r="112" ht="15" customHeight="1">
      <c r="A112" s="133" t="n"/>
      <c r="B112" s="133" t="n"/>
      <c r="C112" s="136" t="n"/>
      <c r="D112" s="11" t="inlineStr">
        <is>
          <t>Bottom</t>
        </is>
      </c>
      <c r="E112" s="11" t="n"/>
      <c r="F112" s="11" t="n"/>
      <c r="G112" s="11" t="n"/>
      <c r="H112" s="11" t="n"/>
      <c r="I112" s="11" t="n"/>
      <c r="J112" s="11" t="n"/>
      <c r="K112" s="34" t="n"/>
      <c r="L112" s="14">
        <f>K112/J112</f>
        <v/>
      </c>
      <c r="M112" s="15" t="e">
        <v>#N/A</v>
      </c>
      <c r="N112" s="14">
        <f>LEFT(I112,FIND("X",I112)-1)*RIGHT(I112,LEN(I112)-FIND("X",I112)-1)*M112</f>
        <v/>
      </c>
      <c r="O112" s="16">
        <f>(N112*L112)/1000</f>
        <v/>
      </c>
    </row>
    <row r="113" ht="15.75" customHeight="1" thickBot="1">
      <c r="A113" s="135" t="n"/>
      <c r="B113" s="135" t="n"/>
      <c r="C113" s="22" t="inlineStr">
        <is>
          <t>SVG</t>
        </is>
      </c>
      <c r="D113" s="23" t="inlineStr">
        <is>
          <t>-</t>
        </is>
      </c>
      <c r="E113" s="23" t="n">
        <v>22</v>
      </c>
      <c r="F113" s="23" t="inlineStr">
        <is>
          <t>Single</t>
        </is>
      </c>
      <c r="G113" s="23" t="inlineStr">
        <is>
          <t>C3 SVG</t>
        </is>
      </c>
      <c r="H113" s="23" t="n">
        <v>65</v>
      </c>
      <c r="I113" s="23" t="inlineStr">
        <is>
          <t>21.5 X 21.5</t>
        </is>
      </c>
      <c r="J113" s="23" t="n">
        <v>49</v>
      </c>
      <c r="K113" s="115" t="n"/>
      <c r="L113" s="25">
        <f>K113/J113</f>
        <v/>
      </c>
      <c r="M113" s="26" t="n">
        <v>0.4398148148148148</v>
      </c>
      <c r="N113" s="25">
        <f>LEFT(I113,FIND("X",I113)-1)*RIGHT(I113,LEN(I113)-FIND("X",I113)-1)*M113</f>
        <v/>
      </c>
      <c r="O113" s="27">
        <f>(N113*L113)/1000</f>
        <v/>
      </c>
    </row>
    <row r="114" ht="15" customHeight="1">
      <c r="A114" s="149" t="n">
        <v>5</v>
      </c>
      <c r="B114" s="150" t="inlineStr">
        <is>
          <t>C 4</t>
        </is>
      </c>
      <c r="C114" s="138" t="inlineStr">
        <is>
          <t>Fabric</t>
        </is>
      </c>
      <c r="D114" s="29" t="inlineStr">
        <is>
          <t>Top</t>
        </is>
      </c>
      <c r="E114" s="29" t="n"/>
      <c r="F114" s="29" t="n"/>
      <c r="G114" s="29" t="n"/>
      <c r="H114" s="29" t="n"/>
      <c r="I114" s="29" t="n"/>
      <c r="J114" s="29" t="n"/>
      <c r="K114" s="114" t="n"/>
      <c r="L114" s="31">
        <f>K114/J114</f>
        <v/>
      </c>
      <c r="M114" s="32" t="e">
        <v>#N/A</v>
      </c>
      <c r="N114" s="31">
        <f>LEFT(I114,FIND("X",I114)-1)*RIGHT(I114,LEN(I114)-FIND("X",I114)-1)*M114</f>
        <v/>
      </c>
      <c r="O114" s="33">
        <f>(N114*L114)/1000</f>
        <v/>
      </c>
    </row>
    <row r="115" ht="15" customHeight="1">
      <c r="A115" s="133" t="n"/>
      <c r="B115" s="133" t="n"/>
      <c r="C115" s="136" t="n"/>
      <c r="D115" s="11" t="inlineStr">
        <is>
          <t>Bottom</t>
        </is>
      </c>
      <c r="E115" s="11" t="n"/>
      <c r="F115" s="11" t="n"/>
      <c r="G115" s="11" t="n"/>
      <c r="H115" s="11" t="n"/>
      <c r="I115" s="11" t="n"/>
      <c r="J115" s="11" t="n"/>
      <c r="K115" s="34" t="n"/>
      <c r="L115" s="14">
        <f>K115/J115</f>
        <v/>
      </c>
      <c r="M115" s="15" t="e">
        <v>#N/A</v>
      </c>
      <c r="N115" s="14">
        <f>LEFT(I115,FIND("X",I115)-1)*RIGHT(I115,LEN(I115)-FIND("X",I115)-1)*M115</f>
        <v/>
      </c>
      <c r="O115" s="16">
        <f>(N115*L115)/1000</f>
        <v/>
      </c>
    </row>
    <row r="116" ht="15.75" customHeight="1" thickBot="1">
      <c r="A116" s="135" t="n"/>
      <c r="B116" s="135" t="n"/>
      <c r="C116" s="22" t="inlineStr">
        <is>
          <t>SVG</t>
        </is>
      </c>
      <c r="D116" s="23" t="inlineStr">
        <is>
          <t>-</t>
        </is>
      </c>
      <c r="E116" s="23" t="n">
        <v>22</v>
      </c>
      <c r="F116" s="23" t="inlineStr">
        <is>
          <t>Single</t>
        </is>
      </c>
      <c r="G116" s="23" t="inlineStr">
        <is>
          <t>C4 SVG</t>
        </is>
      </c>
      <c r="H116" s="23" t="n">
        <v>70</v>
      </c>
      <c r="I116" s="23" t="inlineStr">
        <is>
          <t>23 X 23</t>
        </is>
      </c>
      <c r="J116" s="23" t="n">
        <v>49</v>
      </c>
      <c r="K116" s="115" t="n"/>
      <c r="L116" s="25">
        <f>K116/J116</f>
        <v/>
      </c>
      <c r="M116" s="26" t="n">
        <v>0.4398148148148148</v>
      </c>
      <c r="N116" s="25">
        <f>LEFT(I116,FIND("X",I116)-1)*RIGHT(I116,LEN(I116)-FIND("X",I116)-1)*M116</f>
        <v/>
      </c>
      <c r="O116" s="27">
        <f>(N116*L116)/1000</f>
        <v/>
      </c>
    </row>
    <row r="117" ht="15" customHeight="1">
      <c r="A117" s="149" t="n">
        <v>6</v>
      </c>
      <c r="B117" s="150" t="inlineStr">
        <is>
          <t>C 32</t>
        </is>
      </c>
      <c r="C117" s="138" t="inlineStr">
        <is>
          <t>LVP</t>
        </is>
      </c>
      <c r="D117" s="29" t="inlineStr">
        <is>
          <t>Top</t>
        </is>
      </c>
      <c r="E117" s="29" t="n">
        <v>75</v>
      </c>
      <c r="F117" s="29" t="inlineStr">
        <is>
          <t>Passing</t>
        </is>
      </c>
      <c r="G117" s="29" t="inlineStr">
        <is>
          <t>C32 LVP</t>
        </is>
      </c>
      <c r="H117" s="29" t="n">
        <v>70</v>
      </c>
      <c r="I117" s="29" t="inlineStr">
        <is>
          <t>18.5 X 21.5</t>
        </is>
      </c>
      <c r="J117" s="29" t="n">
        <v>42</v>
      </c>
      <c r="K117" s="114" t="n"/>
      <c r="L117" s="31">
        <f>K117/J117</f>
        <v/>
      </c>
      <c r="M117" s="32" t="n">
        <v>1.433962264150943</v>
      </c>
      <c r="N117" s="31">
        <f>LEFT(I117,FIND("X",I117)-1)*RIGHT(I117,LEN(I117)-FIND("X",I117)-1)*M117</f>
        <v/>
      </c>
      <c r="O117" s="33">
        <f>(N117*L117)/1000</f>
        <v/>
      </c>
    </row>
    <row r="118" ht="15" customHeight="1">
      <c r="A118" s="133" t="n"/>
      <c r="B118" s="133" t="n"/>
      <c r="C118" s="136" t="n"/>
      <c r="D118" s="11" t="inlineStr">
        <is>
          <t>Bottom</t>
        </is>
      </c>
      <c r="E118" s="11" t="n"/>
      <c r="F118" s="11" t="n"/>
      <c r="G118" s="11" t="n"/>
      <c r="H118" s="11" t="n"/>
      <c r="I118" s="11" t="n"/>
      <c r="J118" s="11" t="n"/>
      <c r="K118" s="34" t="n"/>
      <c r="L118" s="14">
        <f>K118/J118</f>
        <v/>
      </c>
      <c r="M118" s="15" t="e">
        <v>#N/A</v>
      </c>
      <c r="N118" s="14">
        <f>LEFT(I118,FIND("X",I118)-1)*RIGHT(I118,LEN(I118)-FIND("X",I118)-1)*M118</f>
        <v/>
      </c>
      <c r="O118" s="16">
        <f>(N118*L118)/1000</f>
        <v/>
      </c>
    </row>
    <row r="119" ht="15.75" customHeight="1" thickBot="1">
      <c r="A119" s="135" t="n"/>
      <c r="B119" s="135" t="n"/>
      <c r="C119" s="22" t="inlineStr">
        <is>
          <t>SVG</t>
        </is>
      </c>
      <c r="D119" s="23" t="inlineStr">
        <is>
          <t>-</t>
        </is>
      </c>
      <c r="E119" s="23" t="n">
        <v>22</v>
      </c>
      <c r="F119" s="23" t="inlineStr">
        <is>
          <t>Passing</t>
        </is>
      </c>
      <c r="G119" s="23" t="inlineStr">
        <is>
          <t>C 32 SVG</t>
        </is>
      </c>
      <c r="H119" s="23" t="n">
        <v>78</v>
      </c>
      <c r="I119" s="23" t="inlineStr">
        <is>
          <t>17 X 23.5</t>
        </is>
      </c>
      <c r="J119" s="23" t="n">
        <v>35</v>
      </c>
      <c r="K119" s="115" t="n"/>
      <c r="L119" s="25">
        <f>K119/J119</f>
        <v/>
      </c>
      <c r="M119" s="26" t="n">
        <v>0.4398148148148148</v>
      </c>
      <c r="N119" s="25">
        <f>LEFT(I119,FIND("X",I119)-1)*RIGHT(I119,LEN(I119)-FIND("X",I119)-1)*M119</f>
        <v/>
      </c>
      <c r="O119" s="27">
        <f>(N119*L119)/1000</f>
        <v/>
      </c>
    </row>
    <row r="120" ht="15" customHeight="1">
      <c r="A120" s="149" t="n">
        <v>7</v>
      </c>
      <c r="B120" s="150" t="inlineStr">
        <is>
          <t>C 42</t>
        </is>
      </c>
      <c r="C120" s="138" t="inlineStr">
        <is>
          <t>LVP</t>
        </is>
      </c>
      <c r="D120" s="29" t="inlineStr">
        <is>
          <t>Top</t>
        </is>
      </c>
      <c r="E120" s="29" t="n">
        <v>75</v>
      </c>
      <c r="F120" s="29" t="inlineStr">
        <is>
          <t>Single</t>
        </is>
      </c>
      <c r="G120" s="29" t="inlineStr">
        <is>
          <t>C42 LVP</t>
        </is>
      </c>
      <c r="H120" s="29" t="inlineStr">
        <is>
          <t>102 X 102</t>
        </is>
      </c>
      <c r="I120" s="29" t="inlineStr">
        <is>
          <t>23 X 23</t>
        </is>
      </c>
      <c r="J120" s="29" t="n">
        <v>25</v>
      </c>
      <c r="K120" s="114" t="n">
        <v>375</v>
      </c>
      <c r="L120" s="31">
        <f>K120/J120</f>
        <v/>
      </c>
      <c r="M120" s="32" t="n">
        <v>1.433962264150943</v>
      </c>
      <c r="N120" s="31">
        <f>LEFT(I120,FIND("X",I120)-1)*RIGHT(I120,LEN(I120)-FIND("X",I120)-1)*M120</f>
        <v/>
      </c>
      <c r="O120" s="33">
        <f>(N120*L120)/1000</f>
        <v/>
      </c>
    </row>
    <row r="121" ht="15" customHeight="1">
      <c r="A121" s="133" t="n"/>
      <c r="B121" s="133" t="n"/>
      <c r="C121" s="136" t="n"/>
      <c r="D121" s="11" t="inlineStr">
        <is>
          <t>Bottom</t>
        </is>
      </c>
      <c r="E121" s="11" t="n"/>
      <c r="F121" s="11" t="n"/>
      <c r="G121" s="11" t="n"/>
      <c r="H121" s="11" t="n"/>
      <c r="I121" s="11" t="n"/>
      <c r="J121" s="11" t="n"/>
      <c r="K121" s="34" t="n">
        <v>375</v>
      </c>
      <c r="L121" s="14">
        <f>K121/J121</f>
        <v/>
      </c>
      <c r="M121" s="15" t="e">
        <v>#N/A</v>
      </c>
      <c r="N121" s="14">
        <f>LEFT(I121,FIND("X",I121)-1)*RIGHT(I121,LEN(I121)-FIND("X",I121)-1)*M121</f>
        <v/>
      </c>
      <c r="O121" s="16">
        <f>(N121*L121)/1000</f>
        <v/>
      </c>
    </row>
    <row r="122" ht="15.75" customHeight="1" thickBot="1">
      <c r="A122" s="135" t="n"/>
      <c r="B122" s="135" t="n"/>
      <c r="C122" s="22" t="inlineStr">
        <is>
          <t>SVG</t>
        </is>
      </c>
      <c r="D122" s="23" t="inlineStr">
        <is>
          <t>-</t>
        </is>
      </c>
      <c r="E122" s="23" t="n">
        <v>22</v>
      </c>
      <c r="F122" s="23" t="inlineStr">
        <is>
          <t>Single</t>
        </is>
      </c>
      <c r="G122" s="23" t="inlineStr">
        <is>
          <t>C42 SVG</t>
        </is>
      </c>
      <c r="H122" s="23" t="inlineStr">
        <is>
          <t>114 X 114</t>
        </is>
      </c>
      <c r="I122" s="23" t="inlineStr">
        <is>
          <t>25 X 25</t>
        </is>
      </c>
      <c r="J122" s="23" t="n">
        <v>25</v>
      </c>
      <c r="K122" s="115" t="n">
        <v>375</v>
      </c>
      <c r="L122" s="25">
        <f>K122/J122</f>
        <v/>
      </c>
      <c r="M122" s="26" t="n">
        <v>0.4398148148148148</v>
      </c>
      <c r="N122" s="25">
        <f>LEFT(I122,FIND("X",I122)-1)*RIGHT(I122,LEN(I122)-FIND("X",I122)-1)*M122</f>
        <v/>
      </c>
      <c r="O122" s="27">
        <f>(N122*L122)/1000</f>
        <v/>
      </c>
    </row>
    <row r="123" ht="15" customHeight="1">
      <c r="A123" s="149" t="n">
        <v>8</v>
      </c>
      <c r="B123" s="150" t="inlineStr">
        <is>
          <t>C 52</t>
        </is>
      </c>
      <c r="C123" s="138" t="inlineStr">
        <is>
          <t>LVP</t>
        </is>
      </c>
      <c r="D123" s="29" t="inlineStr">
        <is>
          <t>Top</t>
        </is>
      </c>
      <c r="E123" s="29" t="n">
        <v>40</v>
      </c>
      <c r="F123" s="29" t="inlineStr">
        <is>
          <t>Single</t>
        </is>
      </c>
      <c r="G123" s="29" t="inlineStr">
        <is>
          <t>C52 LVP</t>
        </is>
      </c>
      <c r="H123" s="29" t="inlineStr">
        <is>
          <t>130 X 130</t>
        </is>
      </c>
      <c r="I123" s="29" t="inlineStr">
        <is>
          <t>22.5 X 22.5</t>
        </is>
      </c>
      <c r="J123" s="29" t="n">
        <v>16</v>
      </c>
      <c r="K123" s="114" t="n">
        <v>50</v>
      </c>
      <c r="L123" s="31">
        <f>K123/J123</f>
        <v/>
      </c>
      <c r="M123" s="32" t="n">
        <v>0.6977821913273751</v>
      </c>
      <c r="N123" s="31">
        <f>LEFT(I123,FIND("X",I123)-1)*RIGHT(I123,LEN(I123)-FIND("X",I123)-1)*M123</f>
        <v/>
      </c>
      <c r="O123" s="33">
        <f>(N123*L123)/1000</f>
        <v/>
      </c>
    </row>
    <row r="124" ht="15" customHeight="1">
      <c r="A124" s="133" t="n"/>
      <c r="B124" s="133" t="n"/>
      <c r="C124" s="136" t="n"/>
      <c r="D124" s="11" t="inlineStr">
        <is>
          <t>Bottom</t>
        </is>
      </c>
      <c r="E124" s="11" t="n">
        <v>40</v>
      </c>
      <c r="F124" s="11" t="inlineStr">
        <is>
          <t>Single</t>
        </is>
      </c>
      <c r="G124" s="29" t="inlineStr">
        <is>
          <t>C52 LVP</t>
        </is>
      </c>
      <c r="H124" s="29" t="inlineStr">
        <is>
          <t>130 X 130</t>
        </is>
      </c>
      <c r="I124" s="29" t="inlineStr">
        <is>
          <t>22.5 X 22.5</t>
        </is>
      </c>
      <c r="J124" s="29" t="n">
        <v>16</v>
      </c>
      <c r="K124" s="34" t="n">
        <v>50</v>
      </c>
      <c r="L124" s="14">
        <f>K124/J124</f>
        <v/>
      </c>
      <c r="M124" s="15" t="n">
        <v>0.6977821913273751</v>
      </c>
      <c r="N124" s="14">
        <f>LEFT(I124,FIND("X",I124)-1)*RIGHT(I124,LEN(I124)-FIND("X",I124)-1)*M124</f>
        <v/>
      </c>
      <c r="O124" s="16">
        <f>(N124*L124)/1000</f>
        <v/>
      </c>
    </row>
    <row r="125" ht="15.75" customHeight="1" thickBot="1">
      <c r="A125" s="135" t="n"/>
      <c r="B125" s="135" t="n"/>
      <c r="C125" s="22" t="inlineStr">
        <is>
          <t>SVG</t>
        </is>
      </c>
      <c r="D125" s="23" t="inlineStr">
        <is>
          <t>-</t>
        </is>
      </c>
      <c r="E125" s="23" t="n">
        <v>22</v>
      </c>
      <c r="F125" s="23" t="inlineStr">
        <is>
          <t>Single</t>
        </is>
      </c>
      <c r="G125" s="23" t="inlineStr">
        <is>
          <t>C52 SVG</t>
        </is>
      </c>
      <c r="H125" s="23" t="inlineStr">
        <is>
          <t>142 X 142</t>
        </is>
      </c>
      <c r="I125" s="23" t="inlineStr">
        <is>
          <t>24.5 X 24.5</t>
        </is>
      </c>
      <c r="J125" s="23" t="n">
        <v>16</v>
      </c>
      <c r="K125" s="115" t="n">
        <v>50</v>
      </c>
      <c r="L125" s="25">
        <f>K125/J125</f>
        <v/>
      </c>
      <c r="M125" s="26" t="n">
        <v>0.4398148148148148</v>
      </c>
      <c r="N125" s="25">
        <f>LEFT(I125,FIND("X",I125)-1)*RIGHT(I125,LEN(I125)-FIND("X",I125)-1)*M125</f>
        <v/>
      </c>
      <c r="O125" s="27">
        <f>(N125*L125)/1000</f>
        <v/>
      </c>
    </row>
    <row r="126" ht="15" customHeight="1">
      <c r="A126" s="149" t="n">
        <v>9</v>
      </c>
      <c r="B126" s="150" t="inlineStr">
        <is>
          <t>C 64</t>
        </is>
      </c>
      <c r="C126" s="138" t="inlineStr">
        <is>
          <t>LVP</t>
        </is>
      </c>
      <c r="D126" s="29" t="inlineStr">
        <is>
          <t>Top</t>
        </is>
      </c>
      <c r="E126" s="29" t="n">
        <v>40</v>
      </c>
      <c r="F126" s="29" t="inlineStr">
        <is>
          <t>Single</t>
        </is>
      </c>
      <c r="G126" s="29" t="inlineStr">
        <is>
          <t>C64 LVP</t>
        </is>
      </c>
      <c r="H126" s="29" t="inlineStr">
        <is>
          <t>143 X 143</t>
        </is>
      </c>
      <c r="I126" s="29" t="inlineStr">
        <is>
          <t>24.5 X 24.5</t>
        </is>
      </c>
      <c r="J126" s="29" t="n">
        <v>16</v>
      </c>
      <c r="K126" s="114" t="n">
        <v>100</v>
      </c>
      <c r="L126" s="31">
        <f>K126/J126</f>
        <v/>
      </c>
      <c r="M126" s="32" t="n">
        <v>0.6977821913273751</v>
      </c>
      <c r="N126" s="31">
        <f>LEFT(I126,FIND("X",I126)-1)*RIGHT(I126,LEN(I126)-FIND("X",I126)-1)*M126</f>
        <v/>
      </c>
      <c r="O126" s="33">
        <f>(N126*L126)/1000</f>
        <v/>
      </c>
    </row>
    <row r="127" ht="15" customHeight="1">
      <c r="A127" s="133" t="n"/>
      <c r="B127" s="133" t="n"/>
      <c r="C127" s="136" t="n"/>
      <c r="D127" s="11" t="inlineStr">
        <is>
          <t>Bottom</t>
        </is>
      </c>
      <c r="E127" s="11" t="n">
        <v>40</v>
      </c>
      <c r="F127" s="11" t="inlineStr">
        <is>
          <t>Single</t>
        </is>
      </c>
      <c r="G127" s="29" t="inlineStr">
        <is>
          <t>C64 LVP</t>
        </is>
      </c>
      <c r="H127" s="29" t="inlineStr">
        <is>
          <t>143 X 143</t>
        </is>
      </c>
      <c r="I127" s="29" t="inlineStr">
        <is>
          <t>24.5 X 24.5</t>
        </is>
      </c>
      <c r="J127" s="29" t="n">
        <v>16</v>
      </c>
      <c r="K127" s="34" t="n">
        <v>100</v>
      </c>
      <c r="L127" s="14">
        <f>K127/J127</f>
        <v/>
      </c>
      <c r="M127" s="15" t="n">
        <v>0.6977821913273751</v>
      </c>
      <c r="N127" s="14">
        <f>LEFT(I127,FIND("X",I127)-1)*RIGHT(I127,LEN(I127)-FIND("X",I127)-1)*M127</f>
        <v/>
      </c>
      <c r="O127" s="16">
        <f>(N127*L127)/1000</f>
        <v/>
      </c>
    </row>
    <row r="128" ht="15.75" customHeight="1" thickBot="1">
      <c r="A128" s="135" t="n"/>
      <c r="B128" s="135" t="n"/>
      <c r="C128" s="22" t="inlineStr">
        <is>
          <t>SVG</t>
        </is>
      </c>
      <c r="D128" s="23" t="inlineStr">
        <is>
          <t>-</t>
        </is>
      </c>
      <c r="E128" s="23" t="n">
        <v>22</v>
      </c>
      <c r="F128" s="23" t="inlineStr">
        <is>
          <t>Single</t>
        </is>
      </c>
      <c r="G128" s="23" t="inlineStr">
        <is>
          <t>C64 SVG</t>
        </is>
      </c>
      <c r="H128" s="23" t="inlineStr">
        <is>
          <t>158 X 158</t>
        </is>
      </c>
      <c r="I128" s="23" t="inlineStr">
        <is>
          <t>20 X 20</t>
        </is>
      </c>
      <c r="J128" s="23" t="n">
        <v>9</v>
      </c>
      <c r="K128" s="115" t="n">
        <v>100</v>
      </c>
      <c r="L128" s="25">
        <f>K128/J128</f>
        <v/>
      </c>
      <c r="M128" s="26" t="n">
        <v>0.4398148148148148</v>
      </c>
      <c r="N128" s="25">
        <f>LEFT(I128,FIND("X",I128)-1)*RIGHT(I128,LEN(I128)-FIND("X",I128)-1)*M128</f>
        <v/>
      </c>
      <c r="O128" s="27">
        <f>(N128*L128)/1000</f>
        <v/>
      </c>
    </row>
    <row r="129" ht="15" customHeight="1">
      <c r="A129" s="149" t="n">
        <v>10</v>
      </c>
      <c r="B129" s="150" t="inlineStr">
        <is>
          <t>C 74</t>
        </is>
      </c>
      <c r="C129" s="138" t="inlineStr">
        <is>
          <t>LVP</t>
        </is>
      </c>
      <c r="D129" s="29" t="inlineStr">
        <is>
          <t>Top</t>
        </is>
      </c>
      <c r="E129" s="29" t="n">
        <v>40</v>
      </c>
      <c r="F129" s="29" t="inlineStr">
        <is>
          <t>Single</t>
        </is>
      </c>
      <c r="G129" s="29" t="inlineStr">
        <is>
          <t>C74 LVP</t>
        </is>
      </c>
      <c r="H129" s="29" t="inlineStr">
        <is>
          <t>165 X 165</t>
        </is>
      </c>
      <c r="I129" s="29" t="inlineStr">
        <is>
          <t>21 X 21</t>
        </is>
      </c>
      <c r="J129" s="29" t="n">
        <v>9</v>
      </c>
      <c r="K129" s="114" t="n">
        <v>100</v>
      </c>
      <c r="L129" s="31">
        <f>K129/J129</f>
        <v/>
      </c>
      <c r="M129" s="32" t="n">
        <v>0.6977821913273751</v>
      </c>
      <c r="N129" s="31">
        <f>LEFT(I129,FIND("X",I129)-1)*RIGHT(I129,LEN(I129)-FIND("X",I129)-1)*M129</f>
        <v/>
      </c>
      <c r="O129" s="33">
        <f>(N129*L129)/1000</f>
        <v/>
      </c>
    </row>
    <row r="130" ht="15" customHeight="1">
      <c r="A130" s="133" t="n"/>
      <c r="B130" s="133" t="n"/>
      <c r="C130" s="136" t="n"/>
      <c r="D130" s="11" t="inlineStr">
        <is>
          <t>Bottom</t>
        </is>
      </c>
      <c r="E130" s="11" t="n">
        <v>40</v>
      </c>
      <c r="F130" s="11" t="inlineStr">
        <is>
          <t>Single</t>
        </is>
      </c>
      <c r="G130" s="29" t="inlineStr">
        <is>
          <t>C74 LVP</t>
        </is>
      </c>
      <c r="H130" s="29" t="inlineStr">
        <is>
          <t>165 X 165</t>
        </is>
      </c>
      <c r="I130" s="29" t="inlineStr">
        <is>
          <t>21 X 21</t>
        </is>
      </c>
      <c r="J130" s="29" t="n">
        <v>9</v>
      </c>
      <c r="K130" s="34" t="n">
        <v>100</v>
      </c>
      <c r="L130" s="14">
        <f>K130/J130</f>
        <v/>
      </c>
      <c r="M130" s="15" t="n">
        <v>0.6977821913273751</v>
      </c>
      <c r="N130" s="14">
        <f>LEFT(I130,FIND("X",I130)-1)*RIGHT(I130,LEN(I130)-FIND("X",I130)-1)*M130</f>
        <v/>
      </c>
      <c r="O130" s="16">
        <f>(N130*L130)/1000</f>
        <v/>
      </c>
    </row>
    <row r="131" ht="15.75" customHeight="1" thickBot="1">
      <c r="A131" s="135" t="n"/>
      <c r="B131" s="135" t="n"/>
      <c r="C131" s="22" t="inlineStr">
        <is>
          <t>SVG</t>
        </is>
      </c>
      <c r="D131" s="23" t="inlineStr">
        <is>
          <t>-</t>
        </is>
      </c>
      <c r="E131" s="23" t="n">
        <v>22</v>
      </c>
      <c r="F131" s="23" t="inlineStr">
        <is>
          <t>Single</t>
        </is>
      </c>
      <c r="G131" s="23" t="inlineStr">
        <is>
          <t>C74 SVG</t>
        </is>
      </c>
      <c r="H131" s="23" t="inlineStr">
        <is>
          <t>182 X 182</t>
        </is>
      </c>
      <c r="I131" s="23" t="inlineStr">
        <is>
          <t>23 X 23</t>
        </is>
      </c>
      <c r="J131" s="23" t="n">
        <v>9</v>
      </c>
      <c r="K131" s="115" t="n">
        <v>100</v>
      </c>
      <c r="L131" s="25">
        <f>K131/J131</f>
        <v/>
      </c>
      <c r="M131" s="26" t="n">
        <v>0.4398148148148148</v>
      </c>
      <c r="N131" s="25">
        <f>LEFT(I131,FIND("X",I131)-1)*RIGHT(I131,LEN(I131)-FIND("X",I131)-1)*M131</f>
        <v/>
      </c>
      <c r="O131" s="27">
        <f>(N131*L131)/1000</f>
        <v/>
      </c>
    </row>
    <row r="132" ht="15" customHeight="1">
      <c r="A132" s="149" t="n">
        <v>11</v>
      </c>
      <c r="B132" s="150" t="inlineStr">
        <is>
          <t>C 84</t>
        </is>
      </c>
      <c r="C132" s="58" t="inlineStr">
        <is>
          <t>LVP</t>
        </is>
      </c>
      <c r="D132" s="29" t="inlineStr">
        <is>
          <t>Top</t>
        </is>
      </c>
      <c r="E132" s="29" t="n">
        <v>40</v>
      </c>
      <c r="F132" s="29" t="inlineStr">
        <is>
          <t>Single</t>
        </is>
      </c>
      <c r="G132" s="29" t="inlineStr">
        <is>
          <t>C84/86 LVP</t>
        </is>
      </c>
      <c r="H132" s="29" t="inlineStr">
        <is>
          <t>191 X 191</t>
        </is>
      </c>
      <c r="I132" s="29" t="inlineStr">
        <is>
          <t>24 X 24</t>
        </is>
      </c>
      <c r="J132" s="29" t="n">
        <v>9</v>
      </c>
      <c r="K132" s="114" t="n">
        <v>100</v>
      </c>
      <c r="L132" s="31">
        <f>K132/J132</f>
        <v/>
      </c>
      <c r="M132" s="32" t="n">
        <v>0.6977821913273751</v>
      </c>
      <c r="N132" s="31">
        <f>LEFT(I132,FIND("X",I132)-1)*RIGHT(I132,LEN(I132)-FIND("X",I132)-1)*M132</f>
        <v/>
      </c>
      <c r="O132" s="33">
        <f>(N132*L132)/1000</f>
        <v/>
      </c>
    </row>
    <row r="133" ht="15" customHeight="1">
      <c r="A133" s="133" t="n"/>
      <c r="B133" s="133" t="n"/>
      <c r="C133" s="59" t="n"/>
      <c r="D133" s="11" t="inlineStr">
        <is>
          <t>Bottom</t>
        </is>
      </c>
      <c r="E133" s="11" t="n">
        <v>40</v>
      </c>
      <c r="F133" s="11" t="inlineStr">
        <is>
          <t>Single</t>
        </is>
      </c>
      <c r="G133" s="29" t="inlineStr">
        <is>
          <t>C84/86 LVP</t>
        </is>
      </c>
      <c r="H133" s="29" t="inlineStr">
        <is>
          <t>191 X 191</t>
        </is>
      </c>
      <c r="I133" s="29" t="inlineStr">
        <is>
          <t>24 X 24</t>
        </is>
      </c>
      <c r="J133" s="29" t="n">
        <v>9</v>
      </c>
      <c r="K133" s="114" t="n">
        <v>100</v>
      </c>
      <c r="L133" s="14">
        <f>K133/J133</f>
        <v/>
      </c>
      <c r="M133" s="15" t="n">
        <v>0.6977821913273751</v>
      </c>
      <c r="N133" s="14">
        <f>LEFT(I133,FIND("X",I133)-1)*RIGHT(I133,LEN(I133)-FIND("X",I133)-1)*M133</f>
        <v/>
      </c>
      <c r="O133" s="16">
        <f>(N133*L133)/1000</f>
        <v/>
      </c>
    </row>
    <row r="134" ht="15.75" customHeight="1" thickBot="1">
      <c r="A134" s="135" t="n"/>
      <c r="B134" s="135" t="n"/>
      <c r="C134" s="22" t="inlineStr">
        <is>
          <t>SVG</t>
        </is>
      </c>
      <c r="D134" s="23" t="inlineStr">
        <is>
          <t>-</t>
        </is>
      </c>
      <c r="E134" s="23" t="n">
        <v>22</v>
      </c>
      <c r="F134" s="23" t="inlineStr">
        <is>
          <t>Single</t>
        </is>
      </c>
      <c r="G134" s="23" t="inlineStr">
        <is>
          <t>C84/86 SVG</t>
        </is>
      </c>
      <c r="H134" s="23" t="inlineStr">
        <is>
          <t>208 X 208</t>
        </is>
      </c>
      <c r="I134" s="23" t="inlineStr">
        <is>
          <t>26 X 26</t>
        </is>
      </c>
      <c r="J134" s="23" t="n">
        <v>9</v>
      </c>
      <c r="K134" s="114" t="n">
        <v>100</v>
      </c>
      <c r="L134" s="25">
        <f>K134/J134</f>
        <v/>
      </c>
      <c r="M134" s="26" t="n">
        <v>0.4398148148148148</v>
      </c>
      <c r="N134" s="25">
        <f>LEFT(I134,FIND("X",I134)-1)*RIGHT(I134,LEN(I134)-FIND("X",I134)-1)*M134</f>
        <v/>
      </c>
      <c r="O134" s="27">
        <f>(N134*L134)/1000</f>
        <v/>
      </c>
    </row>
    <row r="135" ht="15" customHeight="1">
      <c r="A135" s="149" t="n">
        <v>12</v>
      </c>
      <c r="B135" s="150" t="inlineStr">
        <is>
          <t>C 86</t>
        </is>
      </c>
      <c r="C135" s="58" t="inlineStr">
        <is>
          <t>LVP</t>
        </is>
      </c>
      <c r="D135" s="29" t="inlineStr">
        <is>
          <t>Top</t>
        </is>
      </c>
      <c r="E135" s="29" t="n">
        <v>40</v>
      </c>
      <c r="F135" s="29" t="inlineStr">
        <is>
          <t>Single</t>
        </is>
      </c>
      <c r="G135" s="29" t="inlineStr">
        <is>
          <t>C84/86 LVP</t>
        </is>
      </c>
      <c r="H135" s="29" t="inlineStr">
        <is>
          <t>191 X 191</t>
        </is>
      </c>
      <c r="I135" s="29" t="inlineStr">
        <is>
          <t>24 X 24</t>
        </is>
      </c>
      <c r="J135" s="29" t="n">
        <v>9</v>
      </c>
      <c r="K135" s="114" t="n"/>
      <c r="L135" s="31">
        <f>K135/J135</f>
        <v/>
      </c>
      <c r="M135" s="32" t="n">
        <v>0.6977821913273751</v>
      </c>
      <c r="N135" s="31">
        <f>LEFT(I135,FIND("X",I135)-1)*RIGHT(I135,LEN(I135)-FIND("X",I135)-1)*M135</f>
        <v/>
      </c>
      <c r="O135" s="33">
        <f>(N135*L135)/1000</f>
        <v/>
      </c>
    </row>
    <row r="136" ht="15" customHeight="1">
      <c r="A136" s="133" t="n"/>
      <c r="B136" s="133" t="n"/>
      <c r="C136" s="59" t="n"/>
      <c r="D136" s="11" t="inlineStr">
        <is>
          <t>Bottom</t>
        </is>
      </c>
      <c r="E136" s="11" t="n">
        <v>40</v>
      </c>
      <c r="F136" s="11" t="inlineStr">
        <is>
          <t>Single</t>
        </is>
      </c>
      <c r="G136" s="29" t="inlineStr">
        <is>
          <t>C84/86 LVP</t>
        </is>
      </c>
      <c r="H136" s="29" t="inlineStr">
        <is>
          <t>191 X 191</t>
        </is>
      </c>
      <c r="I136" s="29" t="inlineStr">
        <is>
          <t>24 X 24</t>
        </is>
      </c>
      <c r="J136" s="29" t="n">
        <v>9</v>
      </c>
      <c r="K136" s="34" t="n"/>
      <c r="L136" s="14">
        <f>K136/J136</f>
        <v/>
      </c>
      <c r="M136" s="15" t="n">
        <v>0.6977821913273751</v>
      </c>
      <c r="N136" s="14">
        <f>LEFT(I136,FIND("X",I136)-1)*RIGHT(I136,LEN(I136)-FIND("X",I136)-1)*M136</f>
        <v/>
      </c>
      <c r="O136" s="16">
        <f>(N136*L136)/1000</f>
        <v/>
      </c>
    </row>
    <row r="137" ht="15.75" customHeight="1" thickBot="1">
      <c r="A137" s="135" t="n"/>
      <c r="B137" s="135" t="n"/>
      <c r="C137" s="22" t="inlineStr">
        <is>
          <t>SVG</t>
        </is>
      </c>
      <c r="D137" s="23" t="inlineStr">
        <is>
          <t>-</t>
        </is>
      </c>
      <c r="E137" s="23" t="n">
        <v>22</v>
      </c>
      <c r="F137" s="23" t="inlineStr">
        <is>
          <t>Single</t>
        </is>
      </c>
      <c r="G137" s="23" t="inlineStr">
        <is>
          <t>C84/86 SVG</t>
        </is>
      </c>
      <c r="H137" s="23" t="inlineStr">
        <is>
          <t>208 X 208</t>
        </is>
      </c>
      <c r="I137" s="23" t="inlineStr">
        <is>
          <t>26 X 26</t>
        </is>
      </c>
      <c r="J137" s="23" t="n">
        <v>9</v>
      </c>
      <c r="K137" s="115" t="n"/>
      <c r="L137" s="25">
        <f>K137/J137</f>
        <v/>
      </c>
      <c r="M137" s="26" t="n">
        <v>0.4398148148148148</v>
      </c>
      <c r="N137" s="25">
        <f>LEFT(I137,FIND("X",I137)-1)*RIGHT(I137,LEN(I137)-FIND("X",I137)-1)*M137</f>
        <v/>
      </c>
      <c r="O137" s="27">
        <f>(N137*L137)/1000</f>
        <v/>
      </c>
    </row>
    <row r="138" ht="15" customHeight="1">
      <c r="A138" s="149" t="n">
        <v>13</v>
      </c>
      <c r="B138" s="150" t="inlineStr">
        <is>
          <t>C 104</t>
        </is>
      </c>
      <c r="C138" s="58" t="inlineStr">
        <is>
          <t>LVP</t>
        </is>
      </c>
      <c r="D138" s="29" t="inlineStr">
        <is>
          <t>Top</t>
        </is>
      </c>
      <c r="E138" s="29" t="n">
        <v>40</v>
      </c>
      <c r="F138" s="29" t="inlineStr">
        <is>
          <t>Single</t>
        </is>
      </c>
      <c r="G138" s="29" t="inlineStr">
        <is>
          <t>C104 LVP</t>
        </is>
      </c>
      <c r="H138" s="29" t="inlineStr">
        <is>
          <t>247 X 247</t>
        </is>
      </c>
      <c r="I138" s="29" t="inlineStr">
        <is>
          <t>20.5 X 20.5</t>
        </is>
      </c>
      <c r="J138" s="29" t="n">
        <v>4</v>
      </c>
      <c r="K138" s="114" t="n"/>
      <c r="L138" s="31">
        <f>K138/J138</f>
        <v/>
      </c>
      <c r="M138" s="32" t="n">
        <v>0.6977821913273751</v>
      </c>
      <c r="N138" s="31">
        <f>LEFT(I138,FIND("X",I138)-1)*RIGHT(I138,LEN(I138)-FIND("X",I138)-1)*M138</f>
        <v/>
      </c>
      <c r="O138" s="33">
        <f>(N138*L138)/1000</f>
        <v/>
      </c>
    </row>
    <row r="139" ht="15" customHeight="1">
      <c r="A139" s="133" t="n"/>
      <c r="B139" s="133" t="n"/>
      <c r="C139" s="59" t="n"/>
      <c r="D139" s="11" t="inlineStr">
        <is>
          <t>Bottom</t>
        </is>
      </c>
      <c r="E139" s="11" t="n">
        <v>40</v>
      </c>
      <c r="F139" s="11" t="inlineStr">
        <is>
          <t>Single</t>
        </is>
      </c>
      <c r="G139" s="29" t="inlineStr">
        <is>
          <t>C104 LVP</t>
        </is>
      </c>
      <c r="H139" s="29" t="inlineStr">
        <is>
          <t>247 X 247</t>
        </is>
      </c>
      <c r="I139" s="29" t="inlineStr">
        <is>
          <t>20.5 X 20.5</t>
        </is>
      </c>
      <c r="J139" s="29" t="n">
        <v>4</v>
      </c>
      <c r="K139" s="34" t="n"/>
      <c r="L139" s="14">
        <f>K139/J139</f>
        <v/>
      </c>
      <c r="M139" s="15" t="n">
        <v>0.6977821913273751</v>
      </c>
      <c r="N139" s="14">
        <f>LEFT(I139,FIND("X",I139)-1)*RIGHT(I139,LEN(I139)-FIND("X",I139)-1)*M139</f>
        <v/>
      </c>
      <c r="O139" s="16">
        <f>(N139*L139)/1000</f>
        <v/>
      </c>
    </row>
    <row r="140" ht="15.75" customHeight="1" thickBot="1">
      <c r="A140" s="135" t="n"/>
      <c r="B140" s="135" t="n"/>
      <c r="C140" s="22" t="inlineStr">
        <is>
          <t>SVG</t>
        </is>
      </c>
      <c r="D140" s="23" t="inlineStr">
        <is>
          <t>-</t>
        </is>
      </c>
      <c r="E140" s="23" t="n">
        <v>22</v>
      </c>
      <c r="F140" s="23" t="inlineStr">
        <is>
          <t>Single</t>
        </is>
      </c>
      <c r="G140" s="23" t="inlineStr">
        <is>
          <t>C104 SVG</t>
        </is>
      </c>
      <c r="H140" s="23" t="inlineStr">
        <is>
          <t>260 X 260</t>
        </is>
      </c>
      <c r="I140" s="23" t="inlineStr">
        <is>
          <t>21.5 X 21.5</t>
        </is>
      </c>
      <c r="J140" s="23" t="n">
        <v>4</v>
      </c>
      <c r="K140" s="115" t="n"/>
      <c r="L140" s="25">
        <f>K140/J140</f>
        <v/>
      </c>
      <c r="M140" s="26" t="n">
        <v>0.4398148148148148</v>
      </c>
      <c r="N140" s="25">
        <f>LEFT(I140,FIND("X",I140)-1)*RIGHT(I140,LEN(I140)-FIND("X",I140)-1)*M140</f>
        <v/>
      </c>
      <c r="O140" s="27">
        <f>(N140*L140)/1000</f>
        <v/>
      </c>
    </row>
    <row r="141" ht="15" customHeight="1">
      <c r="A141" s="149" t="n">
        <v>14</v>
      </c>
      <c r="B141" s="150" t="inlineStr">
        <is>
          <t>C 106</t>
        </is>
      </c>
      <c r="C141" s="58" t="inlineStr">
        <is>
          <t>LVP</t>
        </is>
      </c>
      <c r="D141" s="29" t="inlineStr">
        <is>
          <t>Top</t>
        </is>
      </c>
      <c r="E141" s="29" t="n">
        <v>60</v>
      </c>
      <c r="F141" s="29" t="inlineStr">
        <is>
          <t>Single</t>
        </is>
      </c>
      <c r="G141" s="29" t="inlineStr">
        <is>
          <t>C104 LVP</t>
        </is>
      </c>
      <c r="H141" s="29" t="inlineStr">
        <is>
          <t>247 X 247</t>
        </is>
      </c>
      <c r="I141" s="29" t="inlineStr">
        <is>
          <t>20.5 X 20.5</t>
        </is>
      </c>
      <c r="J141" s="29" t="n">
        <v>4</v>
      </c>
      <c r="K141" s="114" t="n"/>
      <c r="L141" s="31">
        <f>K141/J141</f>
        <v/>
      </c>
      <c r="M141" s="32" t="n">
        <v>1.103988603988604</v>
      </c>
      <c r="N141" s="31">
        <f>LEFT(I141,FIND("X",I141)-1)*RIGHT(I141,LEN(I141)-FIND("X",I141)-1)*M141</f>
        <v/>
      </c>
      <c r="O141" s="33">
        <f>(N141*L141)/1000</f>
        <v/>
      </c>
    </row>
    <row r="142" ht="15" customHeight="1">
      <c r="A142" s="133" t="n"/>
      <c r="B142" s="133" t="n"/>
      <c r="C142" s="59" t="n"/>
      <c r="D142" s="11" t="inlineStr">
        <is>
          <t>Bottom</t>
        </is>
      </c>
      <c r="E142" s="11" t="n">
        <v>40</v>
      </c>
      <c r="F142" s="11" t="inlineStr">
        <is>
          <t>Single</t>
        </is>
      </c>
      <c r="G142" s="29" t="inlineStr">
        <is>
          <t>C104 LVP</t>
        </is>
      </c>
      <c r="H142" s="29" t="inlineStr">
        <is>
          <t>247 X 247</t>
        </is>
      </c>
      <c r="I142" s="29" t="inlineStr">
        <is>
          <t>20.5 X 20.5</t>
        </is>
      </c>
      <c r="J142" s="29" t="n">
        <v>4</v>
      </c>
      <c r="K142" s="34" t="n"/>
      <c r="L142" s="14">
        <f>K142/J142</f>
        <v/>
      </c>
      <c r="M142" s="15" t="n">
        <v>0.6977821913273751</v>
      </c>
      <c r="N142" s="14">
        <f>LEFT(I142,FIND("X",I142)-1)*RIGHT(I142,LEN(I142)-FIND("X",I142)-1)*M142</f>
        <v/>
      </c>
      <c r="O142" s="16">
        <f>(N142*L142)/1000</f>
        <v/>
      </c>
    </row>
    <row r="143" ht="15.75" customHeight="1" thickBot="1">
      <c r="A143" s="135" t="n"/>
      <c r="B143" s="135" t="n"/>
      <c r="C143" s="22" t="inlineStr">
        <is>
          <t>SVG</t>
        </is>
      </c>
      <c r="D143" s="23" t="inlineStr">
        <is>
          <t>-</t>
        </is>
      </c>
      <c r="E143" s="23" t="n">
        <v>22</v>
      </c>
      <c r="F143" s="23" t="inlineStr">
        <is>
          <t>Single</t>
        </is>
      </c>
      <c r="G143" s="23" t="inlineStr">
        <is>
          <t>C104 SVG</t>
        </is>
      </c>
      <c r="H143" s="23" t="inlineStr">
        <is>
          <t>260 X 260</t>
        </is>
      </c>
      <c r="I143" s="23" t="inlineStr">
        <is>
          <t>21.5 X 21.5</t>
        </is>
      </c>
      <c r="J143" s="23" t="n">
        <v>4</v>
      </c>
      <c r="K143" s="115" t="n"/>
      <c r="L143" s="25">
        <f>K143/J143</f>
        <v/>
      </c>
      <c r="M143" s="26" t="n">
        <v>0.4398148148148148</v>
      </c>
      <c r="N143" s="25">
        <f>LEFT(I143,FIND("X",I143)-1)*RIGHT(I143,LEN(I143)-FIND("X",I143)-1)*M143</f>
        <v/>
      </c>
      <c r="O143" s="27">
        <f>(N143*L143)/1000</f>
        <v/>
      </c>
    </row>
    <row r="144" ht="15" customHeight="1">
      <c r="A144" s="149" t="n">
        <v>15</v>
      </c>
      <c r="B144" s="150" t="inlineStr">
        <is>
          <t>C 108</t>
        </is>
      </c>
      <c r="C144" s="58" t="inlineStr">
        <is>
          <t>LVP</t>
        </is>
      </c>
      <c r="D144" s="29" t="inlineStr">
        <is>
          <t>Top</t>
        </is>
      </c>
      <c r="E144" s="29" t="n">
        <v>60</v>
      </c>
      <c r="F144" s="29" t="inlineStr">
        <is>
          <t>Single</t>
        </is>
      </c>
      <c r="G144" s="29" t="inlineStr">
        <is>
          <t>C104 LVP</t>
        </is>
      </c>
      <c r="H144" s="29" t="inlineStr">
        <is>
          <t>247 X 247</t>
        </is>
      </c>
      <c r="I144" s="29" t="inlineStr">
        <is>
          <t>20.5 X 20.5</t>
        </is>
      </c>
      <c r="J144" s="29" t="n">
        <v>4</v>
      </c>
      <c r="K144" s="114" t="n"/>
      <c r="L144" s="31">
        <f>K144/J144</f>
        <v/>
      </c>
      <c r="M144" s="32" t="n">
        <v>1.103988603988604</v>
      </c>
      <c r="N144" s="31">
        <f>LEFT(I144,FIND("X",I144)-1)*RIGHT(I144,LEN(I144)-FIND("X",I144)-1)*M144</f>
        <v/>
      </c>
      <c r="O144" s="33">
        <f>(N144*L144)/1000</f>
        <v/>
      </c>
    </row>
    <row r="145" ht="15" customHeight="1">
      <c r="A145" s="133" t="n"/>
      <c r="B145" s="133" t="n"/>
      <c r="C145" s="59" t="n"/>
      <c r="D145" s="11" t="inlineStr">
        <is>
          <t>Bottom</t>
        </is>
      </c>
      <c r="E145" s="11" t="n">
        <v>40</v>
      </c>
      <c r="F145" s="11" t="inlineStr">
        <is>
          <t>Single</t>
        </is>
      </c>
      <c r="G145" s="29" t="inlineStr">
        <is>
          <t>C104 LVP</t>
        </is>
      </c>
      <c r="H145" s="29" t="inlineStr">
        <is>
          <t>247 X 247</t>
        </is>
      </c>
      <c r="I145" s="29" t="inlineStr">
        <is>
          <t>20.5 X 20.5</t>
        </is>
      </c>
      <c r="J145" s="29" t="n">
        <v>4</v>
      </c>
      <c r="K145" s="34" t="n"/>
      <c r="L145" s="14">
        <f>K145/J145</f>
        <v/>
      </c>
      <c r="M145" s="15" t="n">
        <v>0.6977821913273751</v>
      </c>
      <c r="N145" s="14">
        <f>LEFT(I145,FIND("X",I145)-1)*RIGHT(I145,LEN(I145)-FIND("X",I145)-1)*M145</f>
        <v/>
      </c>
      <c r="O145" s="16">
        <f>(N145*L145)/1000</f>
        <v/>
      </c>
    </row>
    <row r="146" ht="15.75" customHeight="1" thickBot="1">
      <c r="A146" s="135" t="n"/>
      <c r="B146" s="135" t="n"/>
      <c r="C146" s="22" t="inlineStr">
        <is>
          <t>SVG</t>
        </is>
      </c>
      <c r="D146" s="23" t="inlineStr">
        <is>
          <t>-</t>
        </is>
      </c>
      <c r="E146" s="23" t="n">
        <v>22</v>
      </c>
      <c r="F146" s="23" t="inlineStr">
        <is>
          <t>Single</t>
        </is>
      </c>
      <c r="G146" s="23" t="inlineStr">
        <is>
          <t>C104 SVG</t>
        </is>
      </c>
      <c r="H146" s="23" t="inlineStr">
        <is>
          <t>260 X 260</t>
        </is>
      </c>
      <c r="I146" s="23" t="inlineStr">
        <is>
          <t>21.5 X 21.5</t>
        </is>
      </c>
      <c r="J146" s="23" t="n">
        <v>4</v>
      </c>
      <c r="K146" s="115" t="n"/>
      <c r="L146" s="25">
        <f>K146/J146</f>
        <v/>
      </c>
      <c r="M146" s="26" t="n">
        <v>0.4398148148148148</v>
      </c>
      <c r="N146" s="25">
        <f>LEFT(I146,FIND("X",I146)-1)*RIGHT(I146,LEN(I146)-FIND("X",I146)-1)*M146</f>
        <v/>
      </c>
      <c r="O146" s="27">
        <f>(N146*L146)/1000</f>
        <v/>
      </c>
    </row>
    <row r="147" ht="15" customHeight="1">
      <c r="A147" s="149" t="n">
        <v>16</v>
      </c>
      <c r="B147" s="150" t="inlineStr">
        <is>
          <t>C 126</t>
        </is>
      </c>
      <c r="C147" s="58" t="inlineStr">
        <is>
          <t>LVP</t>
        </is>
      </c>
      <c r="D147" s="29" t="inlineStr">
        <is>
          <t>Top</t>
        </is>
      </c>
      <c r="E147" s="29" t="n">
        <v>60</v>
      </c>
      <c r="F147" s="29" t="inlineStr">
        <is>
          <t>Single</t>
        </is>
      </c>
      <c r="G147" s="29" t="inlineStr">
        <is>
          <t>C126 /128 LVP</t>
        </is>
      </c>
      <c r="H147" s="29" t="inlineStr">
        <is>
          <t>289 X 289</t>
        </is>
      </c>
      <c r="I147" s="29" t="inlineStr">
        <is>
          <t>24 X 24</t>
        </is>
      </c>
      <c r="J147" s="29" t="n">
        <v>4</v>
      </c>
      <c r="K147" s="114" t="n"/>
      <c r="L147" s="31">
        <f>K147/J147</f>
        <v/>
      </c>
      <c r="M147" s="32" t="n">
        <v>1.103988603988604</v>
      </c>
      <c r="N147" s="31">
        <f>LEFT(I147,FIND("X",I147)-1)*RIGHT(I147,LEN(I147)-FIND("X",I147)-1)*M147</f>
        <v/>
      </c>
      <c r="O147" s="33">
        <f>(N147*L147)/1000</f>
        <v/>
      </c>
    </row>
    <row r="148" ht="15" customHeight="1">
      <c r="A148" s="133" t="n"/>
      <c r="B148" s="133" t="n"/>
      <c r="C148" s="59" t="n"/>
      <c r="D148" s="11" t="inlineStr">
        <is>
          <t>Bottom</t>
        </is>
      </c>
      <c r="E148" s="11" t="n">
        <v>40</v>
      </c>
      <c r="F148" s="11" t="inlineStr">
        <is>
          <t>Single</t>
        </is>
      </c>
      <c r="G148" s="29" t="inlineStr">
        <is>
          <t>C126 /128 LVP</t>
        </is>
      </c>
      <c r="H148" s="29" t="inlineStr">
        <is>
          <t>289 X 289</t>
        </is>
      </c>
      <c r="I148" s="29" t="inlineStr">
        <is>
          <t>24 X 24</t>
        </is>
      </c>
      <c r="J148" s="29" t="n">
        <v>4</v>
      </c>
      <c r="K148" s="34" t="n"/>
      <c r="L148" s="14">
        <f>K148/J148</f>
        <v/>
      </c>
      <c r="M148" s="15" t="n">
        <v>0.6977821913273751</v>
      </c>
      <c r="N148" s="14">
        <f>LEFT(I148,FIND("X",I148)-1)*RIGHT(I148,LEN(I148)-FIND("X",I148)-1)*M148</f>
        <v/>
      </c>
      <c r="O148" s="16">
        <f>(N148*L148)/1000</f>
        <v/>
      </c>
    </row>
    <row r="149" ht="15.75" customHeight="1" thickBot="1">
      <c r="A149" s="135" t="n"/>
      <c r="B149" s="135" t="n"/>
      <c r="C149" s="22" t="inlineStr">
        <is>
          <t>SVG</t>
        </is>
      </c>
      <c r="D149" s="23" t="inlineStr">
        <is>
          <t>-</t>
        </is>
      </c>
      <c r="E149" s="23" t="n">
        <v>22</v>
      </c>
      <c r="F149" s="23" t="inlineStr">
        <is>
          <t>Single</t>
        </is>
      </c>
      <c r="G149" s="23" t="inlineStr">
        <is>
          <t>C126 /128 SVG</t>
        </is>
      </c>
      <c r="H149" s="23" t="inlineStr">
        <is>
          <t>308 X 308</t>
        </is>
      </c>
      <c r="I149" s="23" t="inlineStr">
        <is>
          <t>25 X 25</t>
        </is>
      </c>
      <c r="J149" s="23" t="n">
        <v>3</v>
      </c>
      <c r="K149" s="115" t="n"/>
      <c r="L149" s="25">
        <f>K149/J149</f>
        <v/>
      </c>
      <c r="M149" s="26" t="n">
        <v>0.4398148148148148</v>
      </c>
      <c r="N149" s="25">
        <f>LEFT(I149,FIND("X",I149)-1)*RIGHT(I149,LEN(I149)-FIND("X",I149)-1)*M149</f>
        <v/>
      </c>
      <c r="O149" s="27">
        <f>(N149*L149)/1000</f>
        <v/>
      </c>
    </row>
    <row r="150" ht="15" customHeight="1">
      <c r="A150" s="149" t="n">
        <v>17</v>
      </c>
      <c r="B150" s="150" t="inlineStr">
        <is>
          <t>C 128</t>
        </is>
      </c>
      <c r="C150" s="58" t="inlineStr">
        <is>
          <t>LVP</t>
        </is>
      </c>
      <c r="D150" s="29" t="inlineStr">
        <is>
          <t>Top</t>
        </is>
      </c>
      <c r="E150" s="29" t="n">
        <v>40</v>
      </c>
      <c r="F150" s="29" t="inlineStr">
        <is>
          <t>Single</t>
        </is>
      </c>
      <c r="G150" s="29" t="inlineStr">
        <is>
          <t>C126 /128 LVP</t>
        </is>
      </c>
      <c r="H150" s="29" t="inlineStr">
        <is>
          <t>289 X 289</t>
        </is>
      </c>
      <c r="I150" s="29" t="inlineStr">
        <is>
          <t>24 X 24</t>
        </is>
      </c>
      <c r="J150" s="29" t="n">
        <v>4</v>
      </c>
      <c r="K150" s="114" t="n"/>
      <c r="L150" s="31">
        <f>K150/J150</f>
        <v/>
      </c>
      <c r="M150" s="32" t="n">
        <v>0.6977821913273751</v>
      </c>
      <c r="N150" s="31">
        <f>LEFT(I150,FIND("X",I150)-1)*RIGHT(I150,LEN(I150)-FIND("X",I150)-1)*M150</f>
        <v/>
      </c>
      <c r="O150" s="33">
        <f>(N150*L150)/1000</f>
        <v/>
      </c>
    </row>
    <row r="151" ht="15" customHeight="1">
      <c r="A151" s="133" t="n"/>
      <c r="B151" s="133" t="n"/>
      <c r="C151" s="59" t="n"/>
      <c r="D151" s="11" t="inlineStr">
        <is>
          <t>Bottom</t>
        </is>
      </c>
      <c r="E151" s="11" t="n">
        <v>40</v>
      </c>
      <c r="F151" s="11" t="inlineStr">
        <is>
          <t>Single</t>
        </is>
      </c>
      <c r="G151" s="29" t="inlineStr">
        <is>
          <t>C126 /128 LVP</t>
        </is>
      </c>
      <c r="H151" s="29" t="inlineStr">
        <is>
          <t>289 X 289</t>
        </is>
      </c>
      <c r="I151" s="29" t="inlineStr">
        <is>
          <t>24 X 24</t>
        </is>
      </c>
      <c r="J151" s="29" t="n">
        <v>4</v>
      </c>
      <c r="K151" s="34" t="n"/>
      <c r="L151" s="14">
        <f>K151/J151</f>
        <v/>
      </c>
      <c r="M151" s="15" t="n">
        <v>0.6977821913273751</v>
      </c>
      <c r="N151" s="14">
        <f>LEFT(I151,FIND("X",I151)-1)*RIGHT(I151,LEN(I151)-FIND("X",I151)-1)*M151</f>
        <v/>
      </c>
      <c r="O151" s="16">
        <f>(N151*L151)/1000</f>
        <v/>
      </c>
    </row>
    <row r="152" ht="15.75" customHeight="1" thickBot="1">
      <c r="A152" s="135" t="n"/>
      <c r="B152" s="135" t="n"/>
      <c r="C152" s="22" t="inlineStr">
        <is>
          <t>SVG</t>
        </is>
      </c>
      <c r="D152" s="23" t="inlineStr">
        <is>
          <t>-</t>
        </is>
      </c>
      <c r="E152" s="23" t="n">
        <v>22</v>
      </c>
      <c r="F152" s="23" t="inlineStr">
        <is>
          <t>Single</t>
        </is>
      </c>
      <c r="G152" s="23" t="inlineStr">
        <is>
          <t>C126 /128 SVG</t>
        </is>
      </c>
      <c r="H152" s="23" t="inlineStr">
        <is>
          <t>308 X 308</t>
        </is>
      </c>
      <c r="I152" s="23" t="inlineStr">
        <is>
          <t>25 X 25</t>
        </is>
      </c>
      <c r="J152" s="23" t="n">
        <v>3</v>
      </c>
      <c r="K152" s="115" t="n"/>
      <c r="L152" s="25">
        <f>K152/J152</f>
        <v/>
      </c>
      <c r="M152" s="26" t="n">
        <v>0.4398148148148148</v>
      </c>
      <c r="N152" s="25">
        <f>LEFT(I152,FIND("X",I152)-1)*RIGHT(I152,LEN(I152)-FIND("X",I152)-1)*M152</f>
        <v/>
      </c>
      <c r="O152" s="27">
        <f>(N152*L152)/1000</f>
        <v/>
      </c>
    </row>
    <row r="153" ht="15" customHeight="1">
      <c r="A153" s="149" t="n">
        <v>18</v>
      </c>
      <c r="B153" s="150" t="inlineStr">
        <is>
          <t>C 146</t>
        </is>
      </c>
      <c r="C153" s="58" t="inlineStr">
        <is>
          <t>LVP</t>
        </is>
      </c>
      <c r="D153" s="29" t="inlineStr">
        <is>
          <t>Top</t>
        </is>
      </c>
      <c r="E153" s="29" t="n">
        <v>40</v>
      </c>
      <c r="F153" s="29" t="inlineStr">
        <is>
          <t>Single</t>
        </is>
      </c>
      <c r="G153" s="29" t="inlineStr">
        <is>
          <t>C146 /148 LVP</t>
        </is>
      </c>
      <c r="H153" s="29" t="inlineStr">
        <is>
          <t>345 X 345</t>
        </is>
      </c>
      <c r="I153" s="29" t="inlineStr">
        <is>
          <t>14 X 14</t>
        </is>
      </c>
      <c r="J153" s="29" t="n">
        <v>1</v>
      </c>
      <c r="K153" s="114" t="n"/>
      <c r="L153" s="31">
        <f>K153/J153</f>
        <v/>
      </c>
      <c r="M153" s="32" t="n">
        <v>0.6977821913273751</v>
      </c>
      <c r="N153" s="31">
        <f>LEFT(I153,FIND("X",I153)-1)*RIGHT(I153,LEN(I153)-FIND("X",I153)-1)*M153</f>
        <v/>
      </c>
      <c r="O153" s="33">
        <f>(N153*L153)/1000</f>
        <v/>
      </c>
    </row>
    <row r="154" ht="15" customHeight="1">
      <c r="A154" s="133" t="n"/>
      <c r="B154" s="133" t="n"/>
      <c r="C154" s="59" t="n"/>
      <c r="D154" s="11" t="inlineStr">
        <is>
          <t>Bottom</t>
        </is>
      </c>
      <c r="E154" s="11" t="n">
        <v>40</v>
      </c>
      <c r="F154" s="11" t="inlineStr">
        <is>
          <t>Single</t>
        </is>
      </c>
      <c r="G154" s="29" t="inlineStr">
        <is>
          <t>C146 /148 LVP</t>
        </is>
      </c>
      <c r="H154" s="29" t="inlineStr">
        <is>
          <t>345 X 345</t>
        </is>
      </c>
      <c r="I154" s="29" t="inlineStr">
        <is>
          <t>14 X 14</t>
        </is>
      </c>
      <c r="J154" s="29" t="n">
        <v>1</v>
      </c>
      <c r="K154" s="34" t="n"/>
      <c r="L154" s="14">
        <f>K154/J154</f>
        <v/>
      </c>
      <c r="M154" s="15" t="n">
        <v>0.6977821913273751</v>
      </c>
      <c r="N154" s="14">
        <f>LEFT(I154,FIND("X",I154)-1)*RIGHT(I154,LEN(I154)-FIND("X",I154)-1)*M154</f>
        <v/>
      </c>
      <c r="O154" s="16">
        <f>(N154*L154)/1000</f>
        <v/>
      </c>
    </row>
    <row r="155" ht="15.75" customHeight="1" thickBot="1">
      <c r="A155" s="135" t="n"/>
      <c r="B155" s="135" t="n"/>
      <c r="C155" s="22" t="inlineStr">
        <is>
          <t>SVG</t>
        </is>
      </c>
      <c r="D155" s="23" t="inlineStr">
        <is>
          <t>-</t>
        </is>
      </c>
      <c r="E155" s="23" t="n">
        <v>22</v>
      </c>
      <c r="F155" s="23" t="inlineStr">
        <is>
          <t>Single</t>
        </is>
      </c>
      <c r="G155" s="23" t="inlineStr">
        <is>
          <t>C146 / 148 SVG</t>
        </is>
      </c>
      <c r="H155" s="23" t="inlineStr">
        <is>
          <t>358 X 358</t>
        </is>
      </c>
      <c r="I155" s="23" t="inlineStr">
        <is>
          <t>14.5 X 14.5</t>
        </is>
      </c>
      <c r="J155" s="23" t="n">
        <v>1</v>
      </c>
      <c r="K155" s="115" t="n"/>
      <c r="L155" s="25">
        <f>K155/J155</f>
        <v/>
      </c>
      <c r="M155" s="26" t="n">
        <v>0.4398148148148148</v>
      </c>
      <c r="N155" s="25">
        <f>LEFT(I155,FIND("X",I155)-1)*RIGHT(I155,LEN(I155)-FIND("X",I155)-1)*M155</f>
        <v/>
      </c>
      <c r="O155" s="27">
        <f>(N155*L155)/1000</f>
        <v/>
      </c>
    </row>
    <row r="156" ht="15" customHeight="1">
      <c r="A156" s="149" t="n">
        <v>19</v>
      </c>
      <c r="B156" s="150" t="inlineStr">
        <is>
          <t>C 148</t>
        </is>
      </c>
      <c r="C156" s="58" t="inlineStr">
        <is>
          <t>LVP</t>
        </is>
      </c>
      <c r="D156" s="29" t="inlineStr">
        <is>
          <t>Top</t>
        </is>
      </c>
      <c r="E156" s="29" t="n">
        <v>40</v>
      </c>
      <c r="F156" s="29" t="inlineStr">
        <is>
          <t>Single</t>
        </is>
      </c>
      <c r="G156" s="29" t="inlineStr">
        <is>
          <t>C146 /148 LVP</t>
        </is>
      </c>
      <c r="H156" s="29" t="inlineStr">
        <is>
          <t>345 X 345</t>
        </is>
      </c>
      <c r="I156" s="29" t="inlineStr">
        <is>
          <t>14 X 14</t>
        </is>
      </c>
      <c r="J156" s="29" t="n">
        <v>1</v>
      </c>
      <c r="K156" s="114" t="n"/>
      <c r="L156" s="31">
        <f>K156/J156</f>
        <v/>
      </c>
      <c r="M156" s="32" t="n">
        <v>0.6977821913273751</v>
      </c>
      <c r="N156" s="31">
        <f>LEFT(I156,FIND("X",I156)-1)*RIGHT(I156,LEN(I156)-FIND("X",I156)-1)*M156</f>
        <v/>
      </c>
      <c r="O156" s="33">
        <f>(N156*L156)/1000</f>
        <v/>
      </c>
    </row>
    <row r="157" ht="15" customHeight="1">
      <c r="A157" s="133" t="n"/>
      <c r="B157" s="133" t="n"/>
      <c r="C157" s="59" t="n"/>
      <c r="D157" s="11" t="inlineStr">
        <is>
          <t>Bottom</t>
        </is>
      </c>
      <c r="E157" s="11" t="n">
        <v>40</v>
      </c>
      <c r="F157" s="11" t="inlineStr">
        <is>
          <t>Single</t>
        </is>
      </c>
      <c r="G157" s="29" t="inlineStr">
        <is>
          <t>C146 /148 LVP</t>
        </is>
      </c>
      <c r="H157" s="29" t="inlineStr">
        <is>
          <t>345 X 345</t>
        </is>
      </c>
      <c r="I157" s="29" t="inlineStr">
        <is>
          <t>14 X 14</t>
        </is>
      </c>
      <c r="J157" s="29" t="n">
        <v>1</v>
      </c>
      <c r="K157" s="34" t="n"/>
      <c r="L157" s="14">
        <f>K157/J157</f>
        <v/>
      </c>
      <c r="M157" s="15" t="n">
        <v>0.6977821913273751</v>
      </c>
      <c r="N157" s="14">
        <f>LEFT(I157,FIND("X",I157)-1)*RIGHT(I157,LEN(I157)-FIND("X",I157)-1)*M157</f>
        <v/>
      </c>
      <c r="O157" s="16">
        <f>(N157*L157)/1000</f>
        <v/>
      </c>
    </row>
    <row r="158" ht="15.75" customHeight="1" thickBot="1">
      <c r="A158" s="135" t="n"/>
      <c r="B158" s="135" t="n"/>
      <c r="C158" s="22" t="inlineStr">
        <is>
          <t>SVG</t>
        </is>
      </c>
      <c r="D158" s="23" t="inlineStr">
        <is>
          <t>-</t>
        </is>
      </c>
      <c r="E158" s="23" t="n">
        <v>22</v>
      </c>
      <c r="F158" s="23" t="inlineStr">
        <is>
          <t>Single</t>
        </is>
      </c>
      <c r="G158" s="23" t="inlineStr">
        <is>
          <t>C146 / 148 SVG</t>
        </is>
      </c>
      <c r="H158" s="23" t="inlineStr">
        <is>
          <t>358 X 358</t>
        </is>
      </c>
      <c r="I158" s="23" t="inlineStr">
        <is>
          <t>14.5 X 14.5</t>
        </is>
      </c>
      <c r="J158" s="23" t="n">
        <v>1</v>
      </c>
      <c r="K158" s="115" t="n"/>
      <c r="L158" s="25">
        <f>K158/J158</f>
        <v/>
      </c>
      <c r="M158" s="26" t="n">
        <v>0.4398148148148148</v>
      </c>
      <c r="N158" s="25">
        <f>LEFT(I158,FIND("X",I158)-1)*RIGHT(I158,LEN(I158)-FIND("X",I158)-1)*M158</f>
        <v/>
      </c>
      <c r="O158" s="27">
        <f>(N158*L158)/1000</f>
        <v/>
      </c>
    </row>
    <row r="159" ht="15" customHeight="1">
      <c r="A159" s="149" t="n">
        <v>20</v>
      </c>
      <c r="B159" s="150" t="inlineStr">
        <is>
          <t>C 156</t>
        </is>
      </c>
      <c r="C159" s="58" t="inlineStr">
        <is>
          <t>LVP</t>
        </is>
      </c>
      <c r="D159" s="29" t="inlineStr">
        <is>
          <t>Top</t>
        </is>
      </c>
      <c r="E159" s="29" t="n">
        <v>40</v>
      </c>
      <c r="F159" s="29" t="inlineStr">
        <is>
          <t>Single</t>
        </is>
      </c>
      <c r="G159" s="29" t="inlineStr">
        <is>
          <t>C156 /158 LVP</t>
        </is>
      </c>
      <c r="H159" s="29" t="inlineStr">
        <is>
          <t>363 X 363</t>
        </is>
      </c>
      <c r="I159" s="29" t="inlineStr">
        <is>
          <t>30 X 30</t>
        </is>
      </c>
      <c r="J159" s="29" t="n">
        <v>4</v>
      </c>
      <c r="K159" s="114" t="n"/>
      <c r="L159" s="31">
        <f>K159/J159</f>
        <v/>
      </c>
      <c r="M159" s="32" t="n">
        <v>0.6977821913273751</v>
      </c>
      <c r="N159" s="31">
        <f>LEFT(I159,FIND("X",I159)-1)*RIGHT(I159,LEN(I159)-FIND("X",I159)-1)*M159</f>
        <v/>
      </c>
      <c r="O159" s="33">
        <f>(N159*L159)/1000</f>
        <v/>
      </c>
    </row>
    <row r="160" ht="15" customHeight="1">
      <c r="A160" s="133" t="n"/>
      <c r="B160" s="133" t="n"/>
      <c r="C160" s="59" t="n"/>
      <c r="D160" s="11" t="inlineStr">
        <is>
          <t>Bottom</t>
        </is>
      </c>
      <c r="E160" s="11" t="n">
        <v>40</v>
      </c>
      <c r="F160" s="11" t="inlineStr">
        <is>
          <t>Single</t>
        </is>
      </c>
      <c r="G160" s="29" t="inlineStr">
        <is>
          <t>C156 /158 LVP</t>
        </is>
      </c>
      <c r="H160" s="29" t="inlineStr">
        <is>
          <t>363 X 363</t>
        </is>
      </c>
      <c r="I160" s="29" t="inlineStr">
        <is>
          <t>30 X 30</t>
        </is>
      </c>
      <c r="J160" s="29" t="n">
        <v>4</v>
      </c>
      <c r="K160" s="34" t="n"/>
      <c r="L160" s="14">
        <f>K160/J160</f>
        <v/>
      </c>
      <c r="M160" s="15" t="n">
        <v>0.6977821913273751</v>
      </c>
      <c r="N160" s="14">
        <f>LEFT(I160,FIND("X",I160)-1)*RIGHT(I160,LEN(I160)-FIND("X",I160)-1)*M160</f>
        <v/>
      </c>
      <c r="O160" s="16">
        <f>(N160*L160)/1000</f>
        <v/>
      </c>
    </row>
    <row r="161" ht="15.75" customHeight="1" thickBot="1">
      <c r="A161" s="135" t="n"/>
      <c r="B161" s="135" t="n"/>
      <c r="C161" s="22" t="inlineStr">
        <is>
          <t>SVG</t>
        </is>
      </c>
      <c r="D161" s="23" t="inlineStr">
        <is>
          <t>-</t>
        </is>
      </c>
      <c r="E161" s="23" t="n">
        <v>22</v>
      </c>
      <c r="F161" s="23" t="inlineStr">
        <is>
          <t>Single</t>
        </is>
      </c>
      <c r="G161" s="23" t="inlineStr">
        <is>
          <t>C156 /158 SVG</t>
        </is>
      </c>
      <c r="H161" s="23" t="inlineStr">
        <is>
          <t>380 X 380</t>
        </is>
      </c>
      <c r="I161" s="23" t="inlineStr">
        <is>
          <t>31 X 31</t>
        </is>
      </c>
      <c r="J161" s="23" t="n">
        <v>4</v>
      </c>
      <c r="K161" s="115" t="n"/>
      <c r="L161" s="25">
        <f>K161/J161</f>
        <v/>
      </c>
      <c r="M161" s="26" t="n">
        <v>0.4398148148148148</v>
      </c>
      <c r="N161" s="25">
        <f>LEFT(I161,FIND("X",I161)-1)*RIGHT(I161,LEN(I161)-FIND("X",I161)-1)*M161</f>
        <v/>
      </c>
      <c r="O161" s="27">
        <f>(N161*L161)/1000</f>
        <v/>
      </c>
    </row>
    <row r="162" ht="15" customHeight="1">
      <c r="A162" s="149" t="n">
        <v>21</v>
      </c>
      <c r="B162" s="150" t="inlineStr">
        <is>
          <t>C 158</t>
        </is>
      </c>
      <c r="C162" s="58" t="inlineStr">
        <is>
          <t>LVP</t>
        </is>
      </c>
      <c r="D162" s="29" t="inlineStr">
        <is>
          <t>Top</t>
        </is>
      </c>
      <c r="E162" s="29" t="n">
        <v>40</v>
      </c>
      <c r="F162" s="29" t="inlineStr">
        <is>
          <t>Single</t>
        </is>
      </c>
      <c r="G162" s="29" t="inlineStr">
        <is>
          <t>C156 /158 LVP</t>
        </is>
      </c>
      <c r="H162" s="29" t="inlineStr">
        <is>
          <t>363 X 363</t>
        </is>
      </c>
      <c r="I162" s="29" t="inlineStr">
        <is>
          <t>30 X 30</t>
        </is>
      </c>
      <c r="J162" s="29" t="n">
        <v>4</v>
      </c>
      <c r="K162" s="114" t="n"/>
      <c r="L162" s="31">
        <f>K162/J162</f>
        <v/>
      </c>
      <c r="M162" s="32" t="n">
        <v>0.6977821913273751</v>
      </c>
      <c r="N162" s="31">
        <f>LEFT(I162,FIND("X",I162)-1)*RIGHT(I162,LEN(I162)-FIND("X",I162)-1)*M162</f>
        <v/>
      </c>
      <c r="O162" s="33">
        <f>(N162*L162)/1000</f>
        <v/>
      </c>
    </row>
    <row r="163" ht="15" customHeight="1">
      <c r="A163" s="133" t="n"/>
      <c r="B163" s="133" t="n"/>
      <c r="C163" s="59" t="n"/>
      <c r="D163" s="11" t="inlineStr">
        <is>
          <t>Bottom</t>
        </is>
      </c>
      <c r="E163" s="11" t="n">
        <v>40</v>
      </c>
      <c r="F163" s="11" t="inlineStr">
        <is>
          <t>Single</t>
        </is>
      </c>
      <c r="G163" s="29" t="inlineStr">
        <is>
          <t>C156 /158 LVP</t>
        </is>
      </c>
      <c r="H163" s="29" t="inlineStr">
        <is>
          <t>363 X 363</t>
        </is>
      </c>
      <c r="I163" s="29" t="inlineStr">
        <is>
          <t>30 X 30</t>
        </is>
      </c>
      <c r="J163" s="29" t="n">
        <v>4</v>
      </c>
      <c r="K163" s="34" t="n"/>
      <c r="L163" s="14">
        <f>K163/J163</f>
        <v/>
      </c>
      <c r="M163" s="15" t="n">
        <v>0.6977821913273751</v>
      </c>
      <c r="N163" s="14">
        <f>LEFT(I163,FIND("X",I163)-1)*RIGHT(I163,LEN(I163)-FIND("X",I163)-1)*M163</f>
        <v/>
      </c>
      <c r="O163" s="16">
        <f>(N163*L163)/1000</f>
        <v/>
      </c>
    </row>
    <row r="164" ht="15.75" customHeight="1" thickBot="1">
      <c r="A164" s="135" t="n"/>
      <c r="B164" s="135" t="n"/>
      <c r="C164" s="22" t="inlineStr">
        <is>
          <t>SVG</t>
        </is>
      </c>
      <c r="D164" s="23" t="inlineStr">
        <is>
          <t>-</t>
        </is>
      </c>
      <c r="E164" s="23" t="n">
        <v>22</v>
      </c>
      <c r="F164" s="23" t="inlineStr">
        <is>
          <t>Single</t>
        </is>
      </c>
      <c r="G164" s="23" t="inlineStr">
        <is>
          <t>C156 /158 SVG</t>
        </is>
      </c>
      <c r="H164" s="23" t="inlineStr">
        <is>
          <t>380 X 380</t>
        </is>
      </c>
      <c r="I164" s="23" t="inlineStr">
        <is>
          <t>31 X 31</t>
        </is>
      </c>
      <c r="J164" s="23" t="n">
        <v>4</v>
      </c>
      <c r="K164" s="115" t="n"/>
      <c r="L164" s="25">
        <f>K164/J164</f>
        <v/>
      </c>
      <c r="M164" s="26" t="n">
        <v>0.4398148148148148</v>
      </c>
      <c r="N164" s="25">
        <f>LEFT(I164,FIND("X",I164)-1)*RIGHT(I164,LEN(I164)-FIND("X",I164)-1)*M164</f>
        <v/>
      </c>
      <c r="O164" s="27">
        <f>(N164*L164)/1000</f>
        <v/>
      </c>
    </row>
    <row r="165" ht="15" customHeight="1">
      <c r="A165" s="149" t="n">
        <v>22</v>
      </c>
      <c r="B165" s="150" t="inlineStr">
        <is>
          <t>C 178</t>
        </is>
      </c>
      <c r="C165" s="58" t="inlineStr">
        <is>
          <t>LVP</t>
        </is>
      </c>
      <c r="D165" s="29" t="inlineStr">
        <is>
          <t>Top</t>
        </is>
      </c>
      <c r="E165" s="29" t="n">
        <v>40</v>
      </c>
      <c r="F165" s="29" t="inlineStr">
        <is>
          <t>Single</t>
        </is>
      </c>
      <c r="G165" s="29" t="inlineStr">
        <is>
          <t>C178 LVP</t>
        </is>
      </c>
      <c r="H165" s="29" t="inlineStr">
        <is>
          <t>431 X 431</t>
        </is>
      </c>
      <c r="I165" s="29" t="inlineStr">
        <is>
          <t>17.5 X 17.5</t>
        </is>
      </c>
      <c r="J165" s="29" t="n">
        <v>1</v>
      </c>
      <c r="K165" s="114" t="n"/>
      <c r="L165" s="31">
        <f>K165/J165</f>
        <v/>
      </c>
      <c r="M165" s="32" t="n">
        <v>0.6977821913273751</v>
      </c>
      <c r="N165" s="31">
        <f>LEFT(I165,FIND("X",I165)-1)*RIGHT(I165,LEN(I165)-FIND("X",I165)-1)*M165</f>
        <v/>
      </c>
      <c r="O165" s="33">
        <f>(N165*L165)/1000</f>
        <v/>
      </c>
    </row>
    <row r="166" ht="15" customHeight="1">
      <c r="A166" s="133" t="n"/>
      <c r="B166" s="133" t="n"/>
      <c r="C166" s="59" t="n"/>
      <c r="D166" s="11" t="inlineStr">
        <is>
          <t>Bottom</t>
        </is>
      </c>
      <c r="E166" s="11" t="n">
        <v>40</v>
      </c>
      <c r="F166" s="11" t="inlineStr">
        <is>
          <t>Single</t>
        </is>
      </c>
      <c r="G166" s="29" t="inlineStr">
        <is>
          <t>C178 LVP</t>
        </is>
      </c>
      <c r="H166" s="29" t="inlineStr">
        <is>
          <t>431 X 431</t>
        </is>
      </c>
      <c r="I166" s="29" t="inlineStr">
        <is>
          <t>17.5 X 17.5</t>
        </is>
      </c>
      <c r="J166" s="29" t="n">
        <v>1</v>
      </c>
      <c r="K166" s="34" t="n"/>
      <c r="L166" s="14">
        <f>K166/J166</f>
        <v/>
      </c>
      <c r="M166" s="15" t="n">
        <v>0.6977821913273751</v>
      </c>
      <c r="N166" s="14">
        <f>LEFT(I166,FIND("X",I166)-1)*RIGHT(I166,LEN(I166)-FIND("X",I166)-1)*M166</f>
        <v/>
      </c>
      <c r="O166" s="16">
        <f>(N166*L166)/1000</f>
        <v/>
      </c>
    </row>
    <row r="167" ht="15.75" customHeight="1" thickBot="1">
      <c r="A167" s="135" t="n"/>
      <c r="B167" s="135" t="n"/>
      <c r="C167" s="22" t="inlineStr">
        <is>
          <t>SVG</t>
        </is>
      </c>
      <c r="D167" s="23" t="inlineStr">
        <is>
          <t>-</t>
        </is>
      </c>
      <c r="E167" s="23" t="n">
        <v>22</v>
      </c>
      <c r="F167" s="23" t="inlineStr">
        <is>
          <t>Single</t>
        </is>
      </c>
      <c r="G167" s="23" t="inlineStr">
        <is>
          <t>C178 SVG</t>
        </is>
      </c>
      <c r="H167" s="23" t="inlineStr">
        <is>
          <t>449 X 449</t>
        </is>
      </c>
      <c r="I167" s="23" t="inlineStr">
        <is>
          <t>18 X 18</t>
        </is>
      </c>
      <c r="J167" s="23" t="n">
        <v>1</v>
      </c>
      <c r="K167" s="115" t="n"/>
      <c r="L167" s="25">
        <f>K167/J167</f>
        <v/>
      </c>
      <c r="M167" s="26" t="n">
        <v>0.4398148148148148</v>
      </c>
      <c r="N167" s="25">
        <f>LEFT(I167,FIND("X",I167)-1)*RIGHT(I167,LEN(I167)-FIND("X",I167)-1)*M167</f>
        <v/>
      </c>
      <c r="O167" s="27">
        <f>(N167*L167)/1000</f>
        <v/>
      </c>
    </row>
    <row r="168" ht="15.75" customHeight="1" thickBot="1">
      <c r="A168" s="60" t="n"/>
      <c r="B168" s="61" t="n"/>
      <c r="C168" s="61" t="n"/>
      <c r="D168" s="62" t="n"/>
      <c r="E168" s="62" t="n"/>
      <c r="F168" s="62" t="n"/>
      <c r="G168" s="62" t="n"/>
      <c r="H168" s="62" t="n"/>
      <c r="I168" s="62" t="n"/>
      <c r="J168" s="62" t="n"/>
      <c r="K168" s="63" t="n"/>
      <c r="L168" s="64" t="n"/>
      <c r="M168" s="65" t="n"/>
      <c r="N168" s="64" t="n"/>
      <c r="O168" s="66" t="n"/>
    </row>
    <row r="169" ht="15" customHeight="1">
      <c r="A169" s="149" t="n"/>
      <c r="B169" s="150" t="inlineStr">
        <is>
          <t>GAV 10</t>
        </is>
      </c>
      <c r="C169" s="58" t="inlineStr">
        <is>
          <t>LVP</t>
        </is>
      </c>
      <c r="D169" s="29" t="inlineStr">
        <is>
          <t>Top</t>
        </is>
      </c>
      <c r="E169" s="29" t="n">
        <v>70</v>
      </c>
      <c r="F169" s="29" t="inlineStr">
        <is>
          <t>Passing</t>
        </is>
      </c>
      <c r="G169" s="29" t="inlineStr">
        <is>
          <t>GNR 10 LVP</t>
        </is>
      </c>
      <c r="H169" s="29" t="inlineStr">
        <is>
          <t>40 X 62</t>
        </is>
      </c>
      <c r="I169" s="29" t="inlineStr">
        <is>
          <t>20.5 X 22</t>
        </is>
      </c>
      <c r="J169" s="29" t="n">
        <v>88</v>
      </c>
      <c r="K169" s="151" t="n">
        <v>1680</v>
      </c>
      <c r="L169" s="31">
        <f>K169/J169</f>
        <v/>
      </c>
      <c r="M169" s="32" t="n">
        <v>1.269736842105263</v>
      </c>
      <c r="N169" s="31">
        <f>LEFT(I169,FIND("X",I169)-1)*RIGHT(I169,LEN(I169)-FIND("X",I169)-1)*M169</f>
        <v/>
      </c>
      <c r="O169" s="33">
        <f>(N169*L169)/1000</f>
        <v/>
      </c>
    </row>
    <row r="170" ht="15" customHeight="1">
      <c r="A170" s="133" t="n"/>
      <c r="B170" s="133" t="n"/>
      <c r="C170" s="59" t="n"/>
      <c r="D170" s="11" t="inlineStr">
        <is>
          <t>Bottom</t>
        </is>
      </c>
      <c r="E170" s="11" t="n"/>
      <c r="F170" s="29" t="n"/>
      <c r="G170" s="29" t="n"/>
      <c r="H170" s="29" t="n"/>
      <c r="I170" s="29" t="n"/>
      <c r="J170" s="29" t="n"/>
      <c r="K170" s="151" t="n"/>
      <c r="L170" s="14">
        <f>K170/J170</f>
        <v/>
      </c>
      <c r="M170" s="15" t="e">
        <v>#N/A</v>
      </c>
      <c r="N170" s="14">
        <f>LEFT(I170,FIND("X",I170)-1)*RIGHT(I170,LEN(I170)-FIND("X",I170)-1)*M170</f>
        <v/>
      </c>
      <c r="O170" s="16">
        <f>(N170*L170)/1000</f>
        <v/>
      </c>
    </row>
    <row r="171" ht="15.75" customHeight="1" thickBot="1">
      <c r="A171" s="135" t="n"/>
      <c r="B171" s="135" t="n"/>
      <c r="C171" s="22" t="inlineStr">
        <is>
          <t>SVG</t>
        </is>
      </c>
      <c r="D171" s="23" t="inlineStr">
        <is>
          <t>-</t>
        </is>
      </c>
      <c r="E171" s="23" t="n">
        <v>22</v>
      </c>
      <c r="F171" s="23" t="inlineStr">
        <is>
          <t>Passing</t>
        </is>
      </c>
      <c r="G171" s="23" t="inlineStr">
        <is>
          <t>GNR 10 SVG</t>
        </is>
      </c>
      <c r="H171" s="23" t="inlineStr">
        <is>
          <t>51 X 72</t>
        </is>
      </c>
      <c r="I171" s="23" t="inlineStr">
        <is>
          <t>19 X 23</t>
        </is>
      </c>
      <c r="J171" s="23" t="n">
        <v>60</v>
      </c>
      <c r="K171" s="151" t="n">
        <v>1680</v>
      </c>
      <c r="L171" s="25">
        <f>K171/J171</f>
        <v/>
      </c>
      <c r="M171" s="26" t="n">
        <v>0.4398148148148148</v>
      </c>
      <c r="N171" s="25">
        <f>LEFT(I171,FIND("X",I171)-1)*RIGHT(I171,LEN(I171)-FIND("X",I171)-1)*M171</f>
        <v/>
      </c>
      <c r="O171" s="27">
        <f>(N171*L171)/1000</f>
        <v/>
      </c>
    </row>
    <row r="172" ht="15" customHeight="1">
      <c r="A172" s="149" t="n"/>
      <c r="B172" s="150" t="inlineStr">
        <is>
          <t>GAV 12</t>
        </is>
      </c>
      <c r="C172" s="58" t="inlineStr">
        <is>
          <t>LVP</t>
        </is>
      </c>
      <c r="D172" s="29" t="inlineStr">
        <is>
          <t>Top</t>
        </is>
      </c>
      <c r="E172" s="29" t="n">
        <v>70</v>
      </c>
      <c r="F172" s="29" t="inlineStr">
        <is>
          <t>Passing</t>
        </is>
      </c>
      <c r="G172" s="29" t="inlineStr">
        <is>
          <t>GNR 12 LVP</t>
        </is>
      </c>
      <c r="H172" s="29" t="inlineStr">
        <is>
          <t>54 X 107</t>
        </is>
      </c>
      <c r="I172" s="29" t="inlineStr">
        <is>
          <t>22 X 23</t>
        </is>
      </c>
      <c r="J172" s="29" t="n">
        <v>45</v>
      </c>
      <c r="K172" s="114" t="n">
        <v>1500</v>
      </c>
      <c r="L172" s="31">
        <f>K172/J172</f>
        <v/>
      </c>
      <c r="M172" s="32" t="n">
        <v>1.269736842105263</v>
      </c>
      <c r="N172" s="31">
        <f>LEFT(I172,FIND("X",I172)-1)*RIGHT(I172,LEN(I172)-FIND("X",I172)-1)*M172</f>
        <v/>
      </c>
      <c r="O172" s="33">
        <f>(N172*L172)/1000</f>
        <v/>
      </c>
    </row>
    <row r="173" ht="15" customHeight="1">
      <c r="A173" s="133" t="n"/>
      <c r="B173" s="133" t="n"/>
      <c r="C173" s="59" t="n"/>
      <c r="D173" s="11" t="inlineStr">
        <is>
          <t>Bottom</t>
        </is>
      </c>
      <c r="E173" s="11" t="n"/>
      <c r="F173" s="29" t="n"/>
      <c r="G173" s="29" t="n"/>
      <c r="H173" s="29" t="n"/>
      <c r="I173" s="29" t="n"/>
      <c r="J173" s="29" t="n"/>
      <c r="K173" s="114" t="n">
        <v>1500</v>
      </c>
      <c r="L173" s="14">
        <f>K173/J173</f>
        <v/>
      </c>
      <c r="M173" s="15" t="e">
        <v>#N/A</v>
      </c>
      <c r="N173" s="14">
        <f>LEFT(I173,FIND("X",I173)-1)*RIGHT(I173,LEN(I173)-FIND("X",I173)-1)*M173</f>
        <v/>
      </c>
      <c r="O173" s="16">
        <f>(N173*L173)/1000</f>
        <v/>
      </c>
    </row>
    <row r="174" ht="15.75" customHeight="1" thickBot="1">
      <c r="A174" s="135" t="n"/>
      <c r="B174" s="135" t="n"/>
      <c r="C174" s="22" t="inlineStr">
        <is>
          <t>SVG</t>
        </is>
      </c>
      <c r="D174" s="23" t="inlineStr">
        <is>
          <t>-</t>
        </is>
      </c>
      <c r="E174" s="23" t="n">
        <v>22</v>
      </c>
      <c r="F174" s="23" t="inlineStr">
        <is>
          <t>Passing</t>
        </is>
      </c>
      <c r="G174" s="23" t="inlineStr">
        <is>
          <t>GNR 12 SVG</t>
        </is>
      </c>
      <c r="H174" s="23" t="inlineStr">
        <is>
          <t>65 X 118</t>
        </is>
      </c>
      <c r="I174" s="23" t="inlineStr">
        <is>
          <t>20.5 X 23</t>
        </is>
      </c>
      <c r="J174" s="23" t="n">
        <v>32</v>
      </c>
      <c r="K174" s="115" t="n">
        <v>1500</v>
      </c>
      <c r="L174" s="25">
        <f>K174/J174</f>
        <v/>
      </c>
      <c r="M174" s="26" t="n">
        <v>0.4398148148148148</v>
      </c>
      <c r="N174" s="25">
        <f>LEFT(I174,FIND("X",I174)-1)*RIGHT(I174,LEN(I174)-FIND("X",I174)-1)*M174</f>
        <v/>
      </c>
      <c r="O174" s="27">
        <f>(N174*L174)/1000</f>
        <v/>
      </c>
    </row>
    <row r="175" ht="15" customHeight="1">
      <c r="A175" s="149" t="n"/>
      <c r="B175" s="150" t="inlineStr">
        <is>
          <t>GAV 14</t>
        </is>
      </c>
      <c r="C175" s="58" t="inlineStr">
        <is>
          <t>LVP</t>
        </is>
      </c>
      <c r="D175" s="29" t="inlineStr">
        <is>
          <t>Top</t>
        </is>
      </c>
      <c r="E175" s="29" t="n">
        <v>70</v>
      </c>
      <c r="F175" s="1" t="inlineStr">
        <is>
          <t>Single</t>
        </is>
      </c>
      <c r="G175" s="29" t="inlineStr">
        <is>
          <t>GNR 14 LVP</t>
        </is>
      </c>
      <c r="H175" s="29" t="inlineStr">
        <is>
          <t>65 X 117</t>
        </is>
      </c>
      <c r="I175" s="29" t="inlineStr">
        <is>
          <t>24.5 X 25.5</t>
        </is>
      </c>
      <c r="J175" s="29" t="n">
        <v>40</v>
      </c>
      <c r="K175" s="114" t="n">
        <v>1500</v>
      </c>
      <c r="L175" s="31">
        <f>K175/J175</f>
        <v/>
      </c>
      <c r="M175" s="32" t="n">
        <v>1.269736842105263</v>
      </c>
      <c r="N175" s="31">
        <f>LEFT(I175,FIND("X",I175)-1)*RIGHT(I175,LEN(I175)-FIND("X",I175)-1)*M175</f>
        <v/>
      </c>
      <c r="O175" s="33">
        <f>(N175*L175)/1000</f>
        <v/>
      </c>
    </row>
    <row r="176" ht="15" customHeight="1">
      <c r="A176" s="133" t="n"/>
      <c r="B176" s="133" t="n"/>
      <c r="C176" s="59" t="n"/>
      <c r="D176" s="11" t="inlineStr">
        <is>
          <t>Bottom</t>
        </is>
      </c>
      <c r="E176" s="11" t="n"/>
      <c r="G176" s="29" t="n"/>
      <c r="H176" s="29" t="n"/>
      <c r="I176" s="29" t="n"/>
      <c r="J176" s="29" t="n"/>
      <c r="K176" s="114" t="n">
        <v>1500</v>
      </c>
      <c r="L176" s="14">
        <f>K176/J176</f>
        <v/>
      </c>
      <c r="M176" s="15" t="e">
        <v>#N/A</v>
      </c>
      <c r="N176" s="14">
        <f>LEFT(I176,FIND("X",I176)-1)*RIGHT(I176,LEN(I176)-FIND("X",I176)-1)*M176</f>
        <v/>
      </c>
      <c r="O176" s="16">
        <f>(N176*L176)/1000</f>
        <v/>
      </c>
    </row>
    <row r="177" ht="15.75" customHeight="1" thickBot="1">
      <c r="A177" s="135" t="n"/>
      <c r="B177" s="135" t="n"/>
      <c r="C177" s="22" t="inlineStr">
        <is>
          <t>SVG</t>
        </is>
      </c>
      <c r="D177" s="23" t="inlineStr">
        <is>
          <t>-</t>
        </is>
      </c>
      <c r="E177" s="23" t="n">
        <v>22</v>
      </c>
      <c r="F177" s="23" t="inlineStr">
        <is>
          <t>Single</t>
        </is>
      </c>
      <c r="G177" s="23" t="inlineStr">
        <is>
          <t>GNR 14 SVG</t>
        </is>
      </c>
      <c r="H177" s="23" t="inlineStr">
        <is>
          <t>75 X 128</t>
        </is>
      </c>
      <c r="I177" s="23" t="inlineStr">
        <is>
          <t>21 X 22</t>
        </is>
      </c>
      <c r="J177" s="23" t="n">
        <v>24</v>
      </c>
      <c r="K177" s="115" t="n">
        <v>1500</v>
      </c>
      <c r="L177" s="25">
        <f>K177/J177</f>
        <v/>
      </c>
      <c r="M177" s="26" t="n">
        <v>0.4398148148148148</v>
      </c>
      <c r="N177" s="25">
        <f>LEFT(I177,FIND("X",I177)-1)*RIGHT(I177,LEN(I177)-FIND("X",I177)-1)*M177</f>
        <v/>
      </c>
      <c r="O177" s="27">
        <f>(N177*L177)/1000</f>
        <v/>
      </c>
    </row>
    <row r="178" ht="15" customHeight="1">
      <c r="A178" s="139" t="n"/>
      <c r="B178" s="150" t="inlineStr">
        <is>
          <t>RAD 15</t>
        </is>
      </c>
      <c r="C178" s="138" t="inlineStr">
        <is>
          <t>LVP</t>
        </is>
      </c>
      <c r="D178" s="29" t="inlineStr">
        <is>
          <t>Top</t>
        </is>
      </c>
      <c r="E178" s="29" t="n">
        <v>60</v>
      </c>
      <c r="F178" s="37" t="inlineStr">
        <is>
          <t>Passing</t>
        </is>
      </c>
      <c r="G178" s="29" t="inlineStr">
        <is>
          <t>MCX 15 LVP</t>
        </is>
      </c>
      <c r="H178" s="29" t="inlineStr">
        <is>
          <t>61 X 75</t>
        </is>
      </c>
      <c r="I178" s="29" t="inlineStr">
        <is>
          <t>19 X 23</t>
        </is>
      </c>
      <c r="J178" s="29" t="n">
        <v>49</v>
      </c>
      <c r="K178" s="114">
        <f>7080+500</f>
        <v/>
      </c>
      <c r="L178" s="31">
        <f>K178/J178</f>
        <v/>
      </c>
      <c r="M178" s="32" t="n">
        <v>1.103988603988604</v>
      </c>
      <c r="N178" s="31">
        <f>LEFT(I178,FIND("X",I178)-1)*RIGHT(I178,LEN(I178)-FIND("X",I178)-1)*M178</f>
        <v/>
      </c>
      <c r="O178" s="33">
        <f>(N178*L178)/1000</f>
        <v/>
      </c>
    </row>
    <row r="179" ht="15" customHeight="1">
      <c r="A179" s="133" t="n"/>
      <c r="B179" s="133" t="n"/>
      <c r="C179" s="136" t="n"/>
      <c r="D179" s="11" t="inlineStr">
        <is>
          <t>Bottom</t>
        </is>
      </c>
      <c r="E179" s="11" t="n"/>
      <c r="F179" s="29" t="n"/>
      <c r="G179" s="11" t="n"/>
      <c r="H179" s="11" t="n"/>
      <c r="I179" s="11" t="n"/>
      <c r="J179" s="11" t="n"/>
      <c r="K179" s="34" t="n"/>
      <c r="L179" s="14">
        <f>K179/J179</f>
        <v/>
      </c>
      <c r="M179" s="15" t="e">
        <v>#N/A</v>
      </c>
      <c r="N179" s="14">
        <f>LEFT(I179,FIND("X",I179)-1)*RIGHT(I179,LEN(I179)-FIND("X",I179)-1)*M179</f>
        <v/>
      </c>
      <c r="O179" s="16">
        <f>(N179*L179)/1000</f>
        <v/>
      </c>
    </row>
    <row r="180" ht="15.75" customHeight="1" thickBot="1">
      <c r="A180" s="135" t="n"/>
      <c r="B180" s="135" t="n"/>
      <c r="C180" s="22" t="inlineStr">
        <is>
          <t>SVG</t>
        </is>
      </c>
      <c r="D180" s="23" t="inlineStr">
        <is>
          <t>-</t>
        </is>
      </c>
      <c r="E180" s="23" t="n">
        <v>22</v>
      </c>
      <c r="F180" s="23" t="inlineStr">
        <is>
          <t>Passing</t>
        </is>
      </c>
      <c r="G180" s="23" t="inlineStr">
        <is>
          <t>MCX 15 SVG</t>
        </is>
      </c>
      <c r="H180" s="23" t="inlineStr">
        <is>
          <t>71 X 85</t>
        </is>
      </c>
      <c r="I180" s="23" t="inlineStr">
        <is>
          <t>18.5 X 22</t>
        </is>
      </c>
      <c r="J180" s="23" t="n">
        <v>36</v>
      </c>
      <c r="K180" s="115" t="n">
        <v>7580</v>
      </c>
      <c r="L180" s="68">
        <f>K180/J180</f>
        <v/>
      </c>
      <c r="M180" s="69" t="n">
        <v>0.4398148148148148</v>
      </c>
      <c r="N180" s="68">
        <f>LEFT(I180,FIND("X",I180)-1)*RIGHT(I180,LEN(I180)-FIND("X",I180)-1)*M180</f>
        <v/>
      </c>
      <c r="O180" s="70">
        <f>(N180*L180)/1000</f>
        <v/>
      </c>
    </row>
    <row r="181" ht="15" customHeight="1">
      <c r="A181" s="71" t="n"/>
      <c r="B181" s="150" t="inlineStr">
        <is>
          <t>RAD 19</t>
        </is>
      </c>
      <c r="C181" s="138" t="inlineStr">
        <is>
          <t>LVP</t>
        </is>
      </c>
      <c r="D181" s="29" t="inlineStr">
        <is>
          <t>Top</t>
        </is>
      </c>
      <c r="E181" s="29" t="n">
        <v>40</v>
      </c>
      <c r="F181" s="29" t="inlineStr">
        <is>
          <t>Single</t>
        </is>
      </c>
      <c r="G181" s="29" t="inlineStr">
        <is>
          <t>New Die</t>
        </is>
      </c>
      <c r="H181" s="29" t="inlineStr">
        <is>
          <t>90 X 106</t>
        </is>
      </c>
      <c r="I181" s="29" t="inlineStr">
        <is>
          <t>23 X 24</t>
        </is>
      </c>
      <c r="J181" s="29" t="n">
        <v>30</v>
      </c>
      <c r="K181" s="114" t="n">
        <v>1020</v>
      </c>
      <c r="L181" s="72">
        <f>K181/J181</f>
        <v/>
      </c>
      <c r="M181" s="73" t="n">
        <v>0.6977821913273751</v>
      </c>
      <c r="N181" s="72">
        <f>LEFT(I181,FIND("X",I181)-1)*RIGHT(I181,LEN(I181)-FIND("X",I181)-1)*M181</f>
        <v/>
      </c>
      <c r="O181" s="74">
        <f>(N181*L181)/1000</f>
        <v/>
      </c>
    </row>
    <row r="182" ht="15" customHeight="1">
      <c r="A182" s="71" t="n"/>
      <c r="B182" s="133" t="n"/>
      <c r="C182" s="136" t="n"/>
      <c r="D182" s="11" t="inlineStr">
        <is>
          <t>Bottom</t>
        </is>
      </c>
      <c r="E182" s="11" t="n">
        <v>40</v>
      </c>
      <c r="F182" s="29" t="inlineStr">
        <is>
          <t>Single</t>
        </is>
      </c>
      <c r="G182" s="29" t="inlineStr">
        <is>
          <t>New Die</t>
        </is>
      </c>
      <c r="H182" s="29" t="inlineStr">
        <is>
          <t>90 X 106</t>
        </is>
      </c>
      <c r="I182" s="29" t="inlineStr">
        <is>
          <t>23 X 24</t>
        </is>
      </c>
      <c r="J182" s="29" t="n">
        <v>30</v>
      </c>
      <c r="K182" s="13" t="n">
        <v>1020</v>
      </c>
      <c r="L182" s="14">
        <f>K182/J182</f>
        <v/>
      </c>
      <c r="M182" s="15" t="n">
        <v>0.6977821913273751</v>
      </c>
      <c r="N182" s="14">
        <f>LEFT(I182,FIND("X",I182)-1)*RIGHT(I182,LEN(I182)-FIND("X",I182)-1)*M182</f>
        <v/>
      </c>
      <c r="O182" s="16">
        <f>(N182*L182)/1000</f>
        <v/>
      </c>
    </row>
    <row r="183" ht="15.75" customHeight="1" thickBot="1">
      <c r="A183" s="75" t="n"/>
      <c r="B183" s="135" t="n"/>
      <c r="C183" s="22" t="inlineStr">
        <is>
          <t>SVG</t>
        </is>
      </c>
      <c r="D183" s="23" t="inlineStr">
        <is>
          <t>-</t>
        </is>
      </c>
      <c r="E183" s="23" t="n">
        <v>22</v>
      </c>
      <c r="F183" s="23" t="inlineStr">
        <is>
          <t>Single</t>
        </is>
      </c>
      <c r="G183" s="29" t="inlineStr">
        <is>
          <t>New Die</t>
        </is>
      </c>
      <c r="H183" s="23" t="inlineStr">
        <is>
          <t>103 X 118</t>
        </is>
      </c>
      <c r="I183" s="23" t="inlineStr">
        <is>
          <t>21 X 23</t>
        </is>
      </c>
      <c r="J183" s="23" t="n">
        <v>20</v>
      </c>
      <c r="K183" s="76" t="n">
        <v>1020</v>
      </c>
      <c r="L183" s="25">
        <f>K183/J183</f>
        <v/>
      </c>
      <c r="M183" s="26" t="n">
        <v>0.4398148148148148</v>
      </c>
      <c r="N183" s="25">
        <f>LEFT(I183,FIND("X",I183)-1)*RIGHT(I183,LEN(I183)-FIND("X",I183)-1)*M183</f>
        <v/>
      </c>
      <c r="O183" s="27">
        <f>(N183*L183)/1000</f>
        <v/>
      </c>
    </row>
    <row r="184" ht="15" customHeight="1">
      <c r="A184" s="71" t="n"/>
      <c r="B184" s="150" t="inlineStr">
        <is>
          <t>RAD 20</t>
        </is>
      </c>
      <c r="C184" s="138" t="inlineStr">
        <is>
          <t>LVP</t>
        </is>
      </c>
      <c r="D184" s="29" t="inlineStr">
        <is>
          <t>Top</t>
        </is>
      </c>
      <c r="E184" s="29" t="n">
        <v>60</v>
      </c>
      <c r="F184" s="29" t="inlineStr">
        <is>
          <t>Passing</t>
        </is>
      </c>
      <c r="G184" s="37" t="inlineStr">
        <is>
          <t>Turkey MCX 20 LVP</t>
        </is>
      </c>
      <c r="H184" s="77" t="inlineStr">
        <is>
          <t>65 X 110</t>
        </is>
      </c>
      <c r="I184" s="37" t="inlineStr">
        <is>
          <t>24.5 X 24</t>
        </is>
      </c>
      <c r="J184" s="37" t="n">
        <v>35</v>
      </c>
      <c r="K184" s="78" t="n">
        <v>1500</v>
      </c>
      <c r="L184" s="72">
        <f>K184/J184</f>
        <v/>
      </c>
      <c r="M184" s="73" t="n">
        <v>1.103988603988604</v>
      </c>
      <c r="N184" s="72">
        <f>LEFT(I184,FIND("X",I184)-1)*RIGHT(I184,LEN(I184)-FIND("X",I184)-1)*M184</f>
        <v/>
      </c>
      <c r="O184" s="74">
        <f>(N184*L184)/1000</f>
        <v/>
      </c>
    </row>
    <row r="185" ht="15" customHeight="1">
      <c r="A185" s="71" t="n"/>
      <c r="B185" s="133" t="n"/>
      <c r="C185" s="136" t="n"/>
      <c r="D185" s="11" t="inlineStr">
        <is>
          <t>Bottom</t>
        </is>
      </c>
      <c r="E185" s="11" t="n"/>
      <c r="F185" s="29" t="n"/>
      <c r="G185" s="11" t="n"/>
      <c r="H185" s="79" t="n"/>
      <c r="I185" s="11" t="n"/>
      <c r="J185" s="11" t="n"/>
      <c r="K185" s="13" t="n">
        <v>1500</v>
      </c>
      <c r="L185" s="14">
        <f>K185/J185</f>
        <v/>
      </c>
      <c r="M185" s="15" t="e">
        <v>#N/A</v>
      </c>
      <c r="N185" s="14">
        <f>LEFT(I185,FIND("X",I185)-1)*RIGHT(I185,LEN(I185)-FIND("X",I185)-1)*M185</f>
        <v/>
      </c>
      <c r="O185" s="16">
        <f>(N185*L185)/1000</f>
        <v/>
      </c>
    </row>
    <row r="186" ht="15.75" customHeight="1" thickBot="1">
      <c r="A186" s="71" t="n"/>
      <c r="B186" s="135" t="n"/>
      <c r="C186" s="22" t="inlineStr">
        <is>
          <t>SVG</t>
        </is>
      </c>
      <c r="D186" s="23" t="inlineStr">
        <is>
          <t>-</t>
        </is>
      </c>
      <c r="E186" s="23" t="n">
        <v>22</v>
      </c>
      <c r="F186" s="23" t="inlineStr">
        <is>
          <t>Passing</t>
        </is>
      </c>
      <c r="G186" s="22" t="inlineStr">
        <is>
          <t>Turkey MCX 20 SVG</t>
        </is>
      </c>
      <c r="H186" s="80" t="inlineStr">
        <is>
          <t>75 X 120</t>
        </is>
      </c>
      <c r="I186" s="80" t="inlineStr">
        <is>
          <t>21 X 24</t>
        </is>
      </c>
      <c r="J186" s="76" t="n">
        <v>28</v>
      </c>
      <c r="K186" s="76" t="n">
        <v>1500</v>
      </c>
      <c r="L186" s="25">
        <f>K186/J186</f>
        <v/>
      </c>
      <c r="M186" s="26" t="n">
        <v>0.4398148148148148</v>
      </c>
      <c r="N186" s="25">
        <f>LEFT(I186,FIND("X",I186)-1)*RIGHT(I186,LEN(I186)-FIND("X",I186)-1)*M186</f>
        <v/>
      </c>
      <c r="O186" s="27">
        <f>(N186*L186)/1000</f>
        <v/>
      </c>
    </row>
    <row r="187" ht="15" customHeight="1">
      <c r="A187" s="71" t="n"/>
      <c r="B187" s="150" t="inlineStr">
        <is>
          <t>RAD 25</t>
        </is>
      </c>
      <c r="C187" s="138" t="inlineStr">
        <is>
          <t>LVP</t>
        </is>
      </c>
      <c r="D187" s="29" t="inlineStr">
        <is>
          <t>Top</t>
        </is>
      </c>
      <c r="E187" s="29" t="n">
        <v>40</v>
      </c>
      <c r="F187" s="29" t="inlineStr">
        <is>
          <t>Single</t>
        </is>
      </c>
      <c r="G187" s="29" t="inlineStr">
        <is>
          <t>New Die</t>
        </is>
      </c>
      <c r="H187" s="29" t="inlineStr">
        <is>
          <t>90 x 101</t>
        </is>
      </c>
      <c r="I187" s="29" t="inlineStr">
        <is>
          <t>22 X 24</t>
        </is>
      </c>
      <c r="J187" s="29" t="n">
        <v>30</v>
      </c>
      <c r="K187" s="114" t="n">
        <v>1080</v>
      </c>
      <c r="L187" s="72">
        <f>K187/J187</f>
        <v/>
      </c>
      <c r="M187" s="73" t="n">
        <v>0.6977821913273751</v>
      </c>
      <c r="N187" s="72">
        <f>LEFT(I187,FIND("X",I187)-1)*RIGHT(I187,LEN(I187)-FIND("X",I187)-1)*M187</f>
        <v/>
      </c>
      <c r="O187" s="74">
        <f>(N187*L187)/1000</f>
        <v/>
      </c>
    </row>
    <row r="188" ht="15" customHeight="1">
      <c r="A188" s="71" t="n"/>
      <c r="B188" s="133" t="n"/>
      <c r="C188" s="136" t="n"/>
      <c r="D188" s="11" t="inlineStr">
        <is>
          <t>Bottom</t>
        </is>
      </c>
      <c r="E188" s="11" t="n">
        <v>40</v>
      </c>
      <c r="F188" s="29" t="inlineStr">
        <is>
          <t>Single</t>
        </is>
      </c>
      <c r="G188" s="29" t="inlineStr">
        <is>
          <t>New Die</t>
        </is>
      </c>
      <c r="H188" s="11" t="inlineStr">
        <is>
          <t>100 X 111</t>
        </is>
      </c>
      <c r="I188" s="29" t="inlineStr">
        <is>
          <t>22 X 24</t>
        </is>
      </c>
      <c r="J188" s="11" t="n">
        <v>25</v>
      </c>
      <c r="K188" s="13" t="n">
        <v>1080</v>
      </c>
      <c r="L188" s="14">
        <f>K188/J188</f>
        <v/>
      </c>
      <c r="M188" s="15" t="n">
        <v>0.6977821913273751</v>
      </c>
      <c r="N188" s="14">
        <f>LEFT(I188,FIND("X",I188)-1)*RIGHT(I188,LEN(I188)-FIND("X",I188)-1)*M188</f>
        <v/>
      </c>
      <c r="O188" s="16">
        <f>(N188*L188)/1000</f>
        <v/>
      </c>
    </row>
    <row r="189" ht="15.75" customHeight="1" thickBot="1">
      <c r="A189" s="75" t="n"/>
      <c r="B189" s="135" t="n"/>
      <c r="C189" s="22" t="inlineStr">
        <is>
          <t>SVG</t>
        </is>
      </c>
      <c r="D189" s="23" t="inlineStr">
        <is>
          <t>-</t>
        </is>
      </c>
      <c r="E189" s="23" t="n">
        <v>22</v>
      </c>
      <c r="F189" s="23" t="inlineStr">
        <is>
          <t>Single</t>
        </is>
      </c>
      <c r="G189" s="29" t="inlineStr">
        <is>
          <t>New Die</t>
        </is>
      </c>
      <c r="H189" s="23" t="inlineStr">
        <is>
          <t>113 X 123</t>
        </is>
      </c>
      <c r="I189" s="23" t="inlineStr">
        <is>
          <t>20 X 21</t>
        </is>
      </c>
      <c r="J189" s="23" t="n">
        <v>16</v>
      </c>
      <c r="K189" s="76" t="n">
        <v>1080</v>
      </c>
      <c r="L189" s="25">
        <f>K189/J189</f>
        <v/>
      </c>
      <c r="M189" s="26" t="n">
        <v>0.4398148148148148</v>
      </c>
      <c r="N189" s="25">
        <f>LEFT(I189,FIND("X",I189)-1)*RIGHT(I189,LEN(I189)-FIND("X",I189)-1)*M189</f>
        <v/>
      </c>
      <c r="O189" s="27">
        <f>(N189*L189)/1000</f>
        <v/>
      </c>
    </row>
    <row r="190" ht="15" customHeight="1">
      <c r="A190" s="71" t="n"/>
      <c r="B190" s="150" t="inlineStr">
        <is>
          <t>Gav 35</t>
        </is>
      </c>
      <c r="C190" s="138" t="inlineStr">
        <is>
          <t>LVP</t>
        </is>
      </c>
      <c r="D190" s="29" t="inlineStr">
        <is>
          <t>Top</t>
        </is>
      </c>
      <c r="E190" s="29" t="n">
        <v>40</v>
      </c>
      <c r="F190" s="29" t="inlineStr">
        <is>
          <t>Single</t>
        </is>
      </c>
      <c r="G190" s="37" t="inlineStr">
        <is>
          <t>GNR 35 TOP LVP</t>
        </is>
      </c>
      <c r="H190" s="77" t="inlineStr">
        <is>
          <t>100 X 149</t>
        </is>
      </c>
      <c r="I190" s="37" t="inlineStr">
        <is>
          <t>22 X 25.5</t>
        </is>
      </c>
      <c r="J190" s="37" t="n">
        <v>20</v>
      </c>
      <c r="K190" s="78" t="n">
        <v>1000</v>
      </c>
      <c r="L190" s="72">
        <f>K190/J190</f>
        <v/>
      </c>
      <c r="M190" s="73" t="n">
        <v>0.6977821913273751</v>
      </c>
      <c r="N190" s="72">
        <f>LEFT(I190,FIND("X",I190)-1)*RIGHT(I190,LEN(I190)-FIND("X",I190)-1)*M190</f>
        <v/>
      </c>
      <c r="O190" s="74">
        <f>(N190*L190)/1000</f>
        <v/>
      </c>
    </row>
    <row r="191" ht="15" customHeight="1">
      <c r="A191" s="71" t="n"/>
      <c r="B191" s="133" t="n"/>
      <c r="C191" s="136" t="n"/>
      <c r="D191" s="11" t="inlineStr">
        <is>
          <t>Bottom</t>
        </is>
      </c>
      <c r="E191" s="11" t="n">
        <v>40</v>
      </c>
      <c r="F191" s="29" t="inlineStr">
        <is>
          <t>Single</t>
        </is>
      </c>
      <c r="G191" s="11" t="inlineStr">
        <is>
          <t>GNR 35 TOP BOT</t>
        </is>
      </c>
      <c r="H191" s="79" t="inlineStr">
        <is>
          <t>111 X 159</t>
        </is>
      </c>
      <c r="I191" s="11" t="inlineStr">
        <is>
          <t>20 X 24.5</t>
        </is>
      </c>
      <c r="J191" s="11" t="n">
        <v>15</v>
      </c>
      <c r="K191" s="13" t="n">
        <v>1000</v>
      </c>
      <c r="L191" s="14">
        <f>K191/J191</f>
        <v/>
      </c>
      <c r="M191" s="15" t="n">
        <v>0.6977821913273751</v>
      </c>
      <c r="N191" s="14">
        <f>LEFT(I191,FIND("X",I191)-1)*RIGHT(I191,LEN(I191)-FIND("X",I191)-1)*M191</f>
        <v/>
      </c>
      <c r="O191" s="16">
        <f>(N191*L191)/1000</f>
        <v/>
      </c>
    </row>
    <row r="192" ht="15.75" customHeight="1" thickBot="1">
      <c r="A192" s="75" t="n"/>
      <c r="B192" s="135" t="n"/>
      <c r="C192" s="22" t="inlineStr">
        <is>
          <t>SVG</t>
        </is>
      </c>
      <c r="D192" s="23" t="inlineStr">
        <is>
          <t>-</t>
        </is>
      </c>
      <c r="E192" s="23" t="n">
        <v>22</v>
      </c>
      <c r="F192" s="23" t="inlineStr">
        <is>
          <t>Single</t>
        </is>
      </c>
      <c r="G192" s="22" t="inlineStr">
        <is>
          <t>GNR 35 SVG</t>
        </is>
      </c>
      <c r="H192" s="80" t="inlineStr">
        <is>
          <t>128 X 176</t>
        </is>
      </c>
      <c r="I192" s="80" t="inlineStr">
        <is>
          <t>22 X 22</t>
        </is>
      </c>
      <c r="J192" s="76" t="n">
        <v>12</v>
      </c>
      <c r="K192" s="76" t="n">
        <v>1000</v>
      </c>
      <c r="L192" s="25">
        <f>K192/J192</f>
        <v/>
      </c>
      <c r="M192" s="26" t="n">
        <v>0.4398148148148148</v>
      </c>
      <c r="N192" s="25">
        <f>LEFT(I192,FIND("X",I192)-1)*RIGHT(I192,LEN(I192)-FIND("X",I192)-1)*M192</f>
        <v/>
      </c>
      <c r="O192" s="27">
        <f>(N192*L192)/1000</f>
        <v/>
      </c>
    </row>
    <row r="193" ht="15" customHeight="1">
      <c r="A193" s="139" t="n"/>
      <c r="B193" s="150" t="inlineStr">
        <is>
          <t>RAD 40</t>
        </is>
      </c>
      <c r="C193" s="138" t="inlineStr">
        <is>
          <t>LVP</t>
        </is>
      </c>
      <c r="D193" s="29" t="inlineStr">
        <is>
          <t>Top</t>
        </is>
      </c>
      <c r="E193" s="29" t="n">
        <v>60</v>
      </c>
      <c r="F193" s="29" t="inlineStr">
        <is>
          <t>Single</t>
        </is>
      </c>
      <c r="G193" s="29" t="inlineStr">
        <is>
          <t>MCX 40 TOP LVP</t>
        </is>
      </c>
      <c r="H193" s="29" t="inlineStr">
        <is>
          <t>76 X 168</t>
        </is>
      </c>
      <c r="I193" s="29" t="inlineStr">
        <is>
          <t>21 X 24</t>
        </is>
      </c>
      <c r="J193" s="29" t="n">
        <v>21</v>
      </c>
      <c r="K193" s="114" t="n">
        <v>1260</v>
      </c>
      <c r="L193" s="31" t="n">
        <v>23.80952380952381</v>
      </c>
      <c r="M193" s="32" t="n">
        <v>1.103988603988604</v>
      </c>
      <c r="N193" s="31" t="n">
        <v>556.4102564102565</v>
      </c>
      <c r="O193" s="33" t="n">
        <v>13.24786324786325</v>
      </c>
    </row>
    <row r="194" ht="15" customHeight="1">
      <c r="A194" s="133" t="n"/>
      <c r="B194" s="133" t="n"/>
      <c r="C194" s="136" t="n"/>
      <c r="D194" s="11" t="inlineStr">
        <is>
          <t>Bottom</t>
        </is>
      </c>
      <c r="E194" s="11" t="n">
        <v>40</v>
      </c>
      <c r="F194" s="11" t="inlineStr">
        <is>
          <t>Single</t>
        </is>
      </c>
      <c r="G194" s="11" t="inlineStr">
        <is>
          <t>MCX 40 BOT LVP</t>
        </is>
      </c>
      <c r="H194" s="11" t="inlineStr">
        <is>
          <t>88 X 178</t>
        </is>
      </c>
      <c r="I194" s="11" t="inlineStr">
        <is>
          <t>20 X 23</t>
        </is>
      </c>
      <c r="J194" s="11" t="n">
        <v>15</v>
      </c>
      <c r="K194" s="34" t="n">
        <v>1260</v>
      </c>
      <c r="L194" s="14" t="n">
        <v>33.33333333333334</v>
      </c>
      <c r="M194" s="15" t="n">
        <v>0.6977821913273751</v>
      </c>
      <c r="N194" s="14" t="n">
        <v>320.9798080105925</v>
      </c>
      <c r="O194" s="16" t="n">
        <v>10.69932693368642</v>
      </c>
    </row>
    <row r="195" ht="15.75" customHeight="1" thickBot="1">
      <c r="A195" s="135" t="n"/>
      <c r="B195" s="135" t="n"/>
      <c r="C195" s="22" t="inlineStr">
        <is>
          <t>SVG</t>
        </is>
      </c>
      <c r="D195" s="23" t="inlineStr">
        <is>
          <t>-</t>
        </is>
      </c>
      <c r="E195" s="23" t="n">
        <v>22</v>
      </c>
      <c r="F195" s="23" t="inlineStr">
        <is>
          <t>Single</t>
        </is>
      </c>
      <c r="G195" s="23" t="inlineStr">
        <is>
          <t>MCX 40 SVG</t>
        </is>
      </c>
      <c r="H195" s="23" t="inlineStr">
        <is>
          <t>103 X 193</t>
        </is>
      </c>
      <c r="I195" s="23" t="inlineStr">
        <is>
          <t>18 X 24</t>
        </is>
      </c>
      <c r="J195" s="23" t="n">
        <v>12</v>
      </c>
      <c r="K195" s="115" t="n">
        <v>1260</v>
      </c>
      <c r="L195" s="25" t="n">
        <v>41.66666666666666</v>
      </c>
      <c r="M195" s="26" t="n">
        <v>0.4398148148148148</v>
      </c>
      <c r="N195" s="25" t="n">
        <v>190</v>
      </c>
      <c r="O195" s="27" t="n">
        <v>7.916666666666666</v>
      </c>
    </row>
    <row r="196" ht="15" customHeight="1">
      <c r="A196" s="139" t="n"/>
      <c r="B196" s="150" t="inlineStr">
        <is>
          <t>RAD 42</t>
        </is>
      </c>
      <c r="C196" s="138" t="inlineStr">
        <is>
          <t>LVP</t>
        </is>
      </c>
      <c r="D196" s="29" t="inlineStr">
        <is>
          <t>Top</t>
        </is>
      </c>
      <c r="E196" s="29" t="n">
        <v>60</v>
      </c>
      <c r="F196" s="29" t="inlineStr">
        <is>
          <t>Single</t>
        </is>
      </c>
      <c r="G196" s="29" t="inlineStr">
        <is>
          <t>MCX 42 TOP LVP</t>
        </is>
      </c>
      <c r="H196" s="29" t="inlineStr">
        <is>
          <t>100 X 227</t>
        </is>
      </c>
      <c r="I196" s="29" t="inlineStr">
        <is>
          <t>19 X 22</t>
        </is>
      </c>
      <c r="J196" s="29" t="n">
        <v>10</v>
      </c>
      <c r="K196" s="114" t="n">
        <v>640</v>
      </c>
      <c r="L196" s="31" t="n">
        <v>10</v>
      </c>
      <c r="M196" s="32" t="n">
        <v>1.103988603988604</v>
      </c>
      <c r="N196" s="31" t="n">
        <v>461.4672364672365</v>
      </c>
      <c r="O196" s="33" t="n">
        <v>4.614672364672365</v>
      </c>
    </row>
    <row r="197" ht="15" customHeight="1">
      <c r="A197" s="133" t="n"/>
      <c r="B197" s="133" t="n"/>
      <c r="C197" s="136" t="n"/>
      <c r="D197" s="11" t="inlineStr">
        <is>
          <t>Bottom</t>
        </is>
      </c>
      <c r="E197" s="11" t="n">
        <v>40</v>
      </c>
      <c r="F197" s="11" t="inlineStr">
        <is>
          <t>Single</t>
        </is>
      </c>
      <c r="G197" s="11" t="inlineStr">
        <is>
          <t>MCX 42 BOT LVP</t>
        </is>
      </c>
      <c r="H197" s="11" t="inlineStr">
        <is>
          <t>108 X 236</t>
        </is>
      </c>
      <c r="I197" s="11" t="inlineStr">
        <is>
          <t>20 X 24</t>
        </is>
      </c>
      <c r="J197" s="11" t="n">
        <v>10</v>
      </c>
      <c r="K197" s="34" t="n">
        <v>640</v>
      </c>
      <c r="L197" s="14" t="n">
        <v>10</v>
      </c>
      <c r="M197" s="15" t="n">
        <v>0.6977821913273751</v>
      </c>
      <c r="N197" s="14" t="n">
        <v>334.93545183714</v>
      </c>
      <c r="O197" s="16" t="n">
        <v>3.3493545183714</v>
      </c>
    </row>
    <row r="198" ht="15.75" customHeight="1" thickBot="1">
      <c r="A198" s="135" t="n"/>
      <c r="B198" s="135" t="n"/>
      <c r="C198" s="22" t="inlineStr">
        <is>
          <t>SVG</t>
        </is>
      </c>
      <c r="D198" s="23" t="inlineStr">
        <is>
          <t>-</t>
        </is>
      </c>
      <c r="E198" s="23" t="n">
        <v>22</v>
      </c>
      <c r="F198" s="23" t="inlineStr">
        <is>
          <t>Single</t>
        </is>
      </c>
      <c r="G198" s="23" t="inlineStr">
        <is>
          <t>MCX 42 SVG</t>
        </is>
      </c>
      <c r="H198" s="23" t="inlineStr">
        <is>
          <t>122 X 252</t>
        </is>
      </c>
      <c r="I198" s="23" t="inlineStr">
        <is>
          <t>21 X 21</t>
        </is>
      </c>
      <c r="J198" s="23" t="n">
        <v>8</v>
      </c>
      <c r="K198" s="115" t="n">
        <v>640</v>
      </c>
      <c r="L198" s="25" t="n">
        <v>12.5</v>
      </c>
      <c r="M198" s="26" t="n">
        <v>0.4398148148148148</v>
      </c>
      <c r="N198" s="25" t="n">
        <v>193.9583333333333</v>
      </c>
      <c r="O198" s="27" t="n">
        <v>2.424479166666667</v>
      </c>
    </row>
    <row r="199" ht="15" customHeight="1">
      <c r="A199" s="139" t="n"/>
      <c r="B199" s="150" t="inlineStr">
        <is>
          <t>RAD 45</t>
        </is>
      </c>
      <c r="C199" s="138" t="inlineStr">
        <is>
          <t>LVP</t>
        </is>
      </c>
      <c r="D199" s="29" t="inlineStr">
        <is>
          <t>Top</t>
        </is>
      </c>
      <c r="E199" s="29" t="n">
        <v>40</v>
      </c>
      <c r="F199" s="29" t="inlineStr">
        <is>
          <t>Single</t>
        </is>
      </c>
      <c r="G199" s="29" t="inlineStr">
        <is>
          <t>MCX 45 LVP</t>
        </is>
      </c>
      <c r="H199" s="29" t="inlineStr">
        <is>
          <t>158 X 209</t>
        </is>
      </c>
      <c r="I199" s="29" t="inlineStr">
        <is>
          <t>18 X 20</t>
        </is>
      </c>
      <c r="J199" s="29" t="n">
        <v>6</v>
      </c>
      <c r="K199" s="114" t="n">
        <v>240</v>
      </c>
      <c r="L199" s="31" t="n">
        <v>16.66666666666667</v>
      </c>
      <c r="M199" s="32" t="n">
        <v>0.6977821913273751</v>
      </c>
      <c r="N199" s="31" t="n">
        <v>251.201588877855</v>
      </c>
      <c r="O199" s="33" t="n">
        <v>4.186693147964251</v>
      </c>
    </row>
    <row r="200" ht="15" customHeight="1">
      <c r="A200" s="133" t="n"/>
      <c r="B200" s="133" t="n"/>
      <c r="C200" s="136" t="n"/>
      <c r="D200" s="11" t="inlineStr">
        <is>
          <t>Bottom</t>
        </is>
      </c>
      <c r="E200" s="11" t="n">
        <v>40</v>
      </c>
      <c r="F200" s="11" t="inlineStr">
        <is>
          <t>Single</t>
        </is>
      </c>
      <c r="G200" s="29" t="inlineStr">
        <is>
          <t>MCX 45 LVP</t>
        </is>
      </c>
      <c r="H200" s="29" t="inlineStr">
        <is>
          <t>158 X 209</t>
        </is>
      </c>
      <c r="I200" s="29" t="inlineStr">
        <is>
          <t>18 X 20</t>
        </is>
      </c>
      <c r="J200" s="29" t="n">
        <v>6</v>
      </c>
      <c r="K200" s="34" t="n">
        <v>240</v>
      </c>
      <c r="L200" s="14" t="n">
        <v>16.66666666666667</v>
      </c>
      <c r="M200" s="15" t="n">
        <v>0.6977821913273751</v>
      </c>
      <c r="N200" s="14" t="n">
        <v>251.201588877855</v>
      </c>
      <c r="O200" s="16" t="n">
        <v>4.186693147964251</v>
      </c>
    </row>
    <row r="201" ht="15.75" customHeight="1" thickBot="1">
      <c r="A201" s="135" t="n"/>
      <c r="B201" s="135" t="n"/>
      <c r="C201" s="22" t="inlineStr">
        <is>
          <t>SVG</t>
        </is>
      </c>
      <c r="D201" s="23" t="inlineStr">
        <is>
          <t>-</t>
        </is>
      </c>
      <c r="E201" s="23" t="n">
        <v>22</v>
      </c>
      <c r="F201" s="23" t="inlineStr">
        <is>
          <t>Single</t>
        </is>
      </c>
      <c r="G201" s="23" t="inlineStr">
        <is>
          <t>MCX 45 SVG</t>
        </is>
      </c>
      <c r="H201" s="23" t="inlineStr">
        <is>
          <t>171 X 222</t>
        </is>
      </c>
      <c r="I201" s="23" t="inlineStr">
        <is>
          <t>18.5 X 22</t>
        </is>
      </c>
      <c r="J201" s="23" t="n">
        <v>6</v>
      </c>
      <c r="K201" s="115" t="n">
        <v>240</v>
      </c>
      <c r="L201" s="25" t="n">
        <v>16.66666666666667</v>
      </c>
      <c r="M201" s="26" t="n">
        <v>0.4398148148148148</v>
      </c>
      <c r="N201" s="25" t="n">
        <v>179.0046296296296</v>
      </c>
      <c r="O201" s="27" t="n">
        <v>2.983410493827161</v>
      </c>
    </row>
    <row r="202" ht="15" customHeight="1">
      <c r="A202" s="149" t="n"/>
      <c r="B202" s="150" t="inlineStr">
        <is>
          <t>Chemblue 10</t>
        </is>
      </c>
      <c r="C202" s="58" t="inlineStr">
        <is>
          <t>LVP</t>
        </is>
      </c>
      <c r="D202" s="29" t="inlineStr">
        <is>
          <t>Top</t>
        </is>
      </c>
      <c r="E202" s="29" t="n">
        <v>60</v>
      </c>
      <c r="F202" s="29" t="inlineStr">
        <is>
          <t>Passing</t>
        </is>
      </c>
      <c r="G202" s="29" t="inlineStr">
        <is>
          <t>GNR 10 LVP</t>
        </is>
      </c>
      <c r="H202" s="29" t="inlineStr">
        <is>
          <t>40 X 62</t>
        </is>
      </c>
      <c r="I202" s="29" t="inlineStr">
        <is>
          <t>20.5 X 22</t>
        </is>
      </c>
      <c r="J202" s="29" t="n">
        <v>88</v>
      </c>
      <c r="K202" s="114" t="n">
        <v>2000</v>
      </c>
      <c r="L202" s="31">
        <f>K202/J202</f>
        <v/>
      </c>
      <c r="M202" s="32" t="n">
        <v>1.103988603988604</v>
      </c>
      <c r="N202" s="31">
        <f>LEFT(I202,FIND("X",I202)-1)*RIGHT(I202,LEN(I202)-FIND("X",I202)-1)*M202</f>
        <v/>
      </c>
      <c r="O202" s="33">
        <f>(N202*L202)/1000</f>
        <v/>
      </c>
    </row>
    <row r="203" ht="15" customHeight="1">
      <c r="A203" s="133" t="n"/>
      <c r="B203" s="133" t="n"/>
      <c r="C203" s="59" t="n"/>
      <c r="D203" s="11" t="inlineStr">
        <is>
          <t>Bottom</t>
        </is>
      </c>
      <c r="E203" s="11" t="n"/>
      <c r="F203" s="29" t="n"/>
      <c r="G203" s="29" t="n"/>
      <c r="H203" s="29" t="n"/>
      <c r="I203" s="29" t="n"/>
      <c r="J203" s="29" t="n"/>
      <c r="K203" s="114" t="n"/>
      <c r="L203" s="14">
        <f>K203/J203</f>
        <v/>
      </c>
      <c r="M203" s="15" t="e">
        <v>#N/A</v>
      </c>
      <c r="N203" s="14">
        <f>LEFT(I203,FIND("X",I203)-1)*RIGHT(I203,LEN(I203)-FIND("X",I203)-1)*M203</f>
        <v/>
      </c>
      <c r="O203" s="16">
        <f>(N203*L203)/1000</f>
        <v/>
      </c>
    </row>
    <row r="204" ht="15.75" customHeight="1" thickBot="1">
      <c r="A204" s="135" t="n"/>
      <c r="B204" s="135" t="n"/>
      <c r="C204" s="22" t="inlineStr">
        <is>
          <t>SVG</t>
        </is>
      </c>
      <c r="D204" s="23" t="inlineStr">
        <is>
          <t>-</t>
        </is>
      </c>
      <c r="E204" s="23" t="n">
        <v>22</v>
      </c>
      <c r="F204" s="23" t="inlineStr">
        <is>
          <t>Passing</t>
        </is>
      </c>
      <c r="G204" s="23" t="inlineStr">
        <is>
          <t>GNR 10 SVG</t>
        </is>
      </c>
      <c r="H204" s="23" t="inlineStr">
        <is>
          <t>51 X 72</t>
        </is>
      </c>
      <c r="I204" s="23" t="inlineStr">
        <is>
          <t>19 X 23</t>
        </is>
      </c>
      <c r="J204" s="23" t="n">
        <v>60</v>
      </c>
      <c r="K204" s="115" t="n">
        <v>2000</v>
      </c>
      <c r="L204" s="25">
        <f>K204/J204</f>
        <v/>
      </c>
      <c r="M204" s="26" t="n">
        <v>0.4398148148148148</v>
      </c>
      <c r="N204" s="25">
        <f>LEFT(I204,FIND("X",I204)-1)*RIGHT(I204,LEN(I204)-FIND("X",I204)-1)*M204</f>
        <v/>
      </c>
      <c r="O204" s="27">
        <f>(N204*L204)/1000</f>
        <v/>
      </c>
    </row>
    <row r="205" ht="15" customHeight="1">
      <c r="A205" s="149" t="n"/>
      <c r="B205" s="150" t="inlineStr">
        <is>
          <t>Chemblue 12</t>
        </is>
      </c>
      <c r="C205" s="58" t="inlineStr">
        <is>
          <t>LVP</t>
        </is>
      </c>
      <c r="D205" s="29" t="inlineStr">
        <is>
          <t>Top</t>
        </is>
      </c>
      <c r="E205" s="29" t="n">
        <v>60</v>
      </c>
      <c r="F205" s="29" t="inlineStr">
        <is>
          <t>Passing</t>
        </is>
      </c>
      <c r="G205" s="29" t="inlineStr">
        <is>
          <t>GNR 12 LVP</t>
        </is>
      </c>
      <c r="H205" s="29" t="inlineStr">
        <is>
          <t>54 X 107</t>
        </is>
      </c>
      <c r="I205" s="29" t="inlineStr">
        <is>
          <t>22 X 23</t>
        </is>
      </c>
      <c r="J205" s="29" t="n">
        <v>45</v>
      </c>
      <c r="K205" s="114" t="n">
        <v>800</v>
      </c>
      <c r="L205" s="31">
        <f>K205/J205</f>
        <v/>
      </c>
      <c r="M205" s="32" t="n">
        <v>1.103988603988604</v>
      </c>
      <c r="N205" s="31">
        <f>LEFT(I205,FIND("X",I205)-1)*RIGHT(I205,LEN(I205)-FIND("X",I205)-1)*M205</f>
        <v/>
      </c>
      <c r="O205" s="33">
        <f>(N205*L205)/1000</f>
        <v/>
      </c>
    </row>
    <row r="206" ht="15" customHeight="1">
      <c r="A206" s="133" t="n"/>
      <c r="B206" s="133" t="n"/>
      <c r="C206" s="59" t="n"/>
      <c r="D206" s="11" t="inlineStr">
        <is>
          <t>Bottom</t>
        </is>
      </c>
      <c r="E206" s="11" t="n"/>
      <c r="F206" s="29" t="n"/>
      <c r="G206" s="29" t="n"/>
      <c r="H206" s="29" t="n"/>
      <c r="I206" s="29" t="n"/>
      <c r="J206" s="29" t="n"/>
      <c r="K206" s="114" t="n"/>
      <c r="L206" s="14">
        <f>K206/J206</f>
        <v/>
      </c>
      <c r="M206" s="15" t="e">
        <v>#N/A</v>
      </c>
      <c r="N206" s="14">
        <f>LEFT(I206,FIND("X",I206)-1)*RIGHT(I206,LEN(I206)-FIND("X",I206)-1)*M206</f>
        <v/>
      </c>
      <c r="O206" s="16">
        <f>(N206*L206)/1000</f>
        <v/>
      </c>
    </row>
    <row r="207" ht="15.75" customHeight="1" thickBot="1">
      <c r="A207" s="135" t="n"/>
      <c r="B207" s="135" t="n"/>
      <c r="C207" s="22" t="inlineStr">
        <is>
          <t>SVG</t>
        </is>
      </c>
      <c r="D207" s="23" t="inlineStr">
        <is>
          <t>-</t>
        </is>
      </c>
      <c r="E207" s="23" t="n">
        <v>22</v>
      </c>
      <c r="F207" s="23" t="inlineStr">
        <is>
          <t>Passing</t>
        </is>
      </c>
      <c r="G207" s="23" t="inlineStr">
        <is>
          <t>GNR 12 SVG</t>
        </is>
      </c>
      <c r="H207" s="23" t="inlineStr">
        <is>
          <t>65 X 118</t>
        </is>
      </c>
      <c r="I207" s="23" t="inlineStr">
        <is>
          <t>20.5 X 23</t>
        </is>
      </c>
      <c r="J207" s="23" t="n">
        <v>32</v>
      </c>
      <c r="K207" s="115" t="n">
        <v>800</v>
      </c>
      <c r="L207" s="25">
        <f>K207/J207</f>
        <v/>
      </c>
      <c r="M207" s="26" t="n">
        <v>0.4398148148148148</v>
      </c>
      <c r="N207" s="25">
        <f>LEFT(I207,FIND("X",I207)-1)*RIGHT(I207,LEN(I207)-FIND("X",I207)-1)*M207</f>
        <v/>
      </c>
      <c r="O207" s="27">
        <f>(N207*L207)/1000</f>
        <v/>
      </c>
    </row>
    <row r="208" ht="15" customHeight="1">
      <c r="A208" s="149" t="n"/>
      <c r="B208" s="150" t="inlineStr">
        <is>
          <t>Chemblue 14</t>
        </is>
      </c>
      <c r="C208" s="58" t="inlineStr">
        <is>
          <t>LVP</t>
        </is>
      </c>
      <c r="D208" s="29" t="inlineStr">
        <is>
          <t>Top</t>
        </is>
      </c>
      <c r="E208" s="29" t="n">
        <v>60</v>
      </c>
      <c r="F208" s="1" t="inlineStr">
        <is>
          <t>Single</t>
        </is>
      </c>
      <c r="G208" s="29" t="inlineStr">
        <is>
          <t>GNR 14 LVP</t>
        </is>
      </c>
      <c r="H208" s="29" t="inlineStr">
        <is>
          <t>65 X 117</t>
        </is>
      </c>
      <c r="I208" s="29" t="inlineStr">
        <is>
          <t>24.5 X 25.5</t>
        </is>
      </c>
      <c r="J208" s="29" t="n">
        <v>40</v>
      </c>
      <c r="K208" s="114" t="n">
        <v>600</v>
      </c>
      <c r="L208" s="31">
        <f>K208/J208</f>
        <v/>
      </c>
      <c r="M208" s="32" t="n">
        <v>1.103988603988604</v>
      </c>
      <c r="N208" s="31">
        <f>LEFT(I208,FIND("X",I208)-1)*RIGHT(I208,LEN(I208)-FIND("X",I208)-1)*M208</f>
        <v/>
      </c>
      <c r="O208" s="33">
        <f>(N208*L208)/1000</f>
        <v/>
      </c>
    </row>
    <row r="209" ht="15" customHeight="1">
      <c r="A209" s="133" t="n"/>
      <c r="B209" s="133" t="n"/>
      <c r="C209" s="59" t="n"/>
      <c r="D209" s="11" t="inlineStr">
        <is>
          <t>Bottom</t>
        </is>
      </c>
      <c r="E209" s="11" t="n"/>
      <c r="G209" s="29" t="n"/>
      <c r="H209" s="29" t="n"/>
      <c r="I209" s="29" t="n"/>
      <c r="J209" s="29" t="n"/>
      <c r="K209" s="114" t="n"/>
      <c r="L209" s="14">
        <f>K209/J209</f>
        <v/>
      </c>
      <c r="M209" s="15" t="e">
        <v>#N/A</v>
      </c>
      <c r="N209" s="14">
        <f>LEFT(I209,FIND("X",I209)-1)*RIGHT(I209,LEN(I209)-FIND("X",I209)-1)*M209</f>
        <v/>
      </c>
      <c r="O209" s="16">
        <f>(N209*L209)/1000</f>
        <v/>
      </c>
    </row>
    <row r="210" ht="15.75" customHeight="1" thickBot="1">
      <c r="A210" s="135" t="n"/>
      <c r="B210" s="135" t="n"/>
      <c r="C210" s="22" t="inlineStr">
        <is>
          <t>SVG</t>
        </is>
      </c>
      <c r="D210" s="23" t="inlineStr">
        <is>
          <t>-</t>
        </is>
      </c>
      <c r="E210" s="23" t="n">
        <v>22</v>
      </c>
      <c r="F210" s="23" t="inlineStr">
        <is>
          <t>Single</t>
        </is>
      </c>
      <c r="G210" s="23" t="inlineStr">
        <is>
          <t>GNR 14 SVG</t>
        </is>
      </c>
      <c r="H210" s="23" t="inlineStr">
        <is>
          <t>75 X 128</t>
        </is>
      </c>
      <c r="I210" s="23" t="inlineStr">
        <is>
          <t>21 X 22</t>
        </is>
      </c>
      <c r="J210" s="23" t="n">
        <v>24</v>
      </c>
      <c r="K210" s="115" t="n">
        <v>600</v>
      </c>
      <c r="L210" s="25">
        <f>K210/J210</f>
        <v/>
      </c>
      <c r="M210" s="26" t="n">
        <v>0.4398148148148148</v>
      </c>
      <c r="N210" s="25">
        <f>LEFT(I210,FIND("X",I210)-1)*RIGHT(I210,LEN(I210)-FIND("X",I210)-1)*M210</f>
        <v/>
      </c>
      <c r="O210" s="27">
        <f>(N210*L210)/1000</f>
        <v/>
      </c>
    </row>
    <row r="211" ht="15" customHeight="1">
      <c r="A211" s="139" t="n"/>
      <c r="B211" s="150" t="inlineStr">
        <is>
          <t>Chemblue 15</t>
        </is>
      </c>
      <c r="C211" s="138" t="inlineStr">
        <is>
          <t>LVP</t>
        </is>
      </c>
      <c r="D211" s="29" t="inlineStr">
        <is>
          <t>Top</t>
        </is>
      </c>
      <c r="E211" s="29" t="n">
        <v>60</v>
      </c>
      <c r="F211" s="37" t="inlineStr">
        <is>
          <t>Passing</t>
        </is>
      </c>
      <c r="G211" s="29" t="inlineStr">
        <is>
          <t>MCX 15 LVP</t>
        </is>
      </c>
      <c r="H211" s="29" t="inlineStr">
        <is>
          <t>61 X 75</t>
        </is>
      </c>
      <c r="I211" s="29" t="inlineStr">
        <is>
          <t>19 X 23</t>
        </is>
      </c>
      <c r="J211" s="29" t="n">
        <v>49</v>
      </c>
      <c r="K211" s="114" t="n">
        <v>2000</v>
      </c>
      <c r="L211" s="31">
        <f>K211/J211</f>
        <v/>
      </c>
      <c r="M211" s="32" t="n">
        <v>1.103988603988604</v>
      </c>
      <c r="N211" s="31">
        <f>LEFT(I211,FIND("X",I211)-1)*RIGHT(I211,LEN(I211)-FIND("X",I211)-1)*M211</f>
        <v/>
      </c>
      <c r="O211" s="33">
        <f>(N211*L211)/1000</f>
        <v/>
      </c>
    </row>
    <row r="212" ht="15" customHeight="1">
      <c r="A212" s="133" t="n"/>
      <c r="B212" s="133" t="n"/>
      <c r="C212" s="136" t="n"/>
      <c r="D212" s="11" t="inlineStr">
        <is>
          <t>Bottom</t>
        </is>
      </c>
      <c r="E212" s="11" t="n"/>
      <c r="F212" s="29" t="n"/>
      <c r="G212" s="11" t="n"/>
      <c r="H212" s="11" t="n"/>
      <c r="I212" s="11" t="n"/>
      <c r="J212" s="11" t="n"/>
      <c r="K212" s="34" t="n"/>
      <c r="L212" s="14">
        <f>K212/J212</f>
        <v/>
      </c>
      <c r="M212" s="15" t="e">
        <v>#N/A</v>
      </c>
      <c r="N212" s="14">
        <f>LEFT(I212,FIND("X",I212)-1)*RIGHT(I212,LEN(I212)-FIND("X",I212)-1)*M212</f>
        <v/>
      </c>
      <c r="O212" s="16">
        <f>(N212*L212)/1000</f>
        <v/>
      </c>
    </row>
    <row r="213" ht="15.75" customHeight="1" thickBot="1">
      <c r="A213" s="135" t="n"/>
      <c r="B213" s="135" t="n"/>
      <c r="C213" s="22" t="inlineStr">
        <is>
          <t>SVG</t>
        </is>
      </c>
      <c r="D213" s="23" t="inlineStr">
        <is>
          <t>-</t>
        </is>
      </c>
      <c r="E213" s="23" t="n">
        <v>22</v>
      </c>
      <c r="F213" s="23" t="inlineStr">
        <is>
          <t>Passing</t>
        </is>
      </c>
      <c r="G213" s="23" t="inlineStr">
        <is>
          <t>MCX 15 SVG</t>
        </is>
      </c>
      <c r="H213" s="23" t="inlineStr">
        <is>
          <t>71 X 85</t>
        </is>
      </c>
      <c r="I213" s="23" t="inlineStr">
        <is>
          <t>18.5 X 22</t>
        </is>
      </c>
      <c r="J213" s="23" t="n">
        <v>36</v>
      </c>
      <c r="K213" s="115" t="n">
        <v>2000</v>
      </c>
      <c r="L213" s="25">
        <f>K213/J213</f>
        <v/>
      </c>
      <c r="M213" s="26" t="n">
        <v>0.4398148148148148</v>
      </c>
      <c r="N213" s="25">
        <f>LEFT(I213,FIND("X",I213)-1)*RIGHT(I213,LEN(I213)-FIND("X",I213)-1)*M213</f>
        <v/>
      </c>
      <c r="O213" s="27">
        <f>(N213*L213)/1000</f>
        <v/>
      </c>
    </row>
    <row r="214" ht="15" customHeight="1">
      <c r="A214" s="71" t="n"/>
      <c r="B214" s="150" t="inlineStr">
        <is>
          <t>Chemblue 19</t>
        </is>
      </c>
      <c r="C214" s="138" t="inlineStr">
        <is>
          <t>LVP</t>
        </is>
      </c>
      <c r="D214" s="29" t="inlineStr">
        <is>
          <t>Top</t>
        </is>
      </c>
      <c r="E214" s="29" t="n">
        <v>40</v>
      </c>
      <c r="F214" s="29" t="inlineStr">
        <is>
          <t>Single</t>
        </is>
      </c>
      <c r="G214" s="29" t="inlineStr">
        <is>
          <t>TOP MCX 25 LVP</t>
        </is>
      </c>
      <c r="H214" s="29" t="inlineStr">
        <is>
          <t>85 X 98</t>
        </is>
      </c>
      <c r="I214" s="29" t="inlineStr">
        <is>
          <t>22 X 23</t>
        </is>
      </c>
      <c r="J214" s="29" t="n">
        <v>30</v>
      </c>
      <c r="K214" s="78" t="n">
        <v>700</v>
      </c>
      <c r="L214" s="72">
        <f>K214/J214</f>
        <v/>
      </c>
      <c r="M214" s="73" t="n">
        <v>0.6977821913273751</v>
      </c>
      <c r="N214" s="72">
        <f>LEFT(I214,FIND("X",I214)-1)*RIGHT(I214,LEN(I214)-FIND("X",I214)-1)*M214</f>
        <v/>
      </c>
      <c r="O214" s="74">
        <f>(N214*L214)/1000</f>
        <v/>
      </c>
    </row>
    <row r="215" ht="15" customHeight="1">
      <c r="A215" s="71" t="n"/>
      <c r="B215" s="133" t="n"/>
      <c r="C215" s="136" t="n"/>
      <c r="D215" s="11" t="inlineStr">
        <is>
          <t>Bottom</t>
        </is>
      </c>
      <c r="E215" s="11" t="n">
        <v>40</v>
      </c>
      <c r="F215" s="29" t="inlineStr">
        <is>
          <t>Single</t>
        </is>
      </c>
      <c r="G215" s="11" t="inlineStr">
        <is>
          <t>BOT.MCX 25 LVP</t>
        </is>
      </c>
      <c r="H215" s="11" t="inlineStr">
        <is>
          <t>94 X 108</t>
        </is>
      </c>
      <c r="I215" s="11" t="inlineStr">
        <is>
          <t>21 X 24</t>
        </is>
      </c>
      <c r="J215" s="11" t="n">
        <v>25</v>
      </c>
      <c r="K215" s="13" t="n">
        <v>700</v>
      </c>
      <c r="L215" s="14">
        <f>K215/J215</f>
        <v/>
      </c>
      <c r="M215" s="15" t="n">
        <v>0.6977821913273751</v>
      </c>
      <c r="N215" s="14">
        <f>LEFT(I215,FIND("X",I215)-1)*RIGHT(I215,LEN(I215)-FIND("X",I215)-1)*M215</f>
        <v/>
      </c>
      <c r="O215" s="16">
        <f>(N215*L215)/1000</f>
        <v/>
      </c>
    </row>
    <row r="216" ht="15.75" customHeight="1" thickBot="1">
      <c r="A216" s="75" t="n"/>
      <c r="B216" s="135" t="n"/>
      <c r="C216" s="22" t="inlineStr">
        <is>
          <t>SVG</t>
        </is>
      </c>
      <c r="D216" s="23" t="inlineStr">
        <is>
          <t>-</t>
        </is>
      </c>
      <c r="E216" s="23" t="n">
        <v>22</v>
      </c>
      <c r="F216" s="23" t="inlineStr">
        <is>
          <t>Single</t>
        </is>
      </c>
      <c r="G216" s="23" t="inlineStr">
        <is>
          <t>MCX 25 SVG</t>
        </is>
      </c>
      <c r="H216" s="23" t="inlineStr">
        <is>
          <t>108 X 120</t>
        </is>
      </c>
      <c r="I216" s="23" t="inlineStr">
        <is>
          <t>21 X 24</t>
        </is>
      </c>
      <c r="J216" s="23" t="n">
        <v>20</v>
      </c>
      <c r="K216" s="76" t="n">
        <v>700</v>
      </c>
      <c r="L216" s="25">
        <f>K216/J216</f>
        <v/>
      </c>
      <c r="M216" s="26" t="n">
        <v>0.4398148148148148</v>
      </c>
      <c r="N216" s="25">
        <f>LEFT(I216,FIND("X",I216)-1)*RIGHT(I216,LEN(I216)-FIND("X",I216)-1)*M216</f>
        <v/>
      </c>
      <c r="O216" s="27">
        <f>(N216*L216)/1000</f>
        <v/>
      </c>
    </row>
    <row r="217" ht="15" customHeight="1">
      <c r="A217" s="71" t="n"/>
      <c r="B217" s="150" t="inlineStr">
        <is>
          <t>Chemblue 20</t>
        </is>
      </c>
      <c r="C217" s="138" t="inlineStr">
        <is>
          <t>LVP</t>
        </is>
      </c>
      <c r="D217" s="29" t="inlineStr">
        <is>
          <t>Top</t>
        </is>
      </c>
      <c r="E217" s="29" t="n">
        <v>60</v>
      </c>
      <c r="F217" s="29" t="inlineStr">
        <is>
          <t>Passing</t>
        </is>
      </c>
      <c r="G217" s="37" t="inlineStr">
        <is>
          <t>Turkey MCX 20 LVP</t>
        </is>
      </c>
      <c r="H217" s="77" t="inlineStr">
        <is>
          <t>65 X 110</t>
        </is>
      </c>
      <c r="I217" s="37" t="inlineStr">
        <is>
          <t>24.5 X 24</t>
        </is>
      </c>
      <c r="J217" s="37" t="n">
        <v>35</v>
      </c>
      <c r="K217" s="78" t="n">
        <v>300</v>
      </c>
      <c r="L217" s="72">
        <f>K217/J217</f>
        <v/>
      </c>
      <c r="M217" s="73" t="n">
        <v>1.103988603988604</v>
      </c>
      <c r="N217" s="72">
        <f>LEFT(I217,FIND("X",I217)-1)*RIGHT(I217,LEN(I217)-FIND("X",I217)-1)*M217</f>
        <v/>
      </c>
      <c r="O217" s="74">
        <f>(N217*L217)/1000</f>
        <v/>
      </c>
    </row>
    <row r="218" ht="15" customHeight="1">
      <c r="A218" s="71" t="n"/>
      <c r="B218" s="133" t="n"/>
      <c r="C218" s="136" t="n"/>
      <c r="D218" s="11" t="inlineStr">
        <is>
          <t>Bottom</t>
        </is>
      </c>
      <c r="E218" s="11" t="n"/>
      <c r="F218" s="29" t="n"/>
      <c r="G218" s="11" t="n"/>
      <c r="H218" s="79" t="n"/>
      <c r="I218" s="11" t="n"/>
      <c r="J218" s="11" t="n"/>
      <c r="K218" s="13" t="n"/>
      <c r="L218" s="14">
        <f>K218/J218</f>
        <v/>
      </c>
      <c r="M218" s="15" t="e">
        <v>#N/A</v>
      </c>
      <c r="N218" s="14">
        <f>LEFT(I218,FIND("X",I218)-1)*RIGHT(I218,LEN(I218)-FIND("X",I218)-1)*M218</f>
        <v/>
      </c>
      <c r="O218" s="16">
        <f>(N218*L218)/1000</f>
        <v/>
      </c>
    </row>
    <row r="219" ht="15.75" customHeight="1" thickBot="1">
      <c r="A219" s="75" t="n"/>
      <c r="B219" s="135" t="n"/>
      <c r="C219" s="22" t="inlineStr">
        <is>
          <t>SVG</t>
        </is>
      </c>
      <c r="D219" s="23" t="inlineStr">
        <is>
          <t>-</t>
        </is>
      </c>
      <c r="E219" s="23" t="n">
        <v>22</v>
      </c>
      <c r="F219" s="23" t="inlineStr">
        <is>
          <t>Passing</t>
        </is>
      </c>
      <c r="G219" s="22" t="inlineStr">
        <is>
          <t>Turkey MCX 20 SVG</t>
        </is>
      </c>
      <c r="H219" s="80" t="inlineStr">
        <is>
          <t>75 X 120</t>
        </is>
      </c>
      <c r="I219" s="80" t="inlineStr">
        <is>
          <t>21 X 24</t>
        </is>
      </c>
      <c r="J219" s="76" t="n">
        <v>28</v>
      </c>
      <c r="K219" s="76" t="n">
        <v>300</v>
      </c>
      <c r="L219" s="25">
        <f>K219/J219</f>
        <v/>
      </c>
      <c r="M219" s="26" t="n">
        <v>0.4398148148148148</v>
      </c>
      <c r="N219" s="25">
        <f>LEFT(I219,FIND("X",I219)-1)*RIGHT(I219,LEN(I219)-FIND("X",I219)-1)*M219</f>
        <v/>
      </c>
      <c r="O219" s="27">
        <f>(N219*L219)/1000</f>
        <v/>
      </c>
    </row>
    <row r="220" ht="15.75" customHeight="1" thickBot="1">
      <c r="A220" s="71" t="n"/>
      <c r="B220" s="150" t="inlineStr">
        <is>
          <t>Chemblue 22</t>
        </is>
      </c>
      <c r="C220" s="138" t="inlineStr">
        <is>
          <t>LVP</t>
        </is>
      </c>
      <c r="D220" s="29" t="inlineStr">
        <is>
          <t>Top</t>
        </is>
      </c>
      <c r="E220" s="29" t="n">
        <v>40</v>
      </c>
      <c r="F220" s="29" t="inlineStr">
        <is>
          <t>Single</t>
        </is>
      </c>
      <c r="G220" s="37" t="inlineStr">
        <is>
          <t>Chemblue 22 LVP</t>
        </is>
      </c>
      <c r="H220" s="77" t="inlineStr">
        <is>
          <t>61 X 126</t>
        </is>
      </c>
      <c r="I220" s="37" t="inlineStr">
        <is>
          <t>22 X 23</t>
        </is>
      </c>
      <c r="J220" s="37" t="n">
        <v>32</v>
      </c>
      <c r="K220" s="78" t="n">
        <v>100</v>
      </c>
      <c r="L220" s="72">
        <f>K220/J220</f>
        <v/>
      </c>
      <c r="M220" s="73" t="n">
        <v>0.6977821913273751</v>
      </c>
      <c r="N220" s="72">
        <f>LEFT(I220,FIND("X",I220)-1)*RIGHT(I220,LEN(I220)-FIND("X",I220)-1)*M220</f>
        <v/>
      </c>
      <c r="O220" s="74">
        <f>(N220*L220)/1000</f>
        <v/>
      </c>
    </row>
    <row r="221" ht="15.75" customHeight="1" thickBot="1">
      <c r="A221" s="71" t="n"/>
      <c r="B221" s="133" t="n"/>
      <c r="C221" s="136" t="n"/>
      <c r="D221" s="11" t="inlineStr">
        <is>
          <t>Bottom</t>
        </is>
      </c>
      <c r="E221" s="11" t="n">
        <v>40</v>
      </c>
      <c r="F221" s="29" t="inlineStr">
        <is>
          <t>Single</t>
        </is>
      </c>
      <c r="G221" s="37" t="inlineStr">
        <is>
          <t>Chemblue 22 LVP</t>
        </is>
      </c>
      <c r="H221" s="77" t="inlineStr">
        <is>
          <t>61 X 126</t>
        </is>
      </c>
      <c r="I221" s="37" t="inlineStr">
        <is>
          <t>22 X 23</t>
        </is>
      </c>
      <c r="J221" s="37" t="n">
        <v>32</v>
      </c>
      <c r="K221" s="13" t="n">
        <v>100</v>
      </c>
      <c r="L221" s="14">
        <f>K221/J221</f>
        <v/>
      </c>
      <c r="M221" s="15" t="n">
        <v>0.6977821913273751</v>
      </c>
      <c r="N221" s="14">
        <f>LEFT(I221,FIND("X",I221)-1)*RIGHT(I221,LEN(I221)-FIND("X",I221)-1)*M221</f>
        <v/>
      </c>
      <c r="O221" s="16">
        <f>(N221*L221)/1000</f>
        <v/>
      </c>
    </row>
    <row r="222" ht="15.75" customHeight="1" thickBot="1">
      <c r="A222" s="75" t="n"/>
      <c r="B222" s="135" t="n"/>
      <c r="C222" s="22" t="inlineStr">
        <is>
          <t>SVG</t>
        </is>
      </c>
      <c r="D222" s="23" t="inlineStr">
        <is>
          <t>-</t>
        </is>
      </c>
      <c r="E222" s="23" t="n">
        <v>22</v>
      </c>
      <c r="F222" s="23" t="inlineStr">
        <is>
          <t>Passing</t>
        </is>
      </c>
      <c r="G222" s="37" t="inlineStr">
        <is>
          <t>Chemblue 22 SVG</t>
        </is>
      </c>
      <c r="H222" s="80" t="inlineStr">
        <is>
          <t>75 X 140</t>
        </is>
      </c>
      <c r="I222" s="80" t="inlineStr">
        <is>
          <t>24 X 24</t>
        </is>
      </c>
      <c r="J222" s="76" t="n">
        <v>28</v>
      </c>
      <c r="K222" s="76" t="n">
        <v>100</v>
      </c>
      <c r="L222" s="25">
        <f>K222/J222</f>
        <v/>
      </c>
      <c r="M222" s="26" t="n">
        <v>0.4398148148148148</v>
      </c>
      <c r="N222" s="25">
        <f>LEFT(I222,FIND("X",I222)-1)*RIGHT(I222,LEN(I222)-FIND("X",I222)-1)*M222</f>
        <v/>
      </c>
      <c r="O222" s="27">
        <f>(N222*L222)/1000</f>
        <v/>
      </c>
    </row>
    <row r="223" ht="15" customHeight="1">
      <c r="A223" s="71" t="n"/>
      <c r="B223" s="150" t="inlineStr">
        <is>
          <t>Chemblue 25</t>
        </is>
      </c>
      <c r="C223" s="138" t="inlineStr">
        <is>
          <t>LVP</t>
        </is>
      </c>
      <c r="D223" s="29" t="inlineStr">
        <is>
          <t>Top</t>
        </is>
      </c>
      <c r="E223" s="29" t="n">
        <v>40</v>
      </c>
      <c r="F223" s="29" t="inlineStr">
        <is>
          <t>Single</t>
        </is>
      </c>
      <c r="G223" s="29" t="inlineStr">
        <is>
          <t>TOP MCX 25 LVP</t>
        </is>
      </c>
      <c r="H223" s="29" t="inlineStr">
        <is>
          <t>85 X 98</t>
        </is>
      </c>
      <c r="I223" s="29" t="inlineStr">
        <is>
          <t>22 X 23</t>
        </is>
      </c>
      <c r="J223" s="29" t="n">
        <v>30</v>
      </c>
      <c r="K223" s="78" t="n">
        <v>1000</v>
      </c>
      <c r="L223" s="72">
        <f>K223/J223</f>
        <v/>
      </c>
      <c r="M223" s="73" t="n">
        <v>0.6977821913273751</v>
      </c>
      <c r="N223" s="72">
        <f>LEFT(I223,FIND("X",I223)-1)*RIGHT(I223,LEN(I223)-FIND("X",I223)-1)*M223</f>
        <v/>
      </c>
      <c r="O223" s="74">
        <f>(N223*L223)/1000</f>
        <v/>
      </c>
    </row>
    <row r="224" ht="15" customHeight="1">
      <c r="A224" s="71" t="n"/>
      <c r="B224" s="133" t="n"/>
      <c r="C224" s="136" t="n"/>
      <c r="D224" s="11" t="inlineStr">
        <is>
          <t>Bottom</t>
        </is>
      </c>
      <c r="E224" s="11" t="n">
        <v>40</v>
      </c>
      <c r="F224" s="29" t="inlineStr">
        <is>
          <t>Single</t>
        </is>
      </c>
      <c r="G224" s="11" t="inlineStr">
        <is>
          <t>BOT.MCX 25 LVP</t>
        </is>
      </c>
      <c r="H224" s="11" t="inlineStr">
        <is>
          <t>94 X 108</t>
        </is>
      </c>
      <c r="I224" s="11" t="inlineStr">
        <is>
          <t>21 X 24</t>
        </is>
      </c>
      <c r="J224" s="11" t="n">
        <v>25</v>
      </c>
      <c r="K224" s="13" t="n">
        <v>1000</v>
      </c>
      <c r="L224" s="14">
        <f>K224/J224</f>
        <v/>
      </c>
      <c r="M224" s="15" t="n">
        <v>0.6977821913273751</v>
      </c>
      <c r="N224" s="14">
        <f>LEFT(I224,FIND("X",I224)-1)*RIGHT(I224,LEN(I224)-FIND("X",I224)-1)*M224</f>
        <v/>
      </c>
      <c r="O224" s="16">
        <f>(N224*L224)/1000</f>
        <v/>
      </c>
    </row>
    <row r="225" ht="15.75" customHeight="1" thickBot="1">
      <c r="A225" s="75" t="n"/>
      <c r="B225" s="135" t="n"/>
      <c r="C225" s="22" t="inlineStr">
        <is>
          <t>SVG</t>
        </is>
      </c>
      <c r="D225" s="23" t="inlineStr">
        <is>
          <t>-</t>
        </is>
      </c>
      <c r="E225" s="23" t="n">
        <v>22</v>
      </c>
      <c r="F225" s="23" t="inlineStr">
        <is>
          <t>Single</t>
        </is>
      </c>
      <c r="G225" s="23" t="inlineStr">
        <is>
          <t>MCX 25 SVG</t>
        </is>
      </c>
      <c r="H225" s="23" t="inlineStr">
        <is>
          <t>108 X 120</t>
        </is>
      </c>
      <c r="I225" s="23" t="inlineStr">
        <is>
          <t>21 X 24</t>
        </is>
      </c>
      <c r="J225" s="23" t="n">
        <v>20</v>
      </c>
      <c r="K225" s="76" t="n">
        <v>1000</v>
      </c>
      <c r="L225" s="25">
        <f>K225/J225</f>
        <v/>
      </c>
      <c r="M225" s="26" t="n">
        <v>0.4398148148148148</v>
      </c>
      <c r="N225" s="25">
        <f>LEFT(I225,FIND("X",I225)-1)*RIGHT(I225,LEN(I225)-FIND("X",I225)-1)*M225</f>
        <v/>
      </c>
      <c r="O225" s="27">
        <f>(N225*L225)/1000</f>
        <v/>
      </c>
    </row>
    <row r="226" ht="15" customHeight="1">
      <c r="A226" s="71" t="n"/>
      <c r="B226" s="150" t="inlineStr">
        <is>
          <t>Chemblue 35</t>
        </is>
      </c>
      <c r="C226" s="138" t="inlineStr">
        <is>
          <t>LVP</t>
        </is>
      </c>
      <c r="D226" s="29" t="inlineStr">
        <is>
          <t>Top</t>
        </is>
      </c>
      <c r="E226" s="29" t="n">
        <v>40</v>
      </c>
      <c r="F226" s="29" t="inlineStr">
        <is>
          <t>Single</t>
        </is>
      </c>
      <c r="G226" s="37" t="inlineStr">
        <is>
          <t>GNR 35 TOP LVP</t>
        </is>
      </c>
      <c r="H226" s="77" t="inlineStr">
        <is>
          <t>100 X 149</t>
        </is>
      </c>
      <c r="I226" s="37" t="inlineStr">
        <is>
          <t>22 X 25.5</t>
        </is>
      </c>
      <c r="J226" s="37" t="n">
        <v>20</v>
      </c>
      <c r="K226" s="78" t="n">
        <v>500</v>
      </c>
      <c r="L226" s="72">
        <f>K226/J226</f>
        <v/>
      </c>
      <c r="M226" s="73" t="n">
        <v>0.6977821913273751</v>
      </c>
      <c r="N226" s="72">
        <f>LEFT(I226,FIND("X",I226)-1)*RIGHT(I226,LEN(I226)-FIND("X",I226)-1)*M226</f>
        <v/>
      </c>
      <c r="O226" s="74">
        <f>(N226*L226)/1000</f>
        <v/>
      </c>
    </row>
    <row r="227" ht="15" customHeight="1">
      <c r="A227" s="71" t="n"/>
      <c r="B227" s="133" t="n"/>
      <c r="C227" s="136" t="n"/>
      <c r="D227" s="11" t="inlineStr">
        <is>
          <t>Bottom</t>
        </is>
      </c>
      <c r="E227" s="11" t="n">
        <v>40</v>
      </c>
      <c r="F227" s="29" t="inlineStr">
        <is>
          <t>Single</t>
        </is>
      </c>
      <c r="G227" s="11" t="inlineStr">
        <is>
          <t>GNR 35 TOP BOT</t>
        </is>
      </c>
      <c r="H227" s="79" t="inlineStr">
        <is>
          <t>111 X 159</t>
        </is>
      </c>
      <c r="I227" s="11" t="inlineStr">
        <is>
          <t>20 X 24.5</t>
        </is>
      </c>
      <c r="J227" s="11" t="n">
        <v>15</v>
      </c>
      <c r="K227" s="13" t="n">
        <v>500</v>
      </c>
      <c r="L227" s="14">
        <f>K227/J227</f>
        <v/>
      </c>
      <c r="M227" s="15" t="n">
        <v>0.6977821913273751</v>
      </c>
      <c r="N227" s="14">
        <f>LEFT(I227,FIND("X",I227)-1)*RIGHT(I227,LEN(I227)-FIND("X",I227)-1)*M227</f>
        <v/>
      </c>
      <c r="O227" s="16">
        <f>(N227*L227)/1000</f>
        <v/>
      </c>
    </row>
    <row r="228" ht="15.75" customHeight="1" thickBot="1">
      <c r="A228" s="75" t="n"/>
      <c r="B228" s="135" t="n"/>
      <c r="C228" s="22" t="inlineStr">
        <is>
          <t>SVG</t>
        </is>
      </c>
      <c r="D228" s="23" t="inlineStr">
        <is>
          <t>-</t>
        </is>
      </c>
      <c r="E228" s="23" t="n">
        <v>22</v>
      </c>
      <c r="F228" s="23" t="inlineStr">
        <is>
          <t>Single</t>
        </is>
      </c>
      <c r="G228" s="22" t="inlineStr">
        <is>
          <t>GNR 35 SVG</t>
        </is>
      </c>
      <c r="H228" s="80" t="inlineStr">
        <is>
          <t>128 X 176</t>
        </is>
      </c>
      <c r="I228" s="80" t="inlineStr">
        <is>
          <t>22 X 22</t>
        </is>
      </c>
      <c r="J228" s="76" t="n">
        <v>12</v>
      </c>
      <c r="K228" s="76" t="n">
        <v>500</v>
      </c>
      <c r="L228" s="25">
        <f>K228/J228</f>
        <v/>
      </c>
      <c r="M228" s="26" t="n">
        <v>0.4398148148148148</v>
      </c>
      <c r="N228" s="25">
        <f>LEFT(I228,FIND("X",I228)-1)*RIGHT(I228,LEN(I228)-FIND("X",I228)-1)*M228</f>
        <v/>
      </c>
      <c r="O228" s="27">
        <f>(N228*L228)/1000</f>
        <v/>
      </c>
    </row>
    <row r="229" ht="15" customHeight="1">
      <c r="A229" s="139" t="n"/>
      <c r="B229" s="150" t="inlineStr">
        <is>
          <t>Chemblue 40</t>
        </is>
      </c>
      <c r="C229" s="138" t="inlineStr">
        <is>
          <t>LVP</t>
        </is>
      </c>
      <c r="D229" s="29" t="inlineStr">
        <is>
          <t>Top</t>
        </is>
      </c>
      <c r="E229" s="29" t="n">
        <v>60</v>
      </c>
      <c r="F229" s="29" t="inlineStr">
        <is>
          <t>Single</t>
        </is>
      </c>
      <c r="G229" s="29" t="inlineStr">
        <is>
          <t>MCX 40 TOP LVP</t>
        </is>
      </c>
      <c r="H229" s="29" t="inlineStr">
        <is>
          <t>76 X 168</t>
        </is>
      </c>
      <c r="I229" s="29" t="inlineStr">
        <is>
          <t>21 X 24</t>
        </is>
      </c>
      <c r="J229" s="29" t="n">
        <v>21</v>
      </c>
      <c r="K229" s="114" t="n">
        <v>200</v>
      </c>
      <c r="L229" s="31">
        <f>K229/J229</f>
        <v/>
      </c>
      <c r="M229" s="32" t="n">
        <v>1.103988603988604</v>
      </c>
      <c r="N229" s="31">
        <f>LEFT(I229,FIND("X",I229)-1)*RIGHT(I229,LEN(I229)-FIND("X",I229)-1)*M229</f>
        <v/>
      </c>
      <c r="O229" s="33">
        <f>(N229*L229)/1000</f>
        <v/>
      </c>
    </row>
    <row r="230" ht="15" customHeight="1">
      <c r="A230" s="133" t="n"/>
      <c r="B230" s="133" t="n"/>
      <c r="C230" s="136" t="n"/>
      <c r="D230" s="11" t="inlineStr">
        <is>
          <t>Bottom</t>
        </is>
      </c>
      <c r="E230" s="11" t="n">
        <v>40</v>
      </c>
      <c r="F230" s="11" t="inlineStr">
        <is>
          <t>Single</t>
        </is>
      </c>
      <c r="G230" s="11" t="inlineStr">
        <is>
          <t>MCX 40 BOT LVP</t>
        </is>
      </c>
      <c r="H230" s="11" t="inlineStr">
        <is>
          <t>88 X 178</t>
        </is>
      </c>
      <c r="I230" s="11" t="inlineStr">
        <is>
          <t>20 X 23</t>
        </is>
      </c>
      <c r="J230" s="11" t="n">
        <v>15</v>
      </c>
      <c r="K230" s="34" t="n">
        <v>200</v>
      </c>
      <c r="L230" s="14">
        <f>K230/J230</f>
        <v/>
      </c>
      <c r="M230" s="15" t="n">
        <v>0.6977821913273751</v>
      </c>
      <c r="N230" s="14">
        <f>LEFT(I230,FIND("X",I230)-1)*RIGHT(I230,LEN(I230)-FIND("X",I230)-1)*M230</f>
        <v/>
      </c>
      <c r="O230" s="16">
        <f>(N230*L230)/1000</f>
        <v/>
      </c>
    </row>
    <row r="231" ht="15.75" customHeight="1" thickBot="1">
      <c r="A231" s="135" t="n"/>
      <c r="B231" s="135" t="n"/>
      <c r="C231" s="22" t="inlineStr">
        <is>
          <t>SVG</t>
        </is>
      </c>
      <c r="D231" s="23" t="inlineStr">
        <is>
          <t>-</t>
        </is>
      </c>
      <c r="E231" s="23" t="n">
        <v>22</v>
      </c>
      <c r="F231" s="23" t="inlineStr">
        <is>
          <t>Single</t>
        </is>
      </c>
      <c r="G231" s="23" t="inlineStr">
        <is>
          <t>MCX 40 SVG</t>
        </is>
      </c>
      <c r="H231" s="23" t="inlineStr">
        <is>
          <t>103 X 193</t>
        </is>
      </c>
      <c r="I231" s="23" t="inlineStr">
        <is>
          <t>18 X 24</t>
        </is>
      </c>
      <c r="J231" s="23" t="n">
        <v>12</v>
      </c>
      <c r="K231" s="115" t="n">
        <v>200</v>
      </c>
      <c r="L231" s="25">
        <f>K231/J231</f>
        <v/>
      </c>
      <c r="M231" s="26" t="n">
        <v>0.4398148148148148</v>
      </c>
      <c r="N231" s="25">
        <f>LEFT(I231,FIND("X",I231)-1)*RIGHT(I231,LEN(I231)-FIND("X",I231)-1)*M231</f>
        <v/>
      </c>
      <c r="O231" s="27">
        <f>(N231*L231)/1000</f>
        <v/>
      </c>
    </row>
    <row r="232" ht="15" customHeight="1">
      <c r="A232" s="139" t="n"/>
      <c r="B232" s="150" t="inlineStr">
        <is>
          <t>Chemblue 42</t>
        </is>
      </c>
      <c r="C232" s="138" t="inlineStr">
        <is>
          <t>LVP</t>
        </is>
      </c>
      <c r="D232" s="29" t="inlineStr">
        <is>
          <t>Top</t>
        </is>
      </c>
      <c r="E232" s="29" t="n">
        <v>60</v>
      </c>
      <c r="F232" s="29" t="inlineStr">
        <is>
          <t>Single</t>
        </is>
      </c>
      <c r="G232" s="29" t="inlineStr">
        <is>
          <t>MCX 42 TOP LVP</t>
        </is>
      </c>
      <c r="H232" s="29" t="inlineStr">
        <is>
          <t>100 X 227</t>
        </is>
      </c>
      <c r="I232" s="29" t="inlineStr">
        <is>
          <t>19 X 22</t>
        </is>
      </c>
      <c r="J232" s="29" t="n">
        <v>10</v>
      </c>
      <c r="K232" s="114" t="n">
        <v>100</v>
      </c>
      <c r="L232" s="31">
        <f>K232/J232</f>
        <v/>
      </c>
      <c r="M232" s="32" t="n">
        <v>1.103988603988604</v>
      </c>
      <c r="N232" s="31">
        <f>LEFT(I232,FIND("X",I232)-1)*RIGHT(I232,LEN(I232)-FIND("X",I232)-1)*M232</f>
        <v/>
      </c>
      <c r="O232" s="33">
        <f>(N232*L232)/1000</f>
        <v/>
      </c>
    </row>
    <row r="233" ht="15" customHeight="1">
      <c r="A233" s="133" t="n"/>
      <c r="B233" s="133" t="n"/>
      <c r="C233" s="136" t="n"/>
      <c r="D233" s="11" t="inlineStr">
        <is>
          <t>Bottom</t>
        </is>
      </c>
      <c r="E233" s="11" t="n">
        <v>40</v>
      </c>
      <c r="F233" s="11" t="inlineStr">
        <is>
          <t>Single</t>
        </is>
      </c>
      <c r="G233" s="11" t="inlineStr">
        <is>
          <t>MCX 42 BOT LVP</t>
        </is>
      </c>
      <c r="H233" s="11" t="inlineStr">
        <is>
          <t>108 X 236</t>
        </is>
      </c>
      <c r="I233" s="11" t="inlineStr">
        <is>
          <t>20 X 24</t>
        </is>
      </c>
      <c r="J233" s="11" t="n">
        <v>10</v>
      </c>
      <c r="K233" s="34" t="n">
        <v>100</v>
      </c>
      <c r="L233" s="14">
        <f>K233/J233</f>
        <v/>
      </c>
      <c r="M233" s="15" t="n">
        <v>0.6977821913273751</v>
      </c>
      <c r="N233" s="14">
        <f>LEFT(I233,FIND("X",I233)-1)*RIGHT(I233,LEN(I233)-FIND("X",I233)-1)*M233</f>
        <v/>
      </c>
      <c r="O233" s="16">
        <f>(N233*L233)/1000</f>
        <v/>
      </c>
    </row>
    <row r="234" ht="15.75" customHeight="1" thickBot="1">
      <c r="A234" s="135" t="n"/>
      <c r="B234" s="135" t="n"/>
      <c r="C234" s="22" t="inlineStr">
        <is>
          <t>SVG</t>
        </is>
      </c>
      <c r="D234" s="23" t="inlineStr">
        <is>
          <t>-</t>
        </is>
      </c>
      <c r="E234" s="23" t="n">
        <v>22</v>
      </c>
      <c r="F234" s="23" t="inlineStr">
        <is>
          <t>Single</t>
        </is>
      </c>
      <c r="G234" s="23" t="inlineStr">
        <is>
          <t>MCX 42 SVG</t>
        </is>
      </c>
      <c r="H234" s="23" t="inlineStr">
        <is>
          <t>122 X 252</t>
        </is>
      </c>
      <c r="I234" s="23" t="inlineStr">
        <is>
          <t>21 X 21</t>
        </is>
      </c>
      <c r="J234" s="23" t="n">
        <v>8</v>
      </c>
      <c r="K234" s="115" t="n">
        <v>100</v>
      </c>
      <c r="L234" s="25">
        <f>K234/J234</f>
        <v/>
      </c>
      <c r="M234" s="26" t="n">
        <v>0.4398148148148148</v>
      </c>
      <c r="N234" s="25">
        <f>LEFT(I234,FIND("X",I234)-1)*RIGHT(I234,LEN(I234)-FIND("X",I234)-1)*M234</f>
        <v/>
      </c>
      <c r="O234" s="27">
        <f>(N234*L234)/1000</f>
        <v/>
      </c>
    </row>
    <row r="235" ht="15" customHeight="1">
      <c r="A235" s="139" t="n"/>
      <c r="B235" s="150" t="inlineStr">
        <is>
          <t>Chemblue 44</t>
        </is>
      </c>
      <c r="C235" s="138" t="inlineStr">
        <is>
          <t>LVP</t>
        </is>
      </c>
      <c r="D235" s="29" t="inlineStr">
        <is>
          <t>Top</t>
        </is>
      </c>
      <c r="E235" s="29" t="n">
        <v>60</v>
      </c>
      <c r="F235" s="29" t="inlineStr">
        <is>
          <t>Single</t>
        </is>
      </c>
      <c r="G235" s="29" t="inlineStr">
        <is>
          <t>MCX 44 TOP LVP</t>
        </is>
      </c>
      <c r="H235" s="29" t="inlineStr">
        <is>
          <t>100 X 308</t>
        </is>
      </c>
      <c r="I235" s="29" t="inlineStr">
        <is>
          <t>18 X 25</t>
        </is>
      </c>
      <c r="J235" s="29" t="n">
        <v>8</v>
      </c>
      <c r="K235" s="114" t="n"/>
      <c r="L235" s="31">
        <f>K235/J235</f>
        <v/>
      </c>
      <c r="M235" s="32" t="n">
        <v>1.103988603988604</v>
      </c>
      <c r="N235" s="31">
        <f>LEFT(I235,FIND("X",I235)-1)*RIGHT(I235,LEN(I235)-FIND("X",I235)-1)*M235</f>
        <v/>
      </c>
      <c r="O235" s="33">
        <f>(N235*L235)/1000</f>
        <v/>
      </c>
    </row>
    <row r="236" ht="15" customHeight="1">
      <c r="A236" s="133" t="n"/>
      <c r="B236" s="133" t="n"/>
      <c r="C236" s="136" t="n"/>
      <c r="D236" s="11" t="inlineStr">
        <is>
          <t>Bottom</t>
        </is>
      </c>
      <c r="E236" s="11" t="n">
        <v>40</v>
      </c>
      <c r="F236" s="11" t="inlineStr">
        <is>
          <t>Single</t>
        </is>
      </c>
      <c r="G236" s="11" t="inlineStr">
        <is>
          <t>MCX 44 BOT LVP</t>
        </is>
      </c>
      <c r="H236" s="11" t="inlineStr">
        <is>
          <t>110 X 320</t>
        </is>
      </c>
      <c r="I236" s="11" t="inlineStr">
        <is>
          <t>24 X 26</t>
        </is>
      </c>
      <c r="J236" s="11" t="n">
        <v>10</v>
      </c>
      <c r="K236" s="34" t="n"/>
      <c r="L236" s="14">
        <f>K236/J236</f>
        <v/>
      </c>
      <c r="M236" s="15" t="n">
        <v>0.6977821913273751</v>
      </c>
      <c r="N236" s="14">
        <f>LEFT(I236,FIND("X",I236)-1)*RIGHT(I236,LEN(I236)-FIND("X",I236)-1)*M236</f>
        <v/>
      </c>
      <c r="O236" s="16">
        <f>(N236*L236)/1000</f>
        <v/>
      </c>
    </row>
    <row r="237" ht="15.75" customHeight="1" thickBot="1">
      <c r="A237" s="135" t="n"/>
      <c r="B237" s="135" t="n"/>
      <c r="C237" s="22" t="inlineStr">
        <is>
          <t>SVG</t>
        </is>
      </c>
      <c r="D237" s="23" t="inlineStr">
        <is>
          <t>-</t>
        </is>
      </c>
      <c r="E237" s="23" t="n">
        <v>22</v>
      </c>
      <c r="F237" s="23" t="inlineStr">
        <is>
          <t>Single</t>
        </is>
      </c>
      <c r="G237" s="23" t="inlineStr">
        <is>
          <t>MCX 44 SVG</t>
        </is>
      </c>
      <c r="H237" s="23" t="inlineStr">
        <is>
          <t>125 X 338</t>
        </is>
      </c>
      <c r="I237" s="23" t="inlineStr">
        <is>
          <t>14 X 22</t>
        </is>
      </c>
      <c r="J237" s="23" t="n">
        <v>4</v>
      </c>
      <c r="K237" s="115" t="n"/>
      <c r="L237" s="25">
        <f>K237/J237</f>
        <v/>
      </c>
      <c r="M237" s="26" t="n">
        <v>0.4398148148148148</v>
      </c>
      <c r="N237" s="25">
        <f>LEFT(I237,FIND("X",I237)-1)*RIGHT(I237,LEN(I237)-FIND("X",I237)-1)*M237</f>
        <v/>
      </c>
      <c r="O237" s="27">
        <f>(N237*L237)/1000</f>
        <v/>
      </c>
    </row>
    <row r="238" ht="15" customHeight="1">
      <c r="A238" s="139" t="n"/>
      <c r="B238" s="150" t="inlineStr">
        <is>
          <t>Chemblue 45</t>
        </is>
      </c>
      <c r="C238" s="138" t="inlineStr">
        <is>
          <t>LVP</t>
        </is>
      </c>
      <c r="D238" s="29" t="inlineStr">
        <is>
          <t>Top</t>
        </is>
      </c>
      <c r="E238" s="29" t="n">
        <v>40</v>
      </c>
      <c r="F238" s="29" t="inlineStr">
        <is>
          <t>Single</t>
        </is>
      </c>
      <c r="G238" s="29" t="inlineStr">
        <is>
          <t>MCX 45 LVP</t>
        </is>
      </c>
      <c r="H238" s="29" t="inlineStr">
        <is>
          <t>158 X 209</t>
        </is>
      </c>
      <c r="I238" s="29" t="inlineStr">
        <is>
          <t>18 X 20</t>
        </is>
      </c>
      <c r="J238" s="29" t="n">
        <v>6</v>
      </c>
      <c r="K238" s="114" t="n">
        <v>100</v>
      </c>
      <c r="L238" s="31">
        <f>K238/J238</f>
        <v/>
      </c>
      <c r="M238" s="32" t="n">
        <v>0.6977821913273751</v>
      </c>
      <c r="N238" s="31">
        <f>LEFT(I238,FIND("X",I238)-1)*RIGHT(I238,LEN(I238)-FIND("X",I238)-1)*M238</f>
        <v/>
      </c>
      <c r="O238" s="33">
        <f>(N238*L238)/1000</f>
        <v/>
      </c>
    </row>
    <row r="239" ht="15" customHeight="1">
      <c r="A239" s="133" t="n"/>
      <c r="B239" s="133" t="n"/>
      <c r="C239" s="136" t="n"/>
      <c r="D239" s="11" t="inlineStr">
        <is>
          <t>Bottom</t>
        </is>
      </c>
      <c r="E239" s="11" t="n">
        <v>40</v>
      </c>
      <c r="F239" s="11" t="inlineStr">
        <is>
          <t>Single</t>
        </is>
      </c>
      <c r="G239" s="29" t="inlineStr">
        <is>
          <t>MCX 45 LVP</t>
        </is>
      </c>
      <c r="H239" s="29" t="inlineStr">
        <is>
          <t>158 X 209</t>
        </is>
      </c>
      <c r="I239" s="29" t="inlineStr">
        <is>
          <t>18 X 20</t>
        </is>
      </c>
      <c r="J239" s="29" t="n">
        <v>6</v>
      </c>
      <c r="K239" s="34" t="n">
        <v>100</v>
      </c>
      <c r="L239" s="14">
        <f>K239/J239</f>
        <v/>
      </c>
      <c r="M239" s="15" t="n">
        <v>0.6977821913273751</v>
      </c>
      <c r="N239" s="14">
        <f>LEFT(I239,FIND("X",I239)-1)*RIGHT(I239,LEN(I239)-FIND("X",I239)-1)*M239</f>
        <v/>
      </c>
      <c r="O239" s="16">
        <f>(N239*L239)/1000</f>
        <v/>
      </c>
    </row>
    <row r="240" ht="15.75" customHeight="1" thickBot="1">
      <c r="A240" s="135" t="n"/>
      <c r="B240" s="135" t="n"/>
      <c r="C240" s="22" t="inlineStr">
        <is>
          <t>SVG</t>
        </is>
      </c>
      <c r="D240" s="23" t="inlineStr">
        <is>
          <t>-</t>
        </is>
      </c>
      <c r="E240" s="23" t="n">
        <v>22</v>
      </c>
      <c r="F240" s="23" t="inlineStr">
        <is>
          <t>Single</t>
        </is>
      </c>
      <c r="G240" s="23" t="inlineStr">
        <is>
          <t>MCX 45 SVG</t>
        </is>
      </c>
      <c r="H240" s="23" t="inlineStr">
        <is>
          <t>171 X 222</t>
        </is>
      </c>
      <c r="I240" s="23" t="inlineStr">
        <is>
          <t>18.5 X 22</t>
        </is>
      </c>
      <c r="J240" s="23" t="n">
        <v>6</v>
      </c>
      <c r="K240" s="115" t="n">
        <v>100</v>
      </c>
      <c r="L240" s="25">
        <f>K240/J240</f>
        <v/>
      </c>
      <c r="M240" s="26" t="n">
        <v>0.4398148148148148</v>
      </c>
      <c r="N240" s="25">
        <f>LEFT(I240,FIND("X",I240)-1)*RIGHT(I240,LEN(I240)-FIND("X",I240)-1)*M240</f>
        <v/>
      </c>
      <c r="O240" s="27">
        <f>(N240*L240)/1000</f>
        <v/>
      </c>
    </row>
    <row r="241" ht="15" customHeight="1">
      <c r="A241" s="139" t="n"/>
      <c r="B241" s="150" t="inlineStr">
        <is>
          <t>Chemblue 46</t>
        </is>
      </c>
      <c r="C241" s="138" t="inlineStr">
        <is>
          <t>LVP</t>
        </is>
      </c>
      <c r="D241" s="29" t="inlineStr">
        <is>
          <t>Top</t>
        </is>
      </c>
      <c r="E241" s="29" t="n">
        <v>40</v>
      </c>
      <c r="F241" s="29" t="inlineStr">
        <is>
          <t>Single</t>
        </is>
      </c>
      <c r="G241" s="29" t="inlineStr">
        <is>
          <t>MCX 46 LVP</t>
        </is>
      </c>
      <c r="H241" s="29" t="inlineStr">
        <is>
          <t>128 X 389</t>
        </is>
      </c>
      <c r="I241" s="29" t="inlineStr">
        <is>
          <t>16 X 23</t>
        </is>
      </c>
      <c r="J241" s="29" t="n">
        <v>4</v>
      </c>
      <c r="K241" s="114" t="n">
        <v>50</v>
      </c>
      <c r="L241" s="31">
        <f>K241/J241</f>
        <v/>
      </c>
      <c r="M241" s="32" t="n">
        <v>0.6977821913273751</v>
      </c>
      <c r="N241" s="31">
        <f>LEFT(I241,FIND("X",I241)-1)*RIGHT(I241,LEN(I241)-FIND("X",I241)-1)*M241</f>
        <v/>
      </c>
      <c r="O241" s="33">
        <f>(N241*L241)/1000</f>
        <v/>
      </c>
    </row>
    <row r="242" ht="15" customHeight="1">
      <c r="A242" s="133" t="n"/>
      <c r="B242" s="133" t="n"/>
      <c r="C242" s="136" t="n"/>
      <c r="D242" s="11" t="inlineStr">
        <is>
          <t>Bottom</t>
        </is>
      </c>
      <c r="E242" s="11" t="n">
        <v>40</v>
      </c>
      <c r="F242" s="11" t="inlineStr">
        <is>
          <t>Single</t>
        </is>
      </c>
      <c r="G242" s="29" t="inlineStr">
        <is>
          <t>MCX 46 LVP</t>
        </is>
      </c>
      <c r="H242" s="29" t="inlineStr">
        <is>
          <t>128 X 389</t>
        </is>
      </c>
      <c r="I242" s="29" t="inlineStr">
        <is>
          <t>16 X 23</t>
        </is>
      </c>
      <c r="J242" s="29" t="n">
        <v>4</v>
      </c>
      <c r="K242" s="34" t="n">
        <v>50</v>
      </c>
      <c r="L242" s="14">
        <f>K242/J242</f>
        <v/>
      </c>
      <c r="M242" s="15" t="n">
        <v>0.6977821913273751</v>
      </c>
      <c r="N242" s="14">
        <f>LEFT(I242,FIND("X",I242)-1)*RIGHT(I242,LEN(I242)-FIND("X",I242)-1)*M242</f>
        <v/>
      </c>
      <c r="O242" s="16">
        <f>(N242*L242)/1000</f>
        <v/>
      </c>
    </row>
    <row r="243" ht="15.75" customHeight="1" thickBot="1">
      <c r="A243" s="135" t="n"/>
      <c r="B243" s="135" t="n"/>
      <c r="C243" s="22" t="inlineStr">
        <is>
          <t>SVG</t>
        </is>
      </c>
      <c r="D243" s="23" t="inlineStr">
        <is>
          <t>-</t>
        </is>
      </c>
      <c r="E243" s="23" t="n">
        <v>22</v>
      </c>
      <c r="F243" s="23" t="inlineStr">
        <is>
          <t>Single</t>
        </is>
      </c>
      <c r="G243" s="23" t="inlineStr">
        <is>
          <t>MCX 46 SVG</t>
        </is>
      </c>
      <c r="H243" s="23" t="inlineStr">
        <is>
          <t>145 X 406</t>
        </is>
      </c>
      <c r="I243" s="23" t="inlineStr">
        <is>
          <t>17 X 25</t>
        </is>
      </c>
      <c r="J243" s="23" t="n">
        <v>4</v>
      </c>
      <c r="K243" s="115" t="n">
        <v>50</v>
      </c>
      <c r="L243" s="25">
        <f>K243/J243</f>
        <v/>
      </c>
      <c r="M243" s="26" t="n">
        <v>0.4398148148148148</v>
      </c>
      <c r="N243" s="25">
        <f>LEFT(I243,FIND("X",I243)-1)*RIGHT(I243,LEN(I243)-FIND("X",I243)-1)*M243</f>
        <v/>
      </c>
      <c r="O243" s="27">
        <f>(N243*L243)/1000</f>
        <v/>
      </c>
    </row>
    <row r="244" ht="17.25" customFormat="1" customHeight="1" s="17">
      <c r="A244" s="152" t="inlineStr">
        <is>
          <t>Do Not Used</t>
        </is>
      </c>
      <c r="B244" s="21" t="inlineStr">
        <is>
          <t>MCX 10</t>
        </is>
      </c>
      <c r="C244" s="58" t="inlineStr">
        <is>
          <t>LVP</t>
        </is>
      </c>
      <c r="D244" s="29" t="inlineStr">
        <is>
          <t>Top</t>
        </is>
      </c>
      <c r="E244" s="29" t="n">
        <v>60</v>
      </c>
      <c r="F244" s="29" t="inlineStr">
        <is>
          <t>Passing</t>
        </is>
      </c>
      <c r="G244" s="29" t="inlineStr">
        <is>
          <t>MCX 10 LVP</t>
        </is>
      </c>
      <c r="H244" s="29" t="inlineStr">
        <is>
          <t>40 X 60</t>
        </is>
      </c>
      <c r="I244" s="29" t="inlineStr">
        <is>
          <t>18.5 X 24</t>
        </is>
      </c>
      <c r="J244" s="29" t="n">
        <v>90</v>
      </c>
      <c r="K244" s="114" t="n"/>
      <c r="L244" s="31">
        <f>K244/J244</f>
        <v/>
      </c>
      <c r="M244" s="32" t="n">
        <v>1.103988603988604</v>
      </c>
      <c r="N244" s="31">
        <f>LEFT(I244,FIND("X",I244)-1)*RIGHT(I244,LEN(I244)-FIND("X",I244)-1)*M244</f>
        <v/>
      </c>
      <c r="O244" s="33">
        <f>(N244*L244)/1000</f>
        <v/>
      </c>
    </row>
    <row r="245" ht="17.25" customFormat="1" customHeight="1" s="17">
      <c r="A245" s="133" t="n"/>
      <c r="B245" s="133" t="n"/>
      <c r="C245" s="136" t="n"/>
      <c r="D245" s="11" t="inlineStr">
        <is>
          <t>Bottom</t>
        </is>
      </c>
      <c r="E245" s="11" t="n"/>
      <c r="F245" s="11" t="n"/>
      <c r="G245" s="11" t="n"/>
      <c r="H245" s="11" t="n"/>
      <c r="I245" s="11" t="n"/>
      <c r="J245" s="11" t="n"/>
      <c r="K245" s="34" t="n"/>
      <c r="L245" s="14">
        <f>K245/J245</f>
        <v/>
      </c>
      <c r="M245" s="15" t="e">
        <v>#N/A</v>
      </c>
      <c r="N245" s="14">
        <f>LEFT(I245,FIND("X",I245)-1)*RIGHT(I245,LEN(I245)-FIND("X",I245)-1)*M245</f>
        <v/>
      </c>
      <c r="O245" s="16">
        <f>(N245*L245)/1000</f>
        <v/>
      </c>
    </row>
    <row r="246" ht="17.25" customFormat="1" customHeight="1" s="17" thickBot="1">
      <c r="A246" s="133" t="n"/>
      <c r="B246" s="135" t="n"/>
      <c r="C246" s="22" t="inlineStr">
        <is>
          <t>SVG</t>
        </is>
      </c>
      <c r="D246" s="23" t="inlineStr">
        <is>
          <t>-</t>
        </is>
      </c>
      <c r="E246" s="23" t="n">
        <v>22</v>
      </c>
      <c r="F246" s="23" t="inlineStr">
        <is>
          <t>Passing</t>
        </is>
      </c>
      <c r="G246" s="23" t="inlineStr">
        <is>
          <t>MCX 10 SVG</t>
        </is>
      </c>
      <c r="H246" s="23" t="inlineStr">
        <is>
          <t>50 X 70</t>
        </is>
      </c>
      <c r="I246" s="23" t="inlineStr">
        <is>
          <t>18.5 X 25</t>
        </is>
      </c>
      <c r="J246" s="23" t="n">
        <v>66</v>
      </c>
      <c r="K246" s="115">
        <f>4400+2000</f>
        <v/>
      </c>
      <c r="L246" s="25">
        <f>K246/J246</f>
        <v/>
      </c>
      <c r="M246" s="26" t="n">
        <v>0.4398148148148148</v>
      </c>
      <c r="N246" s="25">
        <f>LEFT(I246,FIND("X",I246)-1)*RIGHT(I246,LEN(I246)-FIND("X",I246)-1)*M246</f>
        <v/>
      </c>
      <c r="O246" s="27">
        <f>(N246*L246)/1000</f>
        <v/>
      </c>
    </row>
    <row r="247" ht="15" customHeight="1">
      <c r="A247" s="133" t="n"/>
      <c r="B247" s="140" t="inlineStr">
        <is>
          <t>MCX 15</t>
        </is>
      </c>
      <c r="C247" s="138" t="inlineStr">
        <is>
          <t>LVP</t>
        </is>
      </c>
      <c r="D247" s="29" t="inlineStr">
        <is>
          <t>Top</t>
        </is>
      </c>
      <c r="E247" s="29" t="n">
        <v>60</v>
      </c>
      <c r="F247" s="37" t="inlineStr">
        <is>
          <t>Passing</t>
        </is>
      </c>
      <c r="G247" s="29" t="inlineStr">
        <is>
          <t>MCX 15 LVP</t>
        </is>
      </c>
      <c r="H247" s="29" t="inlineStr">
        <is>
          <t>61 X 75</t>
        </is>
      </c>
      <c r="I247" s="29" t="inlineStr">
        <is>
          <t>19 X 23</t>
        </is>
      </c>
      <c r="J247" s="29" t="n">
        <v>49</v>
      </c>
      <c r="K247" s="114" t="n"/>
      <c r="L247" s="31">
        <f>K247/J247</f>
        <v/>
      </c>
      <c r="M247" s="32" t="n">
        <v>1.103988603988604</v>
      </c>
      <c r="N247" s="31">
        <f>LEFT(I247,FIND("X",I247)-1)*RIGHT(I247,LEN(I247)-FIND("X",I247)-1)*M247</f>
        <v/>
      </c>
      <c r="O247" s="33">
        <f>(N247*L247)/1000</f>
        <v/>
      </c>
    </row>
    <row r="248" ht="15" customHeight="1">
      <c r="A248" s="133" t="n"/>
      <c r="B248" s="133" t="n"/>
      <c r="C248" s="136" t="n"/>
      <c r="D248" s="11" t="inlineStr">
        <is>
          <t>Bottom</t>
        </is>
      </c>
      <c r="E248" s="11" t="n"/>
      <c r="F248" s="29" t="n"/>
      <c r="G248" s="11" t="n"/>
      <c r="H248" s="11" t="n"/>
      <c r="I248" s="11" t="n"/>
      <c r="J248" s="11" t="n"/>
      <c r="K248" s="34" t="n"/>
      <c r="L248" s="14">
        <f>K248/J248</f>
        <v/>
      </c>
      <c r="M248" s="15" t="e">
        <v>#N/A</v>
      </c>
      <c r="N248" s="14">
        <f>LEFT(I248,FIND("X",I248)-1)*RIGHT(I248,LEN(I248)-FIND("X",I248)-1)*M248</f>
        <v/>
      </c>
      <c r="O248" s="16">
        <f>(N248*L248)/1000</f>
        <v/>
      </c>
    </row>
    <row r="249" ht="15.75" customHeight="1" thickBot="1">
      <c r="A249" s="133" t="n"/>
      <c r="B249" s="135" t="n"/>
      <c r="C249" s="22" t="inlineStr">
        <is>
          <t>SVG</t>
        </is>
      </c>
      <c r="D249" s="23" t="inlineStr">
        <is>
          <t>-</t>
        </is>
      </c>
      <c r="E249" s="23" t="n">
        <v>22</v>
      </c>
      <c r="F249" s="23" t="inlineStr">
        <is>
          <t>Passing</t>
        </is>
      </c>
      <c r="G249" s="23" t="inlineStr">
        <is>
          <t>MCX 15 SVG</t>
        </is>
      </c>
      <c r="H249" s="23" t="inlineStr">
        <is>
          <t>71 X 85</t>
        </is>
      </c>
      <c r="I249" s="23" t="inlineStr">
        <is>
          <t>18.5 X 22</t>
        </is>
      </c>
      <c r="J249" s="23" t="n">
        <v>36</v>
      </c>
      <c r="K249" s="115" t="n">
        <v>1500</v>
      </c>
      <c r="L249" s="25">
        <f>K249/J249</f>
        <v/>
      </c>
      <c r="M249" s="26" t="n">
        <v>0.4398148148148148</v>
      </c>
      <c r="N249" s="25">
        <f>LEFT(I249,FIND("X",I249)-1)*RIGHT(I249,LEN(I249)-FIND("X",I249)-1)*M249</f>
        <v/>
      </c>
      <c r="O249" s="27">
        <f>(N249*L249)/1000</f>
        <v/>
      </c>
    </row>
    <row r="250" ht="15" customHeight="1">
      <c r="A250" s="133" t="n"/>
      <c r="B250" s="150" t="inlineStr">
        <is>
          <t>Chemblue 20</t>
        </is>
      </c>
      <c r="C250" s="138" t="inlineStr">
        <is>
          <t>LVP</t>
        </is>
      </c>
      <c r="D250" s="29" t="inlineStr">
        <is>
          <t>Top</t>
        </is>
      </c>
      <c r="E250" s="29" t="n">
        <v>60</v>
      </c>
      <c r="F250" s="29" t="inlineStr">
        <is>
          <t>Passing</t>
        </is>
      </c>
      <c r="G250" s="37" t="inlineStr">
        <is>
          <t>Turkey MCX 20 LVP</t>
        </is>
      </c>
      <c r="H250" s="77" t="inlineStr">
        <is>
          <t>65 X 110</t>
        </is>
      </c>
      <c r="I250" s="37" t="inlineStr">
        <is>
          <t>24.5 X 24</t>
        </is>
      </c>
      <c r="J250" s="37" t="n">
        <v>35</v>
      </c>
      <c r="K250" s="78" t="n">
        <v>8000</v>
      </c>
      <c r="L250" s="72">
        <f>K250/J250</f>
        <v/>
      </c>
      <c r="M250" s="73" t="n">
        <v>1.103988603988604</v>
      </c>
      <c r="N250" s="72">
        <f>LEFT(I250,FIND("X",I250)-1)*RIGHT(I250,LEN(I250)-FIND("X",I250)-1)*M250</f>
        <v/>
      </c>
      <c r="O250" s="74">
        <f>(N250*L250)/1000</f>
        <v/>
      </c>
    </row>
    <row r="251" ht="15" customHeight="1">
      <c r="A251" s="133" t="n"/>
      <c r="B251" s="133" t="n"/>
      <c r="C251" s="136" t="n"/>
      <c r="D251" s="11" t="inlineStr">
        <is>
          <t>Bottom</t>
        </is>
      </c>
      <c r="E251" s="11" t="n"/>
      <c r="F251" s="29" t="n"/>
      <c r="G251" s="11" t="n"/>
      <c r="H251" s="79" t="n"/>
      <c r="I251" s="11" t="n"/>
      <c r="J251" s="11" t="n"/>
      <c r="K251" s="13" t="n">
        <v>8000</v>
      </c>
      <c r="L251" s="14">
        <f>K251/J251</f>
        <v/>
      </c>
      <c r="M251" s="15" t="e">
        <v>#N/A</v>
      </c>
      <c r="N251" s="14">
        <f>LEFT(I251,FIND("X",I251)-1)*RIGHT(I251,LEN(I251)-FIND("X",I251)-1)*M251</f>
        <v/>
      </c>
      <c r="O251" s="16">
        <f>(N251*L251)/1000</f>
        <v/>
      </c>
    </row>
    <row r="252" ht="15.75" customHeight="1" thickBot="1">
      <c r="A252" s="133" t="n"/>
      <c r="B252" s="135" t="n"/>
      <c r="C252" s="22" t="inlineStr">
        <is>
          <t>SVG</t>
        </is>
      </c>
      <c r="D252" s="23" t="inlineStr">
        <is>
          <t>-</t>
        </is>
      </c>
      <c r="E252" s="23" t="n">
        <v>22</v>
      </c>
      <c r="F252" s="23" t="inlineStr">
        <is>
          <t>Passing</t>
        </is>
      </c>
      <c r="G252" s="22" t="inlineStr">
        <is>
          <t>Turkey MCX 20 SVG</t>
        </is>
      </c>
      <c r="H252" s="80" t="inlineStr">
        <is>
          <t>75 X 120</t>
        </is>
      </c>
      <c r="I252" s="80" t="inlineStr">
        <is>
          <t>21 X 24</t>
        </is>
      </c>
      <c r="J252" s="76" t="n">
        <v>28</v>
      </c>
      <c r="K252" s="76" t="n">
        <v>8000</v>
      </c>
      <c r="L252" s="25">
        <f>K252/J252</f>
        <v/>
      </c>
      <c r="M252" s="26" t="n">
        <v>0.4398148148148148</v>
      </c>
      <c r="N252" s="25">
        <f>LEFT(I252,FIND("X",I252)-1)*RIGHT(I252,LEN(I252)-FIND("X",I252)-1)*M252</f>
        <v/>
      </c>
      <c r="O252" s="27">
        <f>(N252*L252)/1000</f>
        <v/>
      </c>
    </row>
    <row r="253" ht="15" customHeight="1">
      <c r="A253" s="133" t="n"/>
      <c r="B253" s="140" t="inlineStr">
        <is>
          <t>MCX 25</t>
        </is>
      </c>
      <c r="C253" s="138" t="inlineStr">
        <is>
          <t>LVP</t>
        </is>
      </c>
      <c r="D253" s="29" t="inlineStr">
        <is>
          <t>Top</t>
        </is>
      </c>
      <c r="E253" s="29" t="n">
        <v>40</v>
      </c>
      <c r="F253" s="29" t="inlineStr">
        <is>
          <t>Single</t>
        </is>
      </c>
      <c r="G253" s="29" t="inlineStr">
        <is>
          <t>TOP MCX 25 LVP</t>
        </is>
      </c>
      <c r="H253" s="29" t="inlineStr">
        <is>
          <t>85 X 98</t>
        </is>
      </c>
      <c r="I253" s="29" t="inlineStr">
        <is>
          <t>22 X 23</t>
        </is>
      </c>
      <c r="J253" s="29" t="n">
        <v>30</v>
      </c>
      <c r="K253" s="114" t="n"/>
      <c r="L253" s="31">
        <f>K253/J253</f>
        <v/>
      </c>
      <c r="M253" s="32" t="n">
        <v>0.6977821913273751</v>
      </c>
      <c r="N253" s="31">
        <f>LEFT(I253,FIND("X",I253)-1)*RIGHT(I253,LEN(I253)-FIND("X",I253)-1)*M253</f>
        <v/>
      </c>
      <c r="O253" s="33">
        <f>(N253*L253)/1000</f>
        <v/>
      </c>
    </row>
    <row r="254" ht="15" customHeight="1">
      <c r="A254" s="133" t="n"/>
      <c r="B254" s="133" t="n"/>
      <c r="C254" s="136" t="n"/>
      <c r="D254" s="11" t="inlineStr">
        <is>
          <t>Bottom</t>
        </is>
      </c>
      <c r="E254" s="11" t="n">
        <v>40</v>
      </c>
      <c r="F254" s="11" t="inlineStr">
        <is>
          <t>Single</t>
        </is>
      </c>
      <c r="G254" s="11" t="inlineStr">
        <is>
          <t>BOT.MCX 25 LVP</t>
        </is>
      </c>
      <c r="H254" s="11" t="inlineStr">
        <is>
          <t>94 X 108</t>
        </is>
      </c>
      <c r="I254" s="11" t="inlineStr">
        <is>
          <t>21 X 24</t>
        </is>
      </c>
      <c r="J254" s="11" t="n">
        <v>25</v>
      </c>
      <c r="K254" s="34" t="n"/>
      <c r="L254" s="14">
        <f>K254/J254</f>
        <v/>
      </c>
      <c r="M254" s="15" t="n">
        <v>0.6977821913273751</v>
      </c>
      <c r="N254" s="14">
        <f>LEFT(I254,FIND("X",I254)-1)*RIGHT(I254,LEN(I254)-FIND("X",I254)-1)*M254</f>
        <v/>
      </c>
      <c r="O254" s="16">
        <f>(N254*L254)/1000</f>
        <v/>
      </c>
    </row>
    <row r="255" ht="15.75" customHeight="1" thickBot="1">
      <c r="A255" s="133" t="n"/>
      <c r="B255" s="135" t="n"/>
      <c r="C255" s="22" t="inlineStr">
        <is>
          <t>SVG</t>
        </is>
      </c>
      <c r="D255" s="23" t="inlineStr">
        <is>
          <t>-</t>
        </is>
      </c>
      <c r="E255" s="23" t="n">
        <v>22</v>
      </c>
      <c r="F255" s="23" t="inlineStr">
        <is>
          <t>Single</t>
        </is>
      </c>
      <c r="G255" s="23" t="inlineStr">
        <is>
          <t>MCX 25 SVG</t>
        </is>
      </c>
      <c r="H255" s="23" t="inlineStr">
        <is>
          <t>108 X 120</t>
        </is>
      </c>
      <c r="I255" s="23" t="inlineStr">
        <is>
          <t>21 X 24</t>
        </is>
      </c>
      <c r="J255" s="23" t="n">
        <v>20</v>
      </c>
      <c r="K255" s="115" t="n">
        <v>1500</v>
      </c>
      <c r="L255" s="25">
        <f>K255/J255</f>
        <v/>
      </c>
      <c r="M255" s="26" t="n">
        <v>0.4398148148148148</v>
      </c>
      <c r="N255" s="25">
        <f>LEFT(I255,FIND("X",I255)-1)*RIGHT(I255,LEN(I255)-FIND("X",I255)-1)*M255</f>
        <v/>
      </c>
      <c r="O255" s="27">
        <f>(N255*L255)/1000</f>
        <v/>
      </c>
    </row>
    <row r="256" ht="15" customHeight="1">
      <c r="A256" s="133" t="n"/>
      <c r="B256" s="140" t="inlineStr">
        <is>
          <t>MCX 35</t>
        </is>
      </c>
      <c r="C256" s="138" t="inlineStr">
        <is>
          <t>LVP</t>
        </is>
      </c>
      <c r="D256" s="29" t="inlineStr">
        <is>
          <t>Top</t>
        </is>
      </c>
      <c r="E256" s="29" t="n">
        <v>40</v>
      </c>
      <c r="F256" s="29" t="inlineStr">
        <is>
          <t>Single</t>
        </is>
      </c>
      <c r="G256" s="29" t="inlineStr">
        <is>
          <t>MCX 35 TOP LVP</t>
        </is>
      </c>
      <c r="H256" s="29" t="inlineStr">
        <is>
          <t>94 X 145</t>
        </is>
      </c>
      <c r="I256" s="29" t="inlineStr">
        <is>
          <t>21 X 25</t>
        </is>
      </c>
      <c r="J256" s="29" t="n">
        <v>20</v>
      </c>
      <c r="K256" s="114" t="n"/>
      <c r="L256" s="31">
        <f>K256/J256</f>
        <v/>
      </c>
      <c r="M256" s="32" t="n">
        <v>0.6977821913273751</v>
      </c>
      <c r="N256" s="31">
        <f>LEFT(I256,FIND("X",I256)-1)*RIGHT(I256,LEN(I256)-FIND("X",I256)-1)*M256</f>
        <v/>
      </c>
      <c r="O256" s="33">
        <f>(N256*L256)/1000</f>
        <v/>
      </c>
    </row>
    <row r="257" ht="15" customHeight="1">
      <c r="A257" s="133" t="n"/>
      <c r="B257" s="133" t="n"/>
      <c r="C257" s="136" t="n"/>
      <c r="D257" s="11" t="inlineStr">
        <is>
          <t>Bottom</t>
        </is>
      </c>
      <c r="E257" s="11" t="n">
        <v>40</v>
      </c>
      <c r="F257" s="11" t="inlineStr">
        <is>
          <t>Single</t>
        </is>
      </c>
      <c r="G257" s="11" t="inlineStr">
        <is>
          <t>MCX 35 BOT. LVP</t>
        </is>
      </c>
      <c r="H257" s="11" t="inlineStr">
        <is>
          <t>104 X 154</t>
        </is>
      </c>
      <c r="I257" s="11" t="inlineStr">
        <is>
          <t>20 X 23</t>
        </is>
      </c>
      <c r="J257" s="11" t="n">
        <v>15</v>
      </c>
      <c r="K257" s="34" t="n"/>
      <c r="L257" s="14">
        <f>K257/J257</f>
        <v/>
      </c>
      <c r="M257" s="15" t="n">
        <v>0.6977821913273751</v>
      </c>
      <c r="N257" s="14">
        <f>LEFT(I257,FIND("X",I257)-1)*RIGHT(I257,LEN(I257)-FIND("X",I257)-1)*M257</f>
        <v/>
      </c>
      <c r="O257" s="16">
        <f>(N257*L257)/1000</f>
        <v/>
      </c>
    </row>
    <row r="258" ht="15.75" customHeight="1" thickBot="1">
      <c r="A258" s="133" t="n"/>
      <c r="B258" s="135" t="n"/>
      <c r="C258" s="22" t="inlineStr">
        <is>
          <t>SVG</t>
        </is>
      </c>
      <c r="D258" s="23" t="inlineStr">
        <is>
          <t>-</t>
        </is>
      </c>
      <c r="E258" s="23" t="n">
        <v>22</v>
      </c>
      <c r="F258" s="23" t="inlineStr">
        <is>
          <t>Single</t>
        </is>
      </c>
      <c r="G258" s="23" t="inlineStr">
        <is>
          <t>MCX 35 SVG</t>
        </is>
      </c>
      <c r="H258" s="23" t="inlineStr">
        <is>
          <t>121 X 172</t>
        </is>
      </c>
      <c r="I258" s="23" t="inlineStr">
        <is>
          <t>21 X 22</t>
        </is>
      </c>
      <c r="J258" s="23" t="n">
        <v>12</v>
      </c>
      <c r="K258" s="115" t="n">
        <v>1000</v>
      </c>
      <c r="L258" s="25">
        <f>K258/J258</f>
        <v/>
      </c>
      <c r="M258" s="26" t="n">
        <v>0.4398148148148148</v>
      </c>
      <c r="N258" s="25">
        <f>LEFT(I258,FIND("X",I258)-1)*RIGHT(I258,LEN(I258)-FIND("X",I258)-1)*M258</f>
        <v/>
      </c>
      <c r="O258" s="27">
        <f>(N258*L258)/1000</f>
        <v/>
      </c>
    </row>
    <row r="259" ht="15" customHeight="1">
      <c r="A259" s="133" t="n"/>
      <c r="B259" s="150" t="inlineStr">
        <is>
          <t>Chemblue 40</t>
        </is>
      </c>
      <c r="C259" s="138" t="inlineStr">
        <is>
          <t>LVP</t>
        </is>
      </c>
      <c r="D259" s="29" t="inlineStr">
        <is>
          <t>Top</t>
        </is>
      </c>
      <c r="E259" s="29" t="n">
        <v>60</v>
      </c>
      <c r="F259" s="29" t="inlineStr">
        <is>
          <t>Single</t>
        </is>
      </c>
      <c r="G259" s="29" t="inlineStr">
        <is>
          <t>MCX 40 TOP LVP</t>
        </is>
      </c>
      <c r="H259" s="29" t="inlineStr">
        <is>
          <t>76 X 168</t>
        </is>
      </c>
      <c r="I259" s="29" t="inlineStr">
        <is>
          <t>21 X 24</t>
        </is>
      </c>
      <c r="J259" s="29" t="n">
        <v>21</v>
      </c>
      <c r="K259" s="114" t="n"/>
      <c r="L259" s="31">
        <f>K259/J259</f>
        <v/>
      </c>
      <c r="M259" s="32" t="n">
        <v>1.103988603988604</v>
      </c>
      <c r="N259" s="31">
        <f>LEFT(I259,FIND("X",I259)-1)*RIGHT(I259,LEN(I259)-FIND("X",I259)-1)*M259</f>
        <v/>
      </c>
      <c r="O259" s="33">
        <f>(N259*L259)/1000</f>
        <v/>
      </c>
    </row>
    <row r="260" ht="15" customHeight="1">
      <c r="A260" s="133" t="n"/>
      <c r="B260" s="133" t="n"/>
      <c r="C260" s="136" t="n"/>
      <c r="D260" s="11" t="inlineStr">
        <is>
          <t>Bottom</t>
        </is>
      </c>
      <c r="E260" s="11" t="n">
        <v>40</v>
      </c>
      <c r="F260" s="11" t="inlineStr">
        <is>
          <t>Single</t>
        </is>
      </c>
      <c r="G260" s="11" t="inlineStr">
        <is>
          <t>MCX 40 BOT LVP</t>
        </is>
      </c>
      <c r="H260" s="11" t="inlineStr">
        <is>
          <t>88 X 178</t>
        </is>
      </c>
      <c r="I260" s="11" t="inlineStr">
        <is>
          <t>20 X 23</t>
        </is>
      </c>
      <c r="J260" s="11" t="n">
        <v>15</v>
      </c>
      <c r="K260" s="34" t="n"/>
      <c r="L260" s="14">
        <f>K260/J260</f>
        <v/>
      </c>
      <c r="M260" s="15" t="n">
        <v>0.6977821913273751</v>
      </c>
      <c r="N260" s="14">
        <f>LEFT(I260,FIND("X",I260)-1)*RIGHT(I260,LEN(I260)-FIND("X",I260)-1)*M260</f>
        <v/>
      </c>
      <c r="O260" s="16">
        <f>(N260*L260)/1000</f>
        <v/>
      </c>
    </row>
    <row r="261" ht="15.75" customHeight="1" thickBot="1">
      <c r="A261" s="133" t="n"/>
      <c r="B261" s="135" t="n"/>
      <c r="C261" s="22" t="inlineStr">
        <is>
          <t>SVG</t>
        </is>
      </c>
      <c r="D261" s="23" t="inlineStr">
        <is>
          <t>-</t>
        </is>
      </c>
      <c r="E261" s="23" t="n">
        <v>22</v>
      </c>
      <c r="F261" s="23" t="inlineStr">
        <is>
          <t>Single</t>
        </is>
      </c>
      <c r="G261" s="23" t="inlineStr">
        <is>
          <t>MCX 40 SVG</t>
        </is>
      </c>
      <c r="H261" s="23" t="inlineStr">
        <is>
          <t>103 X 193</t>
        </is>
      </c>
      <c r="I261" s="23" t="inlineStr">
        <is>
          <t>18 X 24</t>
        </is>
      </c>
      <c r="J261" s="23" t="n">
        <v>12</v>
      </c>
      <c r="K261" s="115" t="n">
        <v>500</v>
      </c>
      <c r="L261" s="25">
        <f>K261/J261</f>
        <v/>
      </c>
      <c r="M261" s="26" t="n">
        <v>0.4398148148148148</v>
      </c>
      <c r="N261" s="25">
        <f>LEFT(I261,FIND("X",I261)-1)*RIGHT(I261,LEN(I261)-FIND("X",I261)-1)*M261</f>
        <v/>
      </c>
      <c r="O261" s="27">
        <f>(N261*L261)/1000</f>
        <v/>
      </c>
    </row>
    <row r="262" ht="15" customHeight="1">
      <c r="A262" s="133" t="n"/>
      <c r="B262" s="150" t="inlineStr">
        <is>
          <t>Chemblue 12</t>
        </is>
      </c>
      <c r="C262" s="58" t="inlineStr">
        <is>
          <t>LVP</t>
        </is>
      </c>
      <c r="D262" s="29" t="inlineStr">
        <is>
          <t>Top</t>
        </is>
      </c>
      <c r="E262" s="29" t="n">
        <v>60</v>
      </c>
      <c r="F262" s="29" t="inlineStr">
        <is>
          <t>Passing</t>
        </is>
      </c>
      <c r="G262" s="29" t="inlineStr">
        <is>
          <t>GNR 12 LVP</t>
        </is>
      </c>
      <c r="H262" s="29" t="inlineStr">
        <is>
          <t>54 X 107</t>
        </is>
      </c>
      <c r="I262" s="29" t="inlineStr">
        <is>
          <t>22 X 23</t>
        </is>
      </c>
      <c r="J262" s="29" t="n">
        <v>45</v>
      </c>
      <c r="K262" s="114" t="n"/>
      <c r="L262" s="31">
        <f>K262/J262</f>
        <v/>
      </c>
      <c r="M262" s="32" t="n">
        <v>1.103988603988604</v>
      </c>
      <c r="N262" s="31">
        <f>LEFT(I262,FIND("X",I262)-1)*RIGHT(I262,LEN(I262)-FIND("X",I262)-1)*M262</f>
        <v/>
      </c>
      <c r="O262" s="33">
        <f>(N262*L262)/1000</f>
        <v/>
      </c>
    </row>
    <row r="263" ht="15" customHeight="1">
      <c r="A263" s="133" t="n"/>
      <c r="B263" s="133" t="n"/>
      <c r="C263" s="59" t="n"/>
      <c r="D263" s="11" t="inlineStr">
        <is>
          <t>Bottom</t>
        </is>
      </c>
      <c r="E263" s="11" t="n"/>
      <c r="F263" s="29" t="n"/>
      <c r="G263" s="29" t="n"/>
      <c r="H263" s="29" t="n"/>
      <c r="I263" s="29" t="n"/>
      <c r="J263" s="29" t="n"/>
      <c r="K263" s="114" t="n"/>
      <c r="L263" s="14">
        <f>K263/J263</f>
        <v/>
      </c>
      <c r="M263" s="15" t="e">
        <v>#N/A</v>
      </c>
      <c r="N263" s="14">
        <f>LEFT(I263,FIND("X",I263)-1)*RIGHT(I263,LEN(I263)-FIND("X",I263)-1)*M263</f>
        <v/>
      </c>
      <c r="O263" s="16">
        <f>(N263*L263)/1000</f>
        <v/>
      </c>
    </row>
    <row r="264" ht="15.75" customHeight="1" thickBot="1">
      <c r="A264" s="133" t="n"/>
      <c r="B264" s="135" t="n"/>
      <c r="C264" s="22" t="inlineStr">
        <is>
          <t>SVG</t>
        </is>
      </c>
      <c r="D264" s="23" t="inlineStr">
        <is>
          <t>-</t>
        </is>
      </c>
      <c r="E264" s="23" t="n">
        <v>22</v>
      </c>
      <c r="F264" s="23" t="inlineStr">
        <is>
          <t>Passing</t>
        </is>
      </c>
      <c r="G264" s="23" t="inlineStr">
        <is>
          <t>GNR 12 SVG</t>
        </is>
      </c>
      <c r="H264" s="23" t="inlineStr">
        <is>
          <t>65 X 118</t>
        </is>
      </c>
      <c r="I264" s="23" t="inlineStr">
        <is>
          <t>20.5 X 23</t>
        </is>
      </c>
      <c r="J264" s="23" t="n">
        <v>32</v>
      </c>
      <c r="K264" s="115" t="n">
        <v>1000</v>
      </c>
      <c r="L264" s="25">
        <f>K264/J264</f>
        <v/>
      </c>
      <c r="M264" s="26" t="n">
        <v>0.4398148148148148</v>
      </c>
      <c r="N264" s="25">
        <f>LEFT(I264,FIND("X",I264)-1)*RIGHT(I264,LEN(I264)-FIND("X",I264)-1)*M264</f>
        <v/>
      </c>
      <c r="O264" s="27">
        <f>(N264*L264)/1000</f>
        <v/>
      </c>
    </row>
    <row r="265" ht="15" customHeight="1">
      <c r="A265" s="133" t="n"/>
      <c r="B265" s="150" t="inlineStr">
        <is>
          <t>Chemblue 12</t>
        </is>
      </c>
      <c r="C265" s="58" t="inlineStr">
        <is>
          <t>LVP</t>
        </is>
      </c>
      <c r="D265" s="29" t="inlineStr">
        <is>
          <t>Top</t>
        </is>
      </c>
      <c r="E265" s="29" t="n">
        <v>60</v>
      </c>
      <c r="F265" s="29" t="inlineStr">
        <is>
          <t>Passing</t>
        </is>
      </c>
      <c r="G265" s="29" t="n"/>
      <c r="H265" s="29" t="inlineStr">
        <is>
          <t>54 X 107</t>
        </is>
      </c>
      <c r="I265" s="29" t="inlineStr">
        <is>
          <t>22 X 23</t>
        </is>
      </c>
      <c r="J265" s="29" t="n">
        <v>45</v>
      </c>
      <c r="K265" s="114" t="n"/>
      <c r="L265" s="31">
        <f>K265/J265</f>
        <v/>
      </c>
      <c r="M265" s="32" t="n">
        <v>1.103988603988604</v>
      </c>
      <c r="N265" s="31">
        <f>LEFT(I265,FIND("X",I265)-1)*RIGHT(I265,LEN(I265)-FIND("X",I265)-1)*M265</f>
        <v/>
      </c>
      <c r="O265" s="33">
        <f>(N265*L265)/1000</f>
        <v/>
      </c>
    </row>
    <row r="266" ht="15" customHeight="1">
      <c r="A266" s="133" t="n"/>
      <c r="B266" s="133" t="n"/>
      <c r="C266" s="59" t="n"/>
      <c r="D266" s="11" t="inlineStr">
        <is>
          <t>Bottom</t>
        </is>
      </c>
      <c r="E266" s="11" t="n"/>
      <c r="F266" s="29" t="n"/>
      <c r="G266" s="29" t="n"/>
      <c r="H266" s="29" t="n"/>
      <c r="I266" s="29" t="n"/>
      <c r="J266" s="29" t="n"/>
      <c r="K266" s="114" t="n"/>
      <c r="L266" s="14">
        <f>K266/J266</f>
        <v/>
      </c>
      <c r="M266" s="15" t="e">
        <v>#N/A</v>
      </c>
      <c r="N266" s="14">
        <f>LEFT(I266,FIND("X",I266)-1)*RIGHT(I266,LEN(I266)-FIND("X",I266)-1)*M266</f>
        <v/>
      </c>
      <c r="O266" s="16">
        <f>(N266*L266)/1000</f>
        <v/>
      </c>
    </row>
    <row r="267" ht="15.75" customHeight="1" thickBot="1">
      <c r="A267" s="135" t="n"/>
      <c r="B267" s="135" t="n"/>
      <c r="C267" s="22" t="inlineStr">
        <is>
          <t>SVG</t>
        </is>
      </c>
      <c r="D267" s="23" t="inlineStr">
        <is>
          <t>-</t>
        </is>
      </c>
      <c r="E267" s="23" t="n">
        <v>22</v>
      </c>
      <c r="F267" s="23" t="inlineStr">
        <is>
          <t>Passing</t>
        </is>
      </c>
      <c r="G267" s="23" t="n"/>
      <c r="H267" s="23" t="inlineStr">
        <is>
          <t>90 X 135</t>
        </is>
      </c>
      <c r="I267" s="23" t="inlineStr">
        <is>
          <t>23 X 24</t>
        </is>
      </c>
      <c r="J267" s="23" t="n">
        <v>24</v>
      </c>
      <c r="K267" s="115" t="n">
        <v>1000</v>
      </c>
      <c r="L267" s="25">
        <f>K267/J267</f>
        <v/>
      </c>
      <c r="M267" s="26" t="n">
        <v>0.4398148148148148</v>
      </c>
      <c r="N267" s="25">
        <f>LEFT(I267,FIND("X",I267)-1)*RIGHT(I267,LEN(I267)-FIND("X",I267)-1)*M267</f>
        <v/>
      </c>
      <c r="O267" s="27">
        <f>(N267*L267)/1000</f>
        <v/>
      </c>
    </row>
    <row r="268" ht="15" customHeight="1">
      <c r="A268" s="56" t="n"/>
      <c r="B268" s="57" t="inlineStr">
        <is>
          <t>Gav 40</t>
        </is>
      </c>
      <c r="C268" s="58" t="inlineStr">
        <is>
          <t>LVP</t>
        </is>
      </c>
      <c r="D268" s="29" t="inlineStr">
        <is>
          <t>Top</t>
        </is>
      </c>
      <c r="E268" s="29" t="n">
        <v>60</v>
      </c>
      <c r="F268" s="29" t="inlineStr">
        <is>
          <t>Single</t>
        </is>
      </c>
      <c r="G268" s="29" t="inlineStr">
        <is>
          <t>GNR 40 TOP LVP</t>
        </is>
      </c>
      <c r="H268" s="29" t="inlineStr">
        <is>
          <t>86 X 169</t>
        </is>
      </c>
      <c r="I268" s="29" t="inlineStr">
        <is>
          <t>21.5 X 23</t>
        </is>
      </c>
      <c r="J268" s="29" t="n">
        <v>18</v>
      </c>
      <c r="K268" s="114" t="n">
        <v>720</v>
      </c>
      <c r="L268" s="31">
        <f>K268/J268</f>
        <v/>
      </c>
      <c r="M268" s="32" t="n">
        <v>1.103988603988604</v>
      </c>
      <c r="N268" s="31">
        <f>LEFT(I268,FIND("X",I268)-1)*RIGHT(I268,LEN(I268)-FIND("X",I268)-1)*M268</f>
        <v/>
      </c>
      <c r="O268" s="33">
        <f>(N268*L268)/1000</f>
        <v/>
      </c>
    </row>
    <row r="269" ht="15" customHeight="1">
      <c r="A269" s="133" t="n"/>
      <c r="B269" s="133" t="n"/>
      <c r="C269" s="59" t="n"/>
      <c r="D269" s="11" t="inlineStr">
        <is>
          <t>Bottom</t>
        </is>
      </c>
      <c r="E269" s="11" t="n">
        <v>40</v>
      </c>
      <c r="F269" s="29" t="inlineStr">
        <is>
          <t>Single</t>
        </is>
      </c>
      <c r="G269" s="29" t="inlineStr">
        <is>
          <t>GNR 40 BOT LVP</t>
        </is>
      </c>
      <c r="H269" s="29" t="inlineStr">
        <is>
          <t>98 X 179</t>
        </is>
      </c>
      <c r="I269" s="29" t="inlineStr">
        <is>
          <t>22 X 23</t>
        </is>
      </c>
      <c r="J269" s="29" t="n">
        <v>15</v>
      </c>
      <c r="K269" s="114" t="n">
        <v>720</v>
      </c>
      <c r="L269" s="14">
        <f>K269/J269</f>
        <v/>
      </c>
      <c r="M269" s="15" t="n">
        <v>0.6977821913273751</v>
      </c>
      <c r="N269" s="14">
        <f>LEFT(I269,FIND("X",I269)-1)*RIGHT(I269,LEN(I269)-FIND("X",I269)-1)*M269</f>
        <v/>
      </c>
      <c r="O269" s="16">
        <f>(N269*L269)/1000</f>
        <v/>
      </c>
    </row>
    <row r="270" ht="15.75" customHeight="1" thickBot="1">
      <c r="A270" s="135" t="n"/>
      <c r="B270" s="135" t="n"/>
      <c r="C270" s="22" t="inlineStr">
        <is>
          <t>SVG</t>
        </is>
      </c>
      <c r="D270" s="23" t="inlineStr">
        <is>
          <t>-</t>
        </is>
      </c>
      <c r="E270" s="23" t="n">
        <v>22</v>
      </c>
      <c r="F270" s="23" t="inlineStr">
        <is>
          <t>Single</t>
        </is>
      </c>
      <c r="G270" s="23" t="inlineStr">
        <is>
          <t xml:space="preserve">GNR 40 SVG </t>
        </is>
      </c>
      <c r="H270" s="23" t="inlineStr">
        <is>
          <t>114 X 194</t>
        </is>
      </c>
      <c r="I270" s="23" t="inlineStr">
        <is>
          <t>20 X 24.5</t>
        </is>
      </c>
      <c r="J270" s="23" t="n">
        <v>12</v>
      </c>
      <c r="K270" s="115" t="n">
        <v>720</v>
      </c>
      <c r="L270" s="25">
        <f>K270/J270</f>
        <v/>
      </c>
      <c r="M270" s="26" t="n">
        <v>0.4398148148148148</v>
      </c>
      <c r="N270" s="25">
        <f>LEFT(I270,FIND("X",I270)-1)*RIGHT(I270,LEN(I270)-FIND("X",I270)-1)*M270</f>
        <v/>
      </c>
      <c r="O270" s="27">
        <f>(N270*L270)/1000</f>
        <v/>
      </c>
    </row>
    <row r="271" ht="15" customHeight="1">
      <c r="A271" s="56" t="n"/>
      <c r="B271" s="57" t="inlineStr">
        <is>
          <t>Gav 20</t>
        </is>
      </c>
      <c r="C271" s="58" t="inlineStr">
        <is>
          <t>LVP</t>
        </is>
      </c>
      <c r="D271" s="29" t="inlineStr">
        <is>
          <t>Top</t>
        </is>
      </c>
      <c r="E271" s="29" t="n">
        <v>40</v>
      </c>
      <c r="F271" s="29" t="inlineStr">
        <is>
          <t>Single</t>
        </is>
      </c>
      <c r="G271" s="29" t="inlineStr">
        <is>
          <t>GNR 20 LVP</t>
        </is>
      </c>
      <c r="H271" s="29" t="inlineStr">
        <is>
          <t>69 X 120</t>
        </is>
      </c>
      <c r="I271" s="29" t="inlineStr">
        <is>
          <t>21 X 24</t>
        </is>
      </c>
      <c r="J271" s="29" t="n">
        <v>32</v>
      </c>
      <c r="K271" s="114" t="n">
        <v>5000</v>
      </c>
      <c r="L271" s="31">
        <f>K271/J271</f>
        <v/>
      </c>
      <c r="M271" s="32" t="n">
        <v>0.6977821913273751</v>
      </c>
      <c r="N271" s="31">
        <f>LEFT(I271,FIND("X",I271)-1)*RIGHT(I271,LEN(I271)-FIND("X",I271)-1)*M271</f>
        <v/>
      </c>
      <c r="O271" s="33">
        <f>(N271*L271)/1000</f>
        <v/>
      </c>
    </row>
    <row r="272" ht="15" customHeight="1">
      <c r="A272" s="133" t="n"/>
      <c r="B272" s="133" t="n"/>
      <c r="C272" s="59" t="n"/>
      <c r="D272" s="11" t="inlineStr">
        <is>
          <t>Bottom</t>
        </is>
      </c>
      <c r="E272" s="11" t="n">
        <v>40</v>
      </c>
      <c r="F272" s="11" t="inlineStr">
        <is>
          <t>Single</t>
        </is>
      </c>
      <c r="G272" s="29" t="inlineStr">
        <is>
          <t>GNR 20 LVP</t>
        </is>
      </c>
      <c r="H272" s="29" t="inlineStr">
        <is>
          <t>69 X 120</t>
        </is>
      </c>
      <c r="I272" s="29" t="inlineStr">
        <is>
          <t>21 X 24</t>
        </is>
      </c>
      <c r="J272" s="29" t="n">
        <v>32</v>
      </c>
      <c r="K272" s="114" t="n">
        <v>5000</v>
      </c>
      <c r="L272" s="14">
        <f>K272/J272</f>
        <v/>
      </c>
      <c r="M272" s="15" t="n">
        <v>0.6977821913273751</v>
      </c>
      <c r="N272" s="14">
        <f>LEFT(I272,FIND("X",I272)-1)*RIGHT(I272,LEN(I272)-FIND("X",I272)-1)*M272</f>
        <v/>
      </c>
      <c r="O272" s="16">
        <f>(N272*L272)/1000</f>
        <v/>
      </c>
    </row>
    <row r="273" ht="15.75" customHeight="1" thickBot="1">
      <c r="A273" s="135" t="n"/>
      <c r="B273" s="135" t="n"/>
      <c r="C273" s="22" t="inlineStr">
        <is>
          <t>SVG</t>
        </is>
      </c>
      <c r="D273" s="23" t="inlineStr">
        <is>
          <t>-</t>
        </is>
      </c>
      <c r="E273" s="23" t="n">
        <v>22</v>
      </c>
      <c r="F273" s="23" t="inlineStr">
        <is>
          <t>Single</t>
        </is>
      </c>
      <c r="G273" s="29" t="inlineStr">
        <is>
          <t>GNR 20 SVG</t>
        </is>
      </c>
      <c r="H273" s="29" t="inlineStr">
        <is>
          <t>81 X 133</t>
        </is>
      </c>
      <c r="I273" s="29" t="inlineStr">
        <is>
          <t>21 X 22.5</t>
        </is>
      </c>
      <c r="J273" s="23" t="n">
        <v>24</v>
      </c>
      <c r="K273" s="114" t="n">
        <v>5000</v>
      </c>
      <c r="L273" s="25">
        <f>K273/J273</f>
        <v/>
      </c>
      <c r="M273" s="26" t="n">
        <v>0.4398148148148148</v>
      </c>
      <c r="N273" s="25">
        <f>LEFT(I273,FIND("X",I273)-1)*RIGHT(I273,LEN(I273)-FIND("X",I273)-1)*M273</f>
        <v/>
      </c>
      <c r="O273" s="27">
        <f>(N273*L273)/1000</f>
        <v/>
      </c>
    </row>
    <row r="274" ht="15" customHeight="1">
      <c r="A274" s="149" t="n"/>
      <c r="B274" s="57" t="inlineStr">
        <is>
          <t>Gav 25</t>
        </is>
      </c>
      <c r="C274" s="58" t="inlineStr">
        <is>
          <t>LVP</t>
        </is>
      </c>
      <c r="D274" s="29" t="inlineStr">
        <is>
          <t>Top</t>
        </is>
      </c>
      <c r="E274" s="29" t="n">
        <v>40</v>
      </c>
      <c r="F274" s="29" t="inlineStr">
        <is>
          <t>Single</t>
        </is>
      </c>
      <c r="G274" s="29" t="inlineStr">
        <is>
          <t>GNR 25 TOP LVP</t>
        </is>
      </c>
      <c r="H274" s="29" t="inlineStr">
        <is>
          <t>92 X 103</t>
        </is>
      </c>
      <c r="I274" s="29" t="inlineStr">
        <is>
          <t>23 X 25</t>
        </is>
      </c>
      <c r="J274" s="29" t="n">
        <v>30</v>
      </c>
      <c r="K274" s="114" t="n">
        <v>2000</v>
      </c>
      <c r="L274" s="31">
        <f>K274/J274</f>
        <v/>
      </c>
      <c r="M274" s="32" t="n">
        <v>0.6977821913273751</v>
      </c>
      <c r="N274" s="31">
        <f>LEFT(I274,FIND("X",I274)-1)*RIGHT(I274,LEN(I274)-FIND("X",I274)-1)*M274</f>
        <v/>
      </c>
      <c r="O274" s="33">
        <f>(N274*L274)/1000</f>
        <v/>
      </c>
    </row>
    <row r="275" ht="15" customHeight="1">
      <c r="A275" s="133" t="n"/>
      <c r="B275" s="133" t="n"/>
      <c r="C275" s="59" t="n"/>
      <c r="D275" s="11" t="inlineStr">
        <is>
          <t>Bottom</t>
        </is>
      </c>
      <c r="E275" s="11" t="n">
        <v>40</v>
      </c>
      <c r="F275" s="11" t="inlineStr">
        <is>
          <t>Single</t>
        </is>
      </c>
      <c r="G275" s="29" t="inlineStr">
        <is>
          <t>GNR 25 TOP BOT</t>
        </is>
      </c>
      <c r="H275" s="29" t="inlineStr">
        <is>
          <t>103 X 113</t>
        </is>
      </c>
      <c r="I275" s="29" t="inlineStr">
        <is>
          <t>23 X 25</t>
        </is>
      </c>
      <c r="J275" s="29" t="n">
        <v>25</v>
      </c>
      <c r="K275" s="114" t="n">
        <v>2000</v>
      </c>
      <c r="L275" s="14">
        <f>K275/J275</f>
        <v/>
      </c>
      <c r="M275" s="15" t="n">
        <v>0.6977821913273751</v>
      </c>
      <c r="N275" s="14">
        <f>LEFT(I275,FIND("X",I275)-1)*RIGHT(I275,LEN(I275)-FIND("X",I275)-1)*M275</f>
        <v/>
      </c>
      <c r="O275" s="16">
        <f>(N275*L275)/1000</f>
        <v/>
      </c>
    </row>
    <row r="276" ht="15.75" customHeight="1" thickBot="1">
      <c r="A276" s="135" t="n"/>
      <c r="B276" s="135" t="n"/>
      <c r="C276" s="22" t="inlineStr">
        <is>
          <t>SVG</t>
        </is>
      </c>
      <c r="D276" s="23" t="inlineStr">
        <is>
          <t>-</t>
        </is>
      </c>
      <c r="E276" s="23" t="n">
        <v>22</v>
      </c>
      <c r="F276" s="23" t="inlineStr">
        <is>
          <t>Single</t>
        </is>
      </c>
      <c r="G276" s="23" t="inlineStr">
        <is>
          <t>GNR 25 SVG</t>
        </is>
      </c>
      <c r="H276" s="23" t="inlineStr">
        <is>
          <t>117 X 126</t>
        </is>
      </c>
      <c r="I276" s="23" t="inlineStr">
        <is>
          <t>20 X 22</t>
        </is>
      </c>
      <c r="J276" s="23" t="n">
        <v>16</v>
      </c>
      <c r="K276" s="114" t="n">
        <v>2000</v>
      </c>
      <c r="L276" s="25">
        <f>K276/J276</f>
        <v/>
      </c>
      <c r="M276" s="26" t="n">
        <v>0.4398148148148148</v>
      </c>
      <c r="N276" s="25">
        <f>LEFT(I276,FIND("X",I276)-1)*RIGHT(I276,LEN(I276)-FIND("X",I276)-1)*M276</f>
        <v/>
      </c>
      <c r="O276" s="27">
        <f>(N276*L276)/1000</f>
        <v/>
      </c>
    </row>
    <row r="277" ht="15" customHeight="1">
      <c r="A277" s="149" t="n"/>
      <c r="B277" s="150" t="inlineStr">
        <is>
          <t>TCX 35</t>
        </is>
      </c>
      <c r="C277" s="58" t="inlineStr">
        <is>
          <t>LVP</t>
        </is>
      </c>
      <c r="D277" s="29" t="inlineStr">
        <is>
          <t>Top</t>
        </is>
      </c>
      <c r="E277" s="29" t="n">
        <v>40</v>
      </c>
      <c r="F277" s="29" t="inlineStr">
        <is>
          <t>Single</t>
        </is>
      </c>
      <c r="G277" s="29" t="inlineStr">
        <is>
          <t>Tuto Auto MCX 35 LVP</t>
        </is>
      </c>
      <c r="H277" s="29" t="inlineStr">
        <is>
          <t>135 X 190</t>
        </is>
      </c>
      <c r="I277" s="29" t="inlineStr">
        <is>
          <t>23 X 24</t>
        </is>
      </c>
      <c r="J277" s="29" t="n">
        <v>12</v>
      </c>
      <c r="K277" s="114" t="n">
        <v>300</v>
      </c>
      <c r="L277" s="31">
        <f>K277/J277</f>
        <v/>
      </c>
      <c r="M277" s="32" t="n">
        <v>0.6977821913273751</v>
      </c>
      <c r="N277" s="31">
        <f>LEFT(I277,FIND("X",I277)-1)*RIGHT(I277,LEN(I277)-FIND("X",I277)-1)*M277</f>
        <v/>
      </c>
      <c r="O277" s="33">
        <f>(N277*L277)/1000</f>
        <v/>
      </c>
    </row>
    <row r="278" ht="15" customHeight="1">
      <c r="A278" s="133" t="n"/>
      <c r="B278" s="133" t="n"/>
      <c r="C278" s="59" t="n"/>
      <c r="D278" s="11" t="inlineStr">
        <is>
          <t>Bottom</t>
        </is>
      </c>
      <c r="E278" s="11" t="n">
        <v>40</v>
      </c>
      <c r="F278" s="11" t="inlineStr">
        <is>
          <t>Single</t>
        </is>
      </c>
      <c r="G278" s="29" t="inlineStr">
        <is>
          <t>Tuto Auto MCX 35 LVP</t>
        </is>
      </c>
      <c r="H278" s="29" t="inlineStr">
        <is>
          <t>135 X 190</t>
        </is>
      </c>
      <c r="I278" s="29" t="inlineStr">
        <is>
          <t>23 X 24</t>
        </is>
      </c>
      <c r="J278" s="29" t="n">
        <v>12</v>
      </c>
      <c r="K278" s="114" t="n">
        <v>300</v>
      </c>
      <c r="L278" s="14">
        <f>K278/J278</f>
        <v/>
      </c>
      <c r="M278" s="15" t="n">
        <v>0.6977821913273751</v>
      </c>
      <c r="N278" s="14">
        <f>LEFT(I278,FIND("X",I278)-1)*RIGHT(I278,LEN(I278)-FIND("X",I278)-1)*M278</f>
        <v/>
      </c>
      <c r="O278" s="16">
        <f>(N278*L278)/1000</f>
        <v/>
      </c>
    </row>
    <row r="279" ht="15.75" customHeight="1" thickBot="1">
      <c r="A279" s="135" t="n"/>
      <c r="B279" s="135" t="n"/>
      <c r="C279" s="22" t="inlineStr">
        <is>
          <t>SVG</t>
        </is>
      </c>
      <c r="D279" s="23" t="inlineStr">
        <is>
          <t>-</t>
        </is>
      </c>
      <c r="E279" s="23" t="n">
        <v>22</v>
      </c>
      <c r="F279" s="23" t="inlineStr">
        <is>
          <t>Single</t>
        </is>
      </c>
      <c r="G279" s="29" t="inlineStr">
        <is>
          <t>Tuto Auto MCX 35 SVG</t>
        </is>
      </c>
      <c r="H279" s="29" t="inlineStr">
        <is>
          <t>148 X 203</t>
        </is>
      </c>
      <c r="I279" s="23" t="inlineStr">
        <is>
          <t>26 X 26</t>
        </is>
      </c>
      <c r="J279" s="23" t="n">
        <v>12</v>
      </c>
      <c r="K279" s="114" t="n">
        <v>300</v>
      </c>
      <c r="L279" s="25">
        <f>K279/J279</f>
        <v/>
      </c>
      <c r="M279" s="26" t="n">
        <v>0.4398148148148148</v>
      </c>
      <c r="N279" s="25">
        <f>LEFT(I279,FIND("X",I279)-1)*RIGHT(I279,LEN(I279)-FIND("X",I279)-1)*M279</f>
        <v/>
      </c>
      <c r="O279" s="27">
        <f>(N279*L279)/1000</f>
        <v/>
      </c>
    </row>
    <row r="280" ht="15" customHeight="1">
      <c r="A280" s="149" t="n"/>
      <c r="B280" s="150" t="inlineStr">
        <is>
          <t>TCX 40</t>
        </is>
      </c>
      <c r="C280" s="138" t="inlineStr">
        <is>
          <t>LVP</t>
        </is>
      </c>
      <c r="D280" s="29" t="inlineStr">
        <is>
          <t>Top</t>
        </is>
      </c>
      <c r="E280" s="29" t="n">
        <v>60</v>
      </c>
      <c r="F280" s="29" t="inlineStr">
        <is>
          <t>Single</t>
        </is>
      </c>
      <c r="G280" s="29" t="inlineStr">
        <is>
          <t>MCX 40 TOP LVP</t>
        </is>
      </c>
      <c r="H280" s="29" t="inlineStr">
        <is>
          <t>76 X 168</t>
        </is>
      </c>
      <c r="I280" s="29" t="inlineStr">
        <is>
          <t>21 X 24</t>
        </is>
      </c>
      <c r="J280" s="29" t="n">
        <v>21</v>
      </c>
      <c r="K280" s="114" t="n">
        <v>100</v>
      </c>
      <c r="L280" s="31">
        <f>K280/J280</f>
        <v/>
      </c>
      <c r="M280" s="32" t="n">
        <v>1.103988603988604</v>
      </c>
      <c r="N280" s="31">
        <f>LEFT(I280,FIND("X",I280)-1)*RIGHT(I280,LEN(I280)-FIND("X",I280)-1)*M280</f>
        <v/>
      </c>
      <c r="O280" s="33">
        <f>(N280*L280)/1000</f>
        <v/>
      </c>
    </row>
    <row r="281" ht="15" customHeight="1">
      <c r="A281" s="133" t="n"/>
      <c r="B281" s="133" t="n"/>
      <c r="C281" s="136" t="n"/>
      <c r="D281" s="11" t="inlineStr">
        <is>
          <t>Bottom</t>
        </is>
      </c>
      <c r="E281" s="11" t="n">
        <v>40</v>
      </c>
      <c r="F281" s="11" t="inlineStr">
        <is>
          <t>Single</t>
        </is>
      </c>
      <c r="G281" s="11" t="inlineStr">
        <is>
          <t>MCX 40 BOT LVP</t>
        </is>
      </c>
      <c r="H281" s="11" t="inlineStr">
        <is>
          <t>88 X 178</t>
        </is>
      </c>
      <c r="I281" s="11" t="inlineStr">
        <is>
          <t>20 X 23</t>
        </is>
      </c>
      <c r="J281" s="11" t="n">
        <v>15</v>
      </c>
      <c r="K281" s="114" t="n">
        <v>100</v>
      </c>
      <c r="L281" s="14">
        <f>K281/J281</f>
        <v/>
      </c>
      <c r="M281" s="15" t="n">
        <v>0.6977821913273751</v>
      </c>
      <c r="N281" s="14">
        <f>LEFT(I281,FIND("X",I281)-1)*RIGHT(I281,LEN(I281)-FIND("X",I281)-1)*M281</f>
        <v/>
      </c>
      <c r="O281" s="16">
        <f>(N281*L281)/1000</f>
        <v/>
      </c>
    </row>
    <row r="282" ht="15.75" customHeight="1" thickBot="1">
      <c r="A282" s="135" t="n"/>
      <c r="B282" s="135" t="n"/>
      <c r="C282" s="22" t="inlineStr">
        <is>
          <t>SVG</t>
        </is>
      </c>
      <c r="D282" s="23" t="inlineStr">
        <is>
          <t>-</t>
        </is>
      </c>
      <c r="E282" s="23" t="n">
        <v>22</v>
      </c>
      <c r="F282" s="23" t="inlineStr">
        <is>
          <t>Single</t>
        </is>
      </c>
      <c r="G282" s="23" t="inlineStr">
        <is>
          <t>MCX 40 SVG</t>
        </is>
      </c>
      <c r="H282" s="23" t="inlineStr">
        <is>
          <t>103 X 193</t>
        </is>
      </c>
      <c r="I282" s="23" t="inlineStr">
        <is>
          <t>18 X 24</t>
        </is>
      </c>
      <c r="J282" s="23" t="n">
        <v>12</v>
      </c>
      <c r="K282" s="114" t="n">
        <v>100</v>
      </c>
      <c r="L282" s="25">
        <f>K282/J282</f>
        <v/>
      </c>
      <c r="M282" s="26" t="n">
        <v>0.4398148148148148</v>
      </c>
      <c r="N282" s="25">
        <f>LEFT(I282,FIND("X",I282)-1)*RIGHT(I282,LEN(I282)-FIND("X",I282)-1)*M282</f>
        <v/>
      </c>
      <c r="O282" s="27">
        <f>(N282*L282)/1000</f>
        <v/>
      </c>
    </row>
    <row r="283" ht="15" customHeight="1">
      <c r="A283" s="149" t="n"/>
      <c r="B283" s="150" t="inlineStr">
        <is>
          <t>CKHD 4</t>
        </is>
      </c>
      <c r="C283" s="58" t="inlineStr">
        <is>
          <t>LVP</t>
        </is>
      </c>
      <c r="D283" s="29" t="inlineStr">
        <is>
          <t>Top</t>
        </is>
      </c>
      <c r="E283" s="29" t="n">
        <v>40</v>
      </c>
      <c r="F283" s="29" t="inlineStr">
        <is>
          <t>Single</t>
        </is>
      </c>
      <c r="G283" s="29" t="inlineStr">
        <is>
          <t>CKHD 4 LVP</t>
        </is>
      </c>
      <c r="H283" s="29" t="inlineStr">
        <is>
          <t>115 X 115</t>
        </is>
      </c>
      <c r="I283" s="29" t="inlineStr">
        <is>
          <t>25 X 25</t>
        </is>
      </c>
      <c r="J283" s="29" t="n">
        <v>25</v>
      </c>
      <c r="K283" s="114" t="n">
        <v>2000</v>
      </c>
      <c r="L283" s="31">
        <f>K283/J283</f>
        <v/>
      </c>
      <c r="M283" s="32" t="n">
        <v>0.6977821913273751</v>
      </c>
      <c r="N283" s="31">
        <f>LEFT(I283,FIND("X",I283)-1)*RIGHT(I283,LEN(I283)-FIND("X",I283)-1)*M283</f>
        <v/>
      </c>
      <c r="O283" s="33">
        <f>(N283*L283)/1000</f>
        <v/>
      </c>
    </row>
    <row r="284" ht="15" customHeight="1">
      <c r="A284" s="133" t="n"/>
      <c r="B284" s="133" t="n"/>
      <c r="C284" s="58" t="inlineStr">
        <is>
          <t>LVP</t>
        </is>
      </c>
      <c r="D284" s="11" t="inlineStr">
        <is>
          <t>Bottom</t>
        </is>
      </c>
      <c r="E284" s="11" t="n">
        <v>40</v>
      </c>
      <c r="F284" s="11" t="inlineStr">
        <is>
          <t>Single</t>
        </is>
      </c>
      <c r="G284" s="29" t="inlineStr">
        <is>
          <t>CKHD 4 LVP</t>
        </is>
      </c>
      <c r="H284" s="29" t="inlineStr">
        <is>
          <t>115 X 115</t>
        </is>
      </c>
      <c r="I284" s="29" t="inlineStr">
        <is>
          <t>25 X 25</t>
        </is>
      </c>
      <c r="J284" s="29" t="n">
        <v>25</v>
      </c>
      <c r="K284" s="114" t="n">
        <v>2000</v>
      </c>
      <c r="L284" s="14">
        <f>K284/J284</f>
        <v/>
      </c>
      <c r="M284" s="15" t="n">
        <v>0.6977821913273751</v>
      </c>
      <c r="N284" s="14">
        <f>LEFT(I284,FIND("X",I284)-1)*RIGHT(I284,LEN(I284)-FIND("X",I284)-1)*M284</f>
        <v/>
      </c>
      <c r="O284" s="16">
        <f>(N284*L284)/1000</f>
        <v/>
      </c>
    </row>
    <row r="285" ht="15.75" customHeight="1" thickBot="1">
      <c r="A285" s="135" t="n"/>
      <c r="B285" s="135" t="n"/>
      <c r="C285" s="22" t="inlineStr">
        <is>
          <t>SVG</t>
        </is>
      </c>
      <c r="D285" s="23" t="inlineStr">
        <is>
          <t>-</t>
        </is>
      </c>
      <c r="E285" s="23" t="n">
        <v>22</v>
      </c>
      <c r="F285" s="23" t="inlineStr">
        <is>
          <t>Single</t>
        </is>
      </c>
      <c r="G285" s="29" t="inlineStr">
        <is>
          <t>CKHD 4 SVG</t>
        </is>
      </c>
      <c r="H285" s="29" t="inlineStr">
        <is>
          <t>128 X 128</t>
        </is>
      </c>
      <c r="I285" s="23" t="inlineStr">
        <is>
          <t>22 X 22</t>
        </is>
      </c>
      <c r="J285" s="23" t="n">
        <v>16</v>
      </c>
      <c r="K285" s="114" t="n">
        <v>2000</v>
      </c>
      <c r="L285" s="25">
        <f>K285/J285</f>
        <v/>
      </c>
      <c r="M285" s="26" t="n">
        <v>0.4398148148148148</v>
      </c>
      <c r="N285" s="25">
        <f>LEFT(I285,FIND("X",I285)-1)*RIGHT(I285,LEN(I285)-FIND("X",I285)-1)*M285</f>
        <v/>
      </c>
      <c r="O285" s="27">
        <f>(N285*L285)/1000</f>
        <v/>
      </c>
    </row>
    <row r="286" ht="15" customHeight="1">
      <c r="A286" s="149" t="n"/>
      <c r="B286" s="150" t="inlineStr">
        <is>
          <t>C 5</t>
        </is>
      </c>
      <c r="C286" s="58" t="inlineStr">
        <is>
          <t>LVP</t>
        </is>
      </c>
      <c r="D286" s="29" t="inlineStr">
        <is>
          <t>Top</t>
        </is>
      </c>
      <c r="E286" s="29" t="n">
        <v>60</v>
      </c>
      <c r="F286" s="29" t="inlineStr">
        <is>
          <t>Single</t>
        </is>
      </c>
      <c r="G286" s="29" t="inlineStr">
        <is>
          <t>CKHD 5 LVP</t>
        </is>
      </c>
      <c r="H286" s="29" t="inlineStr">
        <is>
          <t>148 X 148</t>
        </is>
      </c>
      <c r="I286" s="29" t="inlineStr">
        <is>
          <t>25 X 25</t>
        </is>
      </c>
      <c r="J286" s="29" t="n">
        <v>16</v>
      </c>
      <c r="K286" s="114" t="n">
        <v>1000</v>
      </c>
      <c r="L286" s="31">
        <f>K286/J286</f>
        <v/>
      </c>
      <c r="M286" s="32" t="n">
        <v>1.103988603988604</v>
      </c>
      <c r="N286" s="31">
        <f>LEFT(I286,FIND("X",I286)-1)*RIGHT(I286,LEN(I286)-FIND("X",I286)-1)*M286</f>
        <v/>
      </c>
      <c r="O286" s="33">
        <f>(N286*L286)/1000</f>
        <v/>
      </c>
    </row>
    <row r="287" ht="15" customHeight="1">
      <c r="A287" s="133" t="n"/>
      <c r="B287" s="133" t="n"/>
      <c r="C287" s="59" t="n"/>
      <c r="D287" s="11" t="inlineStr">
        <is>
          <t>Bottom</t>
        </is>
      </c>
      <c r="E287" s="11" t="n">
        <v>40</v>
      </c>
      <c r="F287" s="11" t="inlineStr">
        <is>
          <t>Single</t>
        </is>
      </c>
      <c r="G287" s="29" t="inlineStr">
        <is>
          <t>CKHD 5 LVP</t>
        </is>
      </c>
      <c r="H287" s="29" t="inlineStr">
        <is>
          <t>148 X 148</t>
        </is>
      </c>
      <c r="I287" s="29" t="inlineStr">
        <is>
          <t>25 X 25</t>
        </is>
      </c>
      <c r="J287" s="29" t="n">
        <v>16</v>
      </c>
      <c r="K287" s="114" t="n">
        <v>1000</v>
      </c>
      <c r="L287" s="14">
        <f>K287/J287</f>
        <v/>
      </c>
      <c r="M287" s="15" t="n">
        <v>0.6977821913273751</v>
      </c>
      <c r="N287" s="14">
        <f>LEFT(I287,FIND("X",I287)-1)*RIGHT(I287,LEN(I287)-FIND("X",I287)-1)*M287</f>
        <v/>
      </c>
      <c r="O287" s="16">
        <f>(N287*L287)/1000</f>
        <v/>
      </c>
    </row>
    <row r="288" ht="15.75" customHeight="1" thickBot="1">
      <c r="A288" s="135" t="n"/>
      <c r="B288" s="135" t="n"/>
      <c r="C288" s="22" t="inlineStr">
        <is>
          <t>SVG</t>
        </is>
      </c>
      <c r="D288" s="23" t="inlineStr">
        <is>
          <t>-</t>
        </is>
      </c>
      <c r="E288" s="23" t="n">
        <v>22</v>
      </c>
      <c r="F288" s="23" t="inlineStr">
        <is>
          <t>Single</t>
        </is>
      </c>
      <c r="G288" s="29" t="inlineStr">
        <is>
          <t>CKHD 5 SVG</t>
        </is>
      </c>
      <c r="H288" s="29" t="inlineStr">
        <is>
          <t>161 X 161</t>
        </is>
      </c>
      <c r="I288" s="23" t="inlineStr">
        <is>
          <t xml:space="preserve">21 X 21 </t>
        </is>
      </c>
      <c r="J288" s="23" t="n">
        <v>9</v>
      </c>
      <c r="K288" s="114" t="n">
        <v>1000</v>
      </c>
      <c r="L288" s="25">
        <f>K288/J288</f>
        <v/>
      </c>
      <c r="M288" s="26" t="n">
        <v>0.4398148148148148</v>
      </c>
      <c r="N288" s="25">
        <f>LEFT(I288,FIND("X",I288)-1)*RIGHT(I288,LEN(I288)-FIND("X",I288)-1)*M288</f>
        <v/>
      </c>
      <c r="O288" s="27">
        <f>(N288*L288)/1000</f>
        <v/>
      </c>
    </row>
    <row r="289" ht="15" customHeight="1">
      <c r="A289" s="149" t="n"/>
      <c r="B289" s="150" t="inlineStr">
        <is>
          <t>MPR 10</t>
        </is>
      </c>
      <c r="C289" s="58" t="inlineStr">
        <is>
          <t>LVP</t>
        </is>
      </c>
      <c r="D289" s="29" t="inlineStr">
        <is>
          <t>Top</t>
        </is>
      </c>
      <c r="E289" s="29" t="n">
        <v>60</v>
      </c>
      <c r="F289" s="29" t="inlineStr">
        <is>
          <t>Passiing</t>
        </is>
      </c>
      <c r="G289" s="29" t="inlineStr">
        <is>
          <t>MPR 10 LVP</t>
        </is>
      </c>
      <c r="H289" s="29" t="inlineStr">
        <is>
          <t>50 X 68 MM</t>
        </is>
      </c>
      <c r="I289" s="29" t="inlineStr">
        <is>
          <t>20.5 X 22</t>
        </is>
      </c>
      <c r="J289" s="29" t="n">
        <v>70</v>
      </c>
      <c r="K289" s="151" t="n"/>
      <c r="L289" s="31">
        <f>K289/J289</f>
        <v/>
      </c>
      <c r="M289" s="32" t="n">
        <v>1.103988603988604</v>
      </c>
      <c r="N289" s="31">
        <f>LEFT(I289,FIND("X",I289)-1)*RIGHT(I289,LEN(I289)-FIND("X",I289)-1)*M289</f>
        <v/>
      </c>
      <c r="O289" s="33">
        <f>(N289*L289)/1000</f>
        <v/>
      </c>
    </row>
    <row r="290" ht="15" customHeight="1">
      <c r="A290" s="133" t="n"/>
      <c r="B290" s="133" t="n"/>
      <c r="C290" s="59" t="n"/>
      <c r="D290" s="11" t="inlineStr">
        <is>
          <t>Bottom</t>
        </is>
      </c>
      <c r="E290" s="11" t="n"/>
      <c r="F290" s="11" t="n"/>
      <c r="G290" s="29" t="n"/>
      <c r="H290" s="29" t="n"/>
      <c r="I290" s="29" t="n"/>
      <c r="J290" s="29" t="n"/>
      <c r="K290" s="114" t="n"/>
      <c r="L290" s="14">
        <f>K290/J290</f>
        <v/>
      </c>
      <c r="M290" s="15" t="e">
        <v>#N/A</v>
      </c>
      <c r="N290" s="14">
        <f>LEFT(I290,FIND("X",I290)-1)*RIGHT(I290,LEN(I290)-FIND("X",I290)-1)*M290</f>
        <v/>
      </c>
      <c r="O290" s="16">
        <f>(N290*L290)/1000</f>
        <v/>
      </c>
    </row>
    <row r="291" ht="15.75" customHeight="1" thickBot="1">
      <c r="A291" s="135" t="n"/>
      <c r="B291" s="135" t="n"/>
      <c r="C291" s="22" t="inlineStr">
        <is>
          <t>SVG</t>
        </is>
      </c>
      <c r="D291" s="23" t="inlineStr">
        <is>
          <t>-</t>
        </is>
      </c>
      <c r="E291" s="23" t="n">
        <v>22</v>
      </c>
      <c r="F291" s="29" t="inlineStr">
        <is>
          <t>Passiing</t>
        </is>
      </c>
      <c r="G291" s="29" t="inlineStr">
        <is>
          <t>MPR 10 SVG</t>
        </is>
      </c>
      <c r="H291" s="29" t="inlineStr">
        <is>
          <t>62 X 80 MM</t>
        </is>
      </c>
      <c r="I291" s="29" t="inlineStr">
        <is>
          <t>20.5 X 21.5</t>
        </is>
      </c>
      <c r="J291" s="23" t="n">
        <v>48</v>
      </c>
      <c r="K291" s="151" t="n"/>
      <c r="L291" s="25">
        <f>K291/J291</f>
        <v/>
      </c>
      <c r="M291" s="26" t="n">
        <v>0.4398148148148148</v>
      </c>
      <c r="N291" s="25">
        <f>LEFT(I291,FIND("X",I291)-1)*RIGHT(I291,LEN(I291)-FIND("X",I291)-1)*M291</f>
        <v/>
      </c>
      <c r="O291" s="27">
        <f>(N291*L291)/1000</f>
        <v/>
      </c>
    </row>
    <row r="292" ht="15" customHeight="1">
      <c r="A292" s="149" t="n"/>
      <c r="B292" s="150" t="inlineStr">
        <is>
          <t>MPR 12</t>
        </is>
      </c>
      <c r="C292" s="58" t="inlineStr">
        <is>
          <t>LVP</t>
        </is>
      </c>
      <c r="D292" s="29" t="inlineStr">
        <is>
          <t>Top</t>
        </is>
      </c>
      <c r="E292" s="29" t="n">
        <v>60</v>
      </c>
      <c r="F292" s="29" t="inlineStr">
        <is>
          <t>Passiing</t>
        </is>
      </c>
      <c r="G292" s="29" t="inlineStr">
        <is>
          <t>MPR 12 LVP</t>
        </is>
      </c>
      <c r="H292" s="29" t="inlineStr">
        <is>
          <t>58 X 105</t>
        </is>
      </c>
      <c r="I292" s="29" t="inlineStr">
        <is>
          <t>23 X 23</t>
        </is>
      </c>
      <c r="J292" s="29" t="n">
        <v>30</v>
      </c>
      <c r="K292" s="151" t="n">
        <v>2000</v>
      </c>
      <c r="L292" s="31">
        <f>K292/J292</f>
        <v/>
      </c>
      <c r="M292" s="32" t="n">
        <v>1.103988603988604</v>
      </c>
      <c r="N292" s="31">
        <f>LEFT(I292,FIND("X",I292)-1)*RIGHT(I292,LEN(I292)-FIND("X",I292)-1)*M292</f>
        <v/>
      </c>
      <c r="O292" s="33">
        <f>(N292*L292)/1000</f>
        <v/>
      </c>
    </row>
    <row r="293" ht="15" customHeight="1">
      <c r="A293" s="133" t="n"/>
      <c r="B293" s="133" t="n"/>
      <c r="C293" s="59" t="n"/>
      <c r="D293" s="11" t="inlineStr">
        <is>
          <t>Bottom</t>
        </is>
      </c>
      <c r="E293" s="11" t="n"/>
      <c r="F293" s="11" t="n"/>
      <c r="G293" s="29" t="n"/>
      <c r="H293" s="29" t="n"/>
      <c r="I293" s="29" t="n"/>
      <c r="J293" s="29" t="n"/>
      <c r="K293" s="114" t="n">
        <v>2000</v>
      </c>
      <c r="L293" s="14">
        <f>K293/J293</f>
        <v/>
      </c>
      <c r="M293" s="15" t="e">
        <v>#N/A</v>
      </c>
      <c r="N293" s="14">
        <f>LEFT(I293,FIND("X",I293)-1)*RIGHT(I293,LEN(I293)-FIND("X",I293)-1)*M293</f>
        <v/>
      </c>
      <c r="O293" s="16">
        <f>(N293*L293)/1000</f>
        <v/>
      </c>
    </row>
    <row r="294" ht="15.75" customHeight="1" thickBot="1">
      <c r="A294" s="135" t="n"/>
      <c r="B294" s="135" t="n"/>
      <c r="C294" s="22" t="inlineStr">
        <is>
          <t>SVG</t>
        </is>
      </c>
      <c r="D294" s="23" t="inlineStr">
        <is>
          <t>-</t>
        </is>
      </c>
      <c r="E294" s="23" t="n">
        <v>22</v>
      </c>
      <c r="F294" s="29" t="inlineStr">
        <is>
          <t>Passiing</t>
        </is>
      </c>
      <c r="G294" s="29" t="inlineStr">
        <is>
          <t>MPR 12 SVG</t>
        </is>
      </c>
      <c r="H294" s="29" t="inlineStr">
        <is>
          <t>70 X 117</t>
        </is>
      </c>
      <c r="I294" s="29" t="inlineStr">
        <is>
          <t>23 X 25</t>
        </is>
      </c>
      <c r="J294" s="23" t="n">
        <v>35</v>
      </c>
      <c r="K294" s="151" t="n">
        <v>2000</v>
      </c>
      <c r="L294" s="25">
        <f>K294/J294</f>
        <v/>
      </c>
      <c r="M294" s="26" t="n">
        <v>0.4398148148148148</v>
      </c>
      <c r="N294" s="25">
        <f>LEFT(I294,FIND("X",I294)-1)*RIGHT(I294,LEN(I294)-FIND("X",I294)-1)*M294</f>
        <v/>
      </c>
      <c r="O294" s="27">
        <f>(N294*L294)/1000</f>
        <v/>
      </c>
    </row>
    <row r="295" ht="15" customHeight="1">
      <c r="A295" s="149" t="n"/>
      <c r="B295" s="150" t="inlineStr">
        <is>
          <t>RAD 10</t>
        </is>
      </c>
      <c r="C295" s="58" t="inlineStr">
        <is>
          <t>LVP</t>
        </is>
      </c>
      <c r="D295" s="29" t="inlineStr">
        <is>
          <t>Top</t>
        </is>
      </c>
      <c r="E295" s="29" t="n">
        <v>40</v>
      </c>
      <c r="F295" s="29" t="inlineStr">
        <is>
          <t>Single</t>
        </is>
      </c>
      <c r="G295" s="29" t="inlineStr">
        <is>
          <t>RAD 10 LVP</t>
        </is>
      </c>
      <c r="H295" s="29" t="inlineStr">
        <is>
          <t>42 X 66</t>
        </is>
      </c>
      <c r="I295" s="29" t="inlineStr">
        <is>
          <t>22 X 24</t>
        </is>
      </c>
      <c r="J295" s="29" t="n">
        <v>77</v>
      </c>
      <c r="K295" s="151" t="n">
        <v>5000</v>
      </c>
      <c r="L295" s="31">
        <f>K295/J295</f>
        <v/>
      </c>
      <c r="M295" s="32" t="n">
        <v>0.6977821913273751</v>
      </c>
      <c r="N295" s="31">
        <f>LEFT(I295,FIND("X",I295)-1)*RIGHT(I295,LEN(I295)-FIND("X",I295)-1)*M295</f>
        <v/>
      </c>
      <c r="O295" s="33">
        <f>(N295*L295)/1000</f>
        <v/>
      </c>
    </row>
    <row r="296" ht="15" customHeight="1">
      <c r="A296" s="133" t="n"/>
      <c r="B296" s="133" t="n"/>
      <c r="C296" s="59" t="n"/>
      <c r="D296" s="11" t="inlineStr">
        <is>
          <t>Bottom</t>
        </is>
      </c>
      <c r="E296" s="11" t="n">
        <v>40</v>
      </c>
      <c r="F296" s="29" t="inlineStr">
        <is>
          <t>Single</t>
        </is>
      </c>
      <c r="G296" s="29" t="inlineStr">
        <is>
          <t>RAD 10 LVP</t>
        </is>
      </c>
      <c r="H296" s="29" t="inlineStr">
        <is>
          <t>42 X 66</t>
        </is>
      </c>
      <c r="I296" s="29" t="inlineStr">
        <is>
          <t>22 X 24</t>
        </is>
      </c>
      <c r="J296" s="29" t="n">
        <v>77</v>
      </c>
      <c r="K296" s="114" t="n">
        <v>5000</v>
      </c>
      <c r="L296" s="14">
        <f>K296/J296</f>
        <v/>
      </c>
      <c r="M296" s="15" t="n">
        <v>0.6977821913273751</v>
      </c>
      <c r="N296" s="14">
        <f>LEFT(I296,FIND("X",I296)-1)*RIGHT(I296,LEN(I296)-FIND("X",I296)-1)*M296</f>
        <v/>
      </c>
      <c r="O296" s="16">
        <f>(N296*L296)/1000</f>
        <v/>
      </c>
    </row>
    <row r="297" ht="15.75" customHeight="1" thickBot="1">
      <c r="A297" s="135" t="n"/>
      <c r="B297" s="135" t="n"/>
      <c r="C297" s="22" t="inlineStr">
        <is>
          <t>SVG</t>
        </is>
      </c>
      <c r="D297" s="23" t="inlineStr">
        <is>
          <t>-</t>
        </is>
      </c>
      <c r="E297" s="23" t="n">
        <v>22</v>
      </c>
      <c r="F297" s="29" t="inlineStr">
        <is>
          <t>Single</t>
        </is>
      </c>
      <c r="G297" s="29" t="inlineStr">
        <is>
          <t>RAD 10 SVG</t>
        </is>
      </c>
      <c r="H297" s="29" t="inlineStr">
        <is>
          <t>52 X 77</t>
        </is>
      </c>
      <c r="I297" s="29" t="inlineStr">
        <is>
          <t>21 X 23</t>
        </is>
      </c>
      <c r="J297" s="23" t="n">
        <v>54</v>
      </c>
      <c r="K297" s="151" t="n">
        <v>5000</v>
      </c>
      <c r="L297" s="25">
        <f>K297/J297</f>
        <v/>
      </c>
      <c r="M297" s="26" t="n">
        <v>0.4398148148148148</v>
      </c>
      <c r="N297" s="25">
        <f>LEFT(I297,FIND("X",I297)-1)*RIGHT(I297,LEN(I297)-FIND("X",I297)-1)*M297</f>
        <v/>
      </c>
      <c r="O297" s="27">
        <f>(N297*L297)/1000</f>
        <v/>
      </c>
    </row>
    <row r="298" ht="15" customHeight="1">
      <c r="A298" s="149" t="n"/>
      <c r="B298" s="150" t="inlineStr">
        <is>
          <t>PN 0</t>
        </is>
      </c>
      <c r="C298" s="138" t="inlineStr">
        <is>
          <t>LVP</t>
        </is>
      </c>
      <c r="D298" s="29" t="inlineStr">
        <is>
          <t>Top</t>
        </is>
      </c>
      <c r="E298" s="29" t="n">
        <v>40</v>
      </c>
      <c r="F298" s="29" t="inlineStr">
        <is>
          <t>Passing</t>
        </is>
      </c>
      <c r="G298" s="29" t="inlineStr">
        <is>
          <t>HPP PN 0 LVP</t>
        </is>
      </c>
      <c r="H298" s="29" t="n">
        <v>38</v>
      </c>
      <c r="I298" s="29" t="inlineStr">
        <is>
          <t>15 X 18.5</t>
        </is>
      </c>
      <c r="J298" s="29" t="n">
        <v>105</v>
      </c>
      <c r="K298" s="114" t="n">
        <v>60000</v>
      </c>
      <c r="L298" s="31">
        <f>K298/J298</f>
        <v/>
      </c>
      <c r="M298" s="32" t="n">
        <v>0.6977821913273751</v>
      </c>
      <c r="N298" s="31">
        <f>LEFT(I298,FIND("X",I298)-1)*RIGHT(I298,LEN(I298)-FIND("X",I298)-1)*M298</f>
        <v/>
      </c>
      <c r="O298" s="33">
        <f>(N298*L298)/1000</f>
        <v/>
      </c>
    </row>
    <row r="299" ht="15" customHeight="1">
      <c r="A299" s="133" t="n"/>
      <c r="B299" s="133" t="n"/>
      <c r="C299" s="136" t="n"/>
      <c r="D299" s="11" t="inlineStr">
        <is>
          <t>Bottom</t>
        </is>
      </c>
      <c r="E299" s="11" t="n">
        <v>40</v>
      </c>
      <c r="F299" s="29" t="inlineStr">
        <is>
          <t>Passing</t>
        </is>
      </c>
      <c r="G299" s="29" t="inlineStr">
        <is>
          <t>HPP PN 0 LVP</t>
        </is>
      </c>
      <c r="H299" s="29" t="n">
        <v>38</v>
      </c>
      <c r="I299" s="29" t="inlineStr">
        <is>
          <t>15 X 18.5</t>
        </is>
      </c>
      <c r="J299" s="29" t="n">
        <v>105</v>
      </c>
      <c r="K299" s="34" t="n">
        <v>60000</v>
      </c>
      <c r="L299" s="14">
        <f>K299/J299</f>
        <v/>
      </c>
      <c r="M299" s="15" t="n">
        <v>0.6977821913273751</v>
      </c>
      <c r="N299" s="14">
        <f>LEFT(I299,FIND("X",I299)-1)*RIGHT(I299,LEN(I299)-FIND("X",I299)-1)*M299</f>
        <v/>
      </c>
      <c r="O299" s="16">
        <f>(N299*L299)/1000</f>
        <v/>
      </c>
    </row>
    <row r="300" ht="15.75" customHeight="1" thickBot="1">
      <c r="A300" s="135" t="n"/>
      <c r="B300" s="135" t="n"/>
      <c r="C300" s="22" t="inlineStr">
        <is>
          <t>SVG</t>
        </is>
      </c>
      <c r="D300" s="23" t="inlineStr">
        <is>
          <t>-</t>
        </is>
      </c>
      <c r="E300" s="23" t="n">
        <v>22</v>
      </c>
      <c r="F300" s="23" t="inlineStr">
        <is>
          <t>Passing</t>
        </is>
      </c>
      <c r="G300" s="23" t="inlineStr">
        <is>
          <t>HPP PN 0 SVG</t>
        </is>
      </c>
      <c r="H300" s="23" t="n">
        <v>48</v>
      </c>
      <c r="I300" s="23" t="inlineStr">
        <is>
          <t>24 X 24</t>
        </is>
      </c>
      <c r="J300" s="23" t="n">
        <v>100</v>
      </c>
      <c r="K300" s="115" t="n">
        <v>60000</v>
      </c>
      <c r="L300" s="25">
        <f>K300/J300</f>
        <v/>
      </c>
      <c r="M300" s="26" t="n">
        <v>0.4398148148148148</v>
      </c>
      <c r="N300" s="25">
        <f>LEFT(I300,FIND("X",I300)-1)*RIGHT(I300,LEN(I300)-FIND("X",I300)-1)*M300</f>
        <v/>
      </c>
      <c r="O300" s="27">
        <f>(N300*L300)/1000</f>
        <v/>
      </c>
    </row>
    <row r="301" ht="15" customHeight="1">
      <c r="A301" s="149" t="n"/>
      <c r="B301" s="150" t="inlineStr">
        <is>
          <t>PN 01</t>
        </is>
      </c>
      <c r="C301" s="138" t="inlineStr">
        <is>
          <t>LVP</t>
        </is>
      </c>
      <c r="D301" s="29" t="inlineStr">
        <is>
          <t>Top</t>
        </is>
      </c>
      <c r="E301" s="29" t="n">
        <v>40</v>
      </c>
      <c r="F301" s="29" t="inlineStr">
        <is>
          <t>Passing</t>
        </is>
      </c>
      <c r="G301" s="29" t="inlineStr">
        <is>
          <t xml:space="preserve">C2 SVG </t>
        </is>
      </c>
      <c r="H301" s="29" t="n">
        <v>56</v>
      </c>
      <c r="I301" s="29" t="inlineStr">
        <is>
          <t>17.5 X 24</t>
        </is>
      </c>
      <c r="J301" s="29" t="n">
        <v>72</v>
      </c>
      <c r="K301" s="114" t="n">
        <v>60000</v>
      </c>
      <c r="L301" s="31">
        <f>K301/J301</f>
        <v/>
      </c>
      <c r="M301" s="32" t="n">
        <v>0.6977821913273751</v>
      </c>
      <c r="N301" s="31">
        <f>LEFT(I301,FIND("X",I301)-1)*RIGHT(I301,LEN(I301)-FIND("X",I301)-1)*M301</f>
        <v/>
      </c>
      <c r="O301" s="33">
        <f>(N301*L301)/1000</f>
        <v/>
      </c>
    </row>
    <row r="302" ht="15" customHeight="1">
      <c r="A302" s="133" t="n"/>
      <c r="B302" s="133" t="n"/>
      <c r="C302" s="136" t="n"/>
      <c r="D302" s="11" t="inlineStr">
        <is>
          <t>Bottom</t>
        </is>
      </c>
      <c r="E302" s="11" t="n">
        <v>40</v>
      </c>
      <c r="F302" s="29" t="inlineStr">
        <is>
          <t>Passing</t>
        </is>
      </c>
      <c r="G302" s="29" t="inlineStr">
        <is>
          <t xml:space="preserve">C2 SVG </t>
        </is>
      </c>
      <c r="H302" s="29" t="n">
        <v>56</v>
      </c>
      <c r="I302" s="29" t="inlineStr">
        <is>
          <t>17.5 X 24</t>
        </is>
      </c>
      <c r="J302" s="29" t="n">
        <v>72</v>
      </c>
      <c r="K302" s="34" t="n">
        <v>60000</v>
      </c>
      <c r="L302" s="14">
        <f>K302/J302</f>
        <v/>
      </c>
      <c r="M302" s="15" t="n">
        <v>0.6977821913273751</v>
      </c>
      <c r="N302" s="14">
        <f>LEFT(I302,FIND("X",I302)-1)*RIGHT(I302,LEN(I302)-FIND("X",I302)-1)*M302</f>
        <v/>
      </c>
      <c r="O302" s="16">
        <f>(N302*L302)/1000</f>
        <v/>
      </c>
    </row>
    <row r="303" ht="15.75" customHeight="1" thickBot="1">
      <c r="A303" s="135" t="n"/>
      <c r="B303" s="135" t="n"/>
      <c r="C303" s="22" t="inlineStr">
        <is>
          <t>SVG</t>
        </is>
      </c>
      <c r="D303" s="23" t="inlineStr">
        <is>
          <t>-</t>
        </is>
      </c>
      <c r="E303" s="23" t="n">
        <v>22</v>
      </c>
      <c r="F303" s="23" t="inlineStr">
        <is>
          <t>Passing</t>
        </is>
      </c>
      <c r="G303" s="23" t="inlineStr">
        <is>
          <t>HPP PN 01 SVG</t>
        </is>
      </c>
      <c r="H303" s="23" t="n">
        <v>65</v>
      </c>
      <c r="I303" s="23" t="inlineStr">
        <is>
          <t>22 X 20.5</t>
        </is>
      </c>
      <c r="J303" s="23" t="n">
        <v>60</v>
      </c>
      <c r="K303" s="115" t="n">
        <v>60000</v>
      </c>
      <c r="L303" s="25">
        <f>K303/J303</f>
        <v/>
      </c>
      <c r="M303" s="26" t="n">
        <v>0.4398148148148148</v>
      </c>
      <c r="N303" s="25">
        <f>LEFT(I303,FIND("X",I303)-1)*RIGHT(I303,LEN(I303)-FIND("X",I303)-1)*M303</f>
        <v/>
      </c>
      <c r="O303" s="27">
        <f>(N303*L303)/1000</f>
        <v/>
      </c>
    </row>
    <row r="304" ht="15" customHeight="1">
      <c r="A304" s="149" t="n"/>
      <c r="B304" s="150" t="inlineStr">
        <is>
          <t>PN 02</t>
        </is>
      </c>
      <c r="C304" s="138" t="inlineStr">
        <is>
          <t>LVP</t>
        </is>
      </c>
      <c r="D304" s="29" t="inlineStr">
        <is>
          <t>Top</t>
        </is>
      </c>
      <c r="E304" s="29" t="n">
        <v>40</v>
      </c>
      <c r="F304" s="29" t="inlineStr">
        <is>
          <t>Passing</t>
        </is>
      </c>
      <c r="G304" s="29" t="inlineStr">
        <is>
          <t>HPP PN 02 LVP</t>
        </is>
      </c>
      <c r="H304" s="29" t="n">
        <v>73</v>
      </c>
      <c r="I304" s="29" t="inlineStr">
        <is>
          <t>24 X 24</t>
        </is>
      </c>
      <c r="J304" s="29" t="n">
        <v>49</v>
      </c>
      <c r="K304" s="114" t="n">
        <v>35000</v>
      </c>
      <c r="L304" s="31">
        <f>K304/J304</f>
        <v/>
      </c>
      <c r="M304" s="32" t="n">
        <v>0.6977821913273751</v>
      </c>
      <c r="N304" s="31">
        <f>LEFT(I304,FIND("X",I304)-1)*RIGHT(I304,LEN(I304)-FIND("X",I304)-1)*M304</f>
        <v/>
      </c>
      <c r="O304" s="33">
        <f>(N304*L304)/1000</f>
        <v/>
      </c>
    </row>
    <row r="305" ht="15" customHeight="1">
      <c r="A305" s="133" t="n"/>
      <c r="B305" s="133" t="n"/>
      <c r="C305" s="136" t="n"/>
      <c r="D305" s="11" t="inlineStr">
        <is>
          <t>Bottom</t>
        </is>
      </c>
      <c r="E305" s="11" t="n">
        <v>40</v>
      </c>
      <c r="F305" s="29" t="inlineStr">
        <is>
          <t>Passing</t>
        </is>
      </c>
      <c r="G305" s="29" t="inlineStr">
        <is>
          <t>HPP PN 02 LVP</t>
        </is>
      </c>
      <c r="H305" s="29" t="n">
        <v>73</v>
      </c>
      <c r="I305" s="29" t="inlineStr">
        <is>
          <t>24 X 24</t>
        </is>
      </c>
      <c r="J305" s="29" t="n">
        <v>49</v>
      </c>
      <c r="K305" s="34" t="n">
        <v>35000</v>
      </c>
      <c r="L305" s="14">
        <f>K305/J305</f>
        <v/>
      </c>
      <c r="M305" s="15" t="n">
        <v>0.6977821913273751</v>
      </c>
      <c r="N305" s="14">
        <f>LEFT(I305,FIND("X",I305)-1)*RIGHT(I305,LEN(I305)-FIND("X",I305)-1)*M305</f>
        <v/>
      </c>
      <c r="O305" s="16">
        <f>(N305*L305)/1000</f>
        <v/>
      </c>
    </row>
    <row r="306" ht="15.75" customHeight="1" thickBot="1">
      <c r="A306" s="135" t="n"/>
      <c r="B306" s="135" t="n"/>
      <c r="C306" s="22" t="inlineStr">
        <is>
          <t>SVG</t>
        </is>
      </c>
      <c r="D306" s="23" t="inlineStr">
        <is>
          <t>-</t>
        </is>
      </c>
      <c r="E306" s="23" t="n">
        <v>22</v>
      </c>
      <c r="F306" s="23" t="inlineStr">
        <is>
          <t>Passing</t>
        </is>
      </c>
      <c r="G306" s="23" t="inlineStr">
        <is>
          <t>HPP PN 02 SVG</t>
        </is>
      </c>
      <c r="H306" s="23" t="n">
        <v>83</v>
      </c>
      <c r="I306" s="23" t="inlineStr">
        <is>
          <t>23 X 23</t>
        </is>
      </c>
      <c r="J306" s="23" t="n">
        <v>36</v>
      </c>
      <c r="K306" s="115" t="n">
        <v>35000</v>
      </c>
      <c r="L306" s="25">
        <f>K306/J306</f>
        <v/>
      </c>
      <c r="M306" s="26" t="n">
        <v>0.4398148148148148</v>
      </c>
      <c r="N306" s="25">
        <f>LEFT(I306,FIND("X",I306)-1)*RIGHT(I306,LEN(I306)-FIND("X",I306)-1)*M306</f>
        <v/>
      </c>
      <c r="O306" s="27">
        <f>(N306*L306)/1000</f>
        <v/>
      </c>
    </row>
    <row r="307" ht="15" customHeight="1">
      <c r="A307" s="149" t="n"/>
      <c r="B307" s="150" t="inlineStr">
        <is>
          <t>Chemblue UP 2</t>
        </is>
      </c>
      <c r="C307" s="138" t="inlineStr">
        <is>
          <t>LVP</t>
        </is>
      </c>
      <c r="D307" s="29" t="inlineStr">
        <is>
          <t>Top</t>
        </is>
      </c>
      <c r="E307" s="29" t="n">
        <v>80</v>
      </c>
      <c r="F307" s="29" t="n"/>
      <c r="G307" s="29" t="inlineStr">
        <is>
          <t>Pang UP 2 LVP,
Chemblue UP 2</t>
        </is>
      </c>
      <c r="H307" s="29" t="inlineStr">
        <is>
          <t>43 X 43</t>
        </is>
      </c>
      <c r="I307" s="29" t="inlineStr">
        <is>
          <t>16 X 23.5</t>
        </is>
      </c>
      <c r="J307" s="29" t="n">
        <v>96</v>
      </c>
      <c r="K307" s="114" t="n">
        <v>4000</v>
      </c>
      <c r="L307" s="31">
        <f>K307/J307</f>
        <v/>
      </c>
      <c r="M307" s="32" t="n">
        <v>1.494824016563147</v>
      </c>
      <c r="N307" s="31">
        <f>LEFT(I307,FIND("X",I307)-1)*RIGHT(I307,LEN(I307)-FIND("X",I307)-1)*M307</f>
        <v/>
      </c>
      <c r="O307" s="33">
        <f>(N307*L307)/1000</f>
        <v/>
      </c>
    </row>
    <row r="308" ht="15" customHeight="1">
      <c r="A308" s="133" t="n"/>
      <c r="B308" s="133" t="n"/>
      <c r="C308" s="136" t="n"/>
      <c r="D308" s="11" t="inlineStr">
        <is>
          <t>-</t>
        </is>
      </c>
      <c r="E308" s="11" t="n"/>
      <c r="F308" s="29" t="n"/>
      <c r="G308" s="29" t="n"/>
      <c r="H308" s="29" t="n"/>
      <c r="I308" s="29" t="n"/>
      <c r="J308" s="29" t="n"/>
      <c r="K308" s="34" t="n"/>
      <c r="L308" s="14">
        <f>K308/J308</f>
        <v/>
      </c>
      <c r="M308" s="15" t="e">
        <v>#N/A</v>
      </c>
      <c r="N308" s="14">
        <f>LEFT(I308,FIND("X",I308)-1)*RIGHT(I308,LEN(I308)-FIND("X",I308)-1)*M308</f>
        <v/>
      </c>
      <c r="O308" s="16">
        <f>(N308*L308)/1000</f>
        <v/>
      </c>
    </row>
    <row r="309" ht="15.75" customHeight="1" thickBot="1">
      <c r="A309" s="135" t="n"/>
      <c r="B309" s="135" t="n"/>
      <c r="C309" s="22" t="inlineStr">
        <is>
          <t>SVG</t>
        </is>
      </c>
      <c r="D309" s="23" t="inlineStr">
        <is>
          <t>-</t>
        </is>
      </c>
      <c r="E309" s="23" t="n">
        <v>22</v>
      </c>
      <c r="F309" s="23" t="n"/>
      <c r="G309" s="23" t="inlineStr">
        <is>
          <t>Pang 1 SVG,
Chemblue UP 2 SVG
Chemblue UP 3 LVP</t>
        </is>
      </c>
      <c r="H309" s="23" t="inlineStr">
        <is>
          <t>53 X 53</t>
        </is>
      </c>
      <c r="I309" s="23" t="inlineStr">
        <is>
          <t>17 X 23.5</t>
        </is>
      </c>
      <c r="J309" s="23" t="n">
        <v>70</v>
      </c>
      <c r="K309" s="115" t="n">
        <v>4000</v>
      </c>
      <c r="L309" s="25">
        <f>K309/J309</f>
        <v/>
      </c>
      <c r="M309" s="26" t="n">
        <v>0.4398148148148148</v>
      </c>
      <c r="N309" s="25">
        <f>LEFT(I309,FIND("X",I309)-1)*RIGHT(I309,LEN(I309)-FIND("X",I309)-1)*M309</f>
        <v/>
      </c>
      <c r="O309" s="27">
        <f>(N309*L309)/1000</f>
        <v/>
      </c>
    </row>
    <row r="310" ht="17.25" customFormat="1" customHeight="1" s="17">
      <c r="A310" s="121" t="n">
        <v>2</v>
      </c>
      <c r="B310" s="21" t="inlineStr">
        <is>
          <t>CVR 10</t>
        </is>
      </c>
      <c r="C310" s="58" t="inlineStr">
        <is>
          <t>LVP</t>
        </is>
      </c>
      <c r="D310" s="29" t="inlineStr">
        <is>
          <t>Top</t>
        </is>
      </c>
      <c r="E310" s="29" t="n">
        <v>60</v>
      </c>
      <c r="F310" s="29" t="n"/>
      <c r="G310" s="29" t="inlineStr">
        <is>
          <t>MCX 10 LVP</t>
        </is>
      </c>
      <c r="H310" s="29" t="inlineStr">
        <is>
          <t>40 X 60</t>
        </is>
      </c>
      <c r="I310" s="29" t="inlineStr">
        <is>
          <t>18.5 X 24</t>
        </is>
      </c>
      <c r="J310" s="29" t="n">
        <v>90</v>
      </c>
      <c r="K310" s="114" t="n">
        <v>8000</v>
      </c>
      <c r="L310" s="31">
        <f>K310/J310</f>
        <v/>
      </c>
      <c r="M310" s="32" t="n">
        <v>1.103988603988604</v>
      </c>
      <c r="N310" s="31">
        <f>LEFT(I310,FIND("X",I310)-1)*RIGHT(I310,LEN(I310)-FIND("X",I310)-1)*M310</f>
        <v/>
      </c>
      <c r="O310" s="33">
        <f>(N310*L310)/1000</f>
        <v/>
      </c>
    </row>
    <row r="311" ht="17.25" customFormat="1" customHeight="1" s="17">
      <c r="A311" s="133" t="n"/>
      <c r="B311" s="133" t="n"/>
      <c r="C311" s="136" t="n"/>
      <c r="D311" s="11" t="inlineStr">
        <is>
          <t>Bottom</t>
        </is>
      </c>
      <c r="E311" s="11" t="n"/>
      <c r="F311" s="11" t="n"/>
      <c r="G311" s="11" t="n"/>
      <c r="H311" s="11" t="n"/>
      <c r="I311" s="11" t="n"/>
      <c r="J311" s="11" t="n"/>
      <c r="K311" s="34" t="n"/>
      <c r="L311" s="14">
        <f>K311/J311</f>
        <v/>
      </c>
      <c r="M311" s="15" t="e">
        <v>#N/A</v>
      </c>
      <c r="N311" s="14">
        <f>LEFT(I311,FIND("X",I311)-1)*RIGHT(I311,LEN(I311)-FIND("X",I311)-1)*M311</f>
        <v/>
      </c>
      <c r="O311" s="16">
        <f>(N311*L311)/1000</f>
        <v/>
      </c>
    </row>
    <row r="312" ht="17.25" customFormat="1" customHeight="1" s="17" thickBot="1">
      <c r="A312" s="135" t="n"/>
      <c r="B312" s="135" t="n"/>
      <c r="C312" s="22" t="inlineStr">
        <is>
          <t>SVG</t>
        </is>
      </c>
      <c r="D312" s="23" t="inlineStr">
        <is>
          <t>-</t>
        </is>
      </c>
      <c r="E312" s="23" t="n">
        <v>22</v>
      </c>
      <c r="F312" s="23" t="n"/>
      <c r="G312" s="23" t="inlineStr">
        <is>
          <t>MCX 10 SVG</t>
        </is>
      </c>
      <c r="H312" s="23" t="inlineStr">
        <is>
          <t>50 X 70</t>
        </is>
      </c>
      <c r="I312" s="23" t="inlineStr">
        <is>
          <t>18.5 X 25</t>
        </is>
      </c>
      <c r="J312" s="23" t="n">
        <v>66</v>
      </c>
      <c r="K312" s="114" t="n">
        <v>8000</v>
      </c>
      <c r="L312" s="25">
        <f>K312/J312</f>
        <v/>
      </c>
      <c r="M312" s="26" t="n">
        <v>0.4398148148148148</v>
      </c>
      <c r="N312" s="25">
        <f>LEFT(I312,FIND("X",I312)-1)*RIGHT(I312,LEN(I312)-FIND("X",I312)-1)*M312</f>
        <v/>
      </c>
      <c r="O312" s="27">
        <f>(N312*L312)/1000</f>
        <v/>
      </c>
    </row>
    <row r="313" ht="15" customHeight="1">
      <c r="A313" s="121" t="n">
        <v>3</v>
      </c>
      <c r="B313" s="21" t="inlineStr">
        <is>
          <t>CVR 12</t>
        </is>
      </c>
      <c r="C313" s="58" t="inlineStr">
        <is>
          <t>LVP</t>
        </is>
      </c>
      <c r="D313" s="29" t="inlineStr">
        <is>
          <t>Top</t>
        </is>
      </c>
      <c r="E313" s="29" t="n">
        <v>60</v>
      </c>
      <c r="F313" s="29" t="n"/>
      <c r="G313" s="29" t="inlineStr">
        <is>
          <t xml:space="preserve">MCX 12 LVP </t>
        </is>
      </c>
      <c r="H313" s="29" t="inlineStr">
        <is>
          <t>50 X 90</t>
        </is>
      </c>
      <c r="I313" s="29" t="inlineStr">
        <is>
          <t>18.5 X 23.5</t>
        </is>
      </c>
      <c r="J313" s="29" t="n">
        <v>48</v>
      </c>
      <c r="K313" s="114" t="n">
        <v>900</v>
      </c>
      <c r="L313" s="31">
        <f>K313/J313</f>
        <v/>
      </c>
      <c r="M313" s="32" t="n">
        <v>1.103988603988604</v>
      </c>
      <c r="N313" s="31">
        <f>LEFT(I313,FIND("X",I313)-1)*RIGHT(I313,LEN(I313)-FIND("X",I313)-1)*M313</f>
        <v/>
      </c>
      <c r="O313" s="33">
        <f>(N313*L313)/1000</f>
        <v/>
      </c>
    </row>
    <row r="314" ht="15" customHeight="1">
      <c r="A314" s="133" t="n"/>
      <c r="B314" s="133" t="n"/>
      <c r="C314" s="136" t="n"/>
      <c r="D314" s="11" t="inlineStr">
        <is>
          <t>Bottom</t>
        </is>
      </c>
      <c r="E314" s="11" t="n"/>
      <c r="F314" s="11" t="n"/>
      <c r="G314" s="11" t="n"/>
      <c r="H314" s="11" t="n"/>
      <c r="I314" s="11" t="n"/>
      <c r="J314" s="11" t="n"/>
      <c r="K314" s="34" t="n"/>
      <c r="L314" s="14">
        <f>K314/J314</f>
        <v/>
      </c>
      <c r="M314" s="15" t="e">
        <v>#N/A</v>
      </c>
      <c r="N314" s="14">
        <f>LEFT(I314,FIND("X",I314)-1)*RIGHT(I314,LEN(I314)-FIND("X",I314)-1)*M314</f>
        <v/>
      </c>
      <c r="O314" s="16">
        <f>(N314*L314)/1000</f>
        <v/>
      </c>
    </row>
    <row r="315" ht="15.75" customHeight="1" thickBot="1">
      <c r="A315" s="135" t="n"/>
      <c r="B315" s="135" t="n"/>
      <c r="C315" s="22" t="inlineStr">
        <is>
          <t>SVG</t>
        </is>
      </c>
      <c r="D315" s="23" t="inlineStr">
        <is>
          <t>-</t>
        </is>
      </c>
      <c r="E315" s="23" t="n">
        <v>22</v>
      </c>
      <c r="F315" s="23" t="n"/>
      <c r="G315" s="23" t="inlineStr">
        <is>
          <t>MCX 12 SVG</t>
        </is>
      </c>
      <c r="H315" s="23" t="inlineStr">
        <is>
          <t>61 X 101</t>
        </is>
      </c>
      <c r="I315" s="23" t="inlineStr">
        <is>
          <t>19 X 21.5</t>
        </is>
      </c>
      <c r="J315" s="23" t="n">
        <v>35</v>
      </c>
      <c r="K315" s="115" t="n">
        <v>900</v>
      </c>
      <c r="L315" s="25">
        <f>K315/J315</f>
        <v/>
      </c>
      <c r="M315" s="26" t="n">
        <v>0.4398148148148148</v>
      </c>
      <c r="N315" s="25">
        <f>LEFT(I315,FIND("X",I315)-1)*RIGHT(I315,LEN(I315)-FIND("X",I315)-1)*M315</f>
        <v/>
      </c>
      <c r="O315" s="27">
        <f>(N315*L315)/1000</f>
        <v/>
      </c>
    </row>
    <row r="316" ht="15" customHeight="1">
      <c r="A316" s="137" t="n">
        <v>4</v>
      </c>
      <c r="B316" s="21" t="inlineStr">
        <is>
          <t>CVR 14</t>
        </is>
      </c>
      <c r="C316" s="138" t="inlineStr">
        <is>
          <t>LVP</t>
        </is>
      </c>
      <c r="D316" s="29" t="inlineStr">
        <is>
          <t>Top</t>
        </is>
      </c>
      <c r="E316" s="29" t="n">
        <v>60</v>
      </c>
      <c r="F316" s="37" t="n"/>
      <c r="G316" s="29" t="inlineStr">
        <is>
          <t>MCX 14 LVP</t>
        </is>
      </c>
      <c r="H316" s="29" t="inlineStr">
        <is>
          <t>60 X 114</t>
        </is>
      </c>
      <c r="I316" s="29" t="inlineStr">
        <is>
          <t>19 X 24.5</t>
        </is>
      </c>
      <c r="J316" s="29" t="n">
        <v>35</v>
      </c>
      <c r="K316" s="114" t="n">
        <v>1400</v>
      </c>
      <c r="L316" s="31">
        <f>K316/J316</f>
        <v/>
      </c>
      <c r="M316" s="32" t="n">
        <v>1.103988603988604</v>
      </c>
      <c r="N316" s="31">
        <f>LEFT(I316,FIND("X",I316)-1)*RIGHT(I316,LEN(I316)-FIND("X",I316)-1)*M316</f>
        <v/>
      </c>
      <c r="O316" s="33">
        <f>(N316*L316)/1000</f>
        <v/>
      </c>
    </row>
    <row r="317" ht="15" customHeight="1">
      <c r="A317" s="133" t="n"/>
      <c r="B317" s="133" t="n"/>
      <c r="C317" s="136" t="n"/>
      <c r="D317" s="11" t="inlineStr">
        <is>
          <t>Bottom</t>
        </is>
      </c>
      <c r="E317" s="11" t="n"/>
      <c r="F317" s="29" t="n"/>
      <c r="G317" s="11" t="n"/>
      <c r="H317" s="11" t="n"/>
      <c r="I317" s="11" t="n"/>
      <c r="J317" s="11" t="n"/>
      <c r="K317" s="34" t="n"/>
      <c r="L317" s="14">
        <f>K317/J317</f>
        <v/>
      </c>
      <c r="M317" s="15" t="e">
        <v>#N/A</v>
      </c>
      <c r="N317" s="14">
        <f>LEFT(I317,FIND("X",I317)-1)*RIGHT(I317,LEN(I317)-FIND("X",I317)-1)*M317</f>
        <v/>
      </c>
      <c r="O317" s="16">
        <f>(N317*L317)/1000</f>
        <v/>
      </c>
    </row>
    <row r="318" ht="15.75" customHeight="1" thickBot="1">
      <c r="A318" s="135" t="n"/>
      <c r="B318" s="135" t="n"/>
      <c r="C318" s="22" t="inlineStr">
        <is>
          <t>SVG</t>
        </is>
      </c>
      <c r="D318" s="23" t="inlineStr">
        <is>
          <t>-</t>
        </is>
      </c>
      <c r="E318" s="23" t="n">
        <v>22</v>
      </c>
      <c r="F318" s="23" t="n"/>
      <c r="G318" s="23" t="inlineStr">
        <is>
          <t>MCX 14 SVG</t>
        </is>
      </c>
      <c r="H318" s="23" t="inlineStr">
        <is>
          <t>70 X 125</t>
        </is>
      </c>
      <c r="I318" s="23" t="inlineStr">
        <is>
          <t>21.5 X 24.5</t>
        </is>
      </c>
      <c r="J318" s="23" t="n">
        <v>32</v>
      </c>
      <c r="K318" s="115" t="n">
        <v>1400</v>
      </c>
      <c r="L318" s="25">
        <f>K318/J318</f>
        <v/>
      </c>
      <c r="M318" s="26" t="n">
        <v>0.4398148148148148</v>
      </c>
      <c r="N318" s="25">
        <f>LEFT(I318,FIND("X",I318)-1)*RIGHT(I318,LEN(I318)-FIND("X",I318)-1)*M318</f>
        <v/>
      </c>
      <c r="O318" s="27">
        <f>(N318*L318)/1000</f>
        <v/>
      </c>
    </row>
    <row r="319" ht="15" customHeight="1">
      <c r="A319" s="139" t="n">
        <v>16</v>
      </c>
      <c r="B319" s="140" t="inlineStr">
        <is>
          <t>CVR 44</t>
        </is>
      </c>
      <c r="C319" s="138" t="inlineStr">
        <is>
          <t>LVP</t>
        </is>
      </c>
      <c r="D319" s="29" t="inlineStr">
        <is>
          <t>Top</t>
        </is>
      </c>
      <c r="E319" s="29" t="n">
        <v>60</v>
      </c>
      <c r="F319" s="29" t="n"/>
      <c r="G319" s="29" t="inlineStr">
        <is>
          <t>MCX 44 TOP LVP</t>
        </is>
      </c>
      <c r="H319" s="29" t="inlineStr">
        <is>
          <t>100 X 308</t>
        </is>
      </c>
      <c r="I319" s="29" t="inlineStr">
        <is>
          <t>18 X 25</t>
        </is>
      </c>
      <c r="J319" s="29" t="n">
        <v>8</v>
      </c>
      <c r="K319" s="114" t="n">
        <v>125</v>
      </c>
      <c r="L319" s="31">
        <f>K319/J319</f>
        <v/>
      </c>
      <c r="M319" s="32" t="n">
        <v>1.103988603988604</v>
      </c>
      <c r="N319" s="31">
        <f>LEFT(I319,FIND("X",I319)-1)*RIGHT(I319,LEN(I319)-FIND("X",I319)-1)*M319</f>
        <v/>
      </c>
      <c r="O319" s="33">
        <f>(N319*L319)/1000</f>
        <v/>
      </c>
    </row>
    <row r="320" ht="15" customHeight="1">
      <c r="A320" s="133" t="n"/>
      <c r="B320" s="133" t="n"/>
      <c r="C320" s="136" t="n"/>
      <c r="D320" s="11" t="inlineStr">
        <is>
          <t>Bottom</t>
        </is>
      </c>
      <c r="E320" s="11" t="n">
        <v>40</v>
      </c>
      <c r="F320" s="11" t="n"/>
      <c r="G320" s="11" t="inlineStr">
        <is>
          <t>MCX 44 BOT LVP</t>
        </is>
      </c>
      <c r="H320" s="11" t="inlineStr">
        <is>
          <t>110 X 320</t>
        </is>
      </c>
      <c r="I320" s="11" t="inlineStr">
        <is>
          <t>24 X 26</t>
        </is>
      </c>
      <c r="J320" s="11" t="n">
        <v>10</v>
      </c>
      <c r="K320" s="34" t="n">
        <v>125</v>
      </c>
      <c r="L320" s="14">
        <f>K320/J320</f>
        <v/>
      </c>
      <c r="M320" s="15" t="n">
        <v>0.6977821913273751</v>
      </c>
      <c r="N320" s="14">
        <f>LEFT(I320,FIND("X",I320)-1)*RIGHT(I320,LEN(I320)-FIND("X",I320)-1)*M320</f>
        <v/>
      </c>
      <c r="O320" s="16">
        <f>(N320*L320)/1000</f>
        <v/>
      </c>
    </row>
    <row r="321" ht="15.75" customHeight="1" thickBot="1">
      <c r="A321" s="135" t="n"/>
      <c r="B321" s="135" t="n"/>
      <c r="C321" s="22" t="inlineStr">
        <is>
          <t>SVG</t>
        </is>
      </c>
      <c r="D321" s="23" t="inlineStr">
        <is>
          <t>-</t>
        </is>
      </c>
      <c r="E321" s="23" t="n">
        <v>22</v>
      </c>
      <c r="F321" s="23" t="n"/>
      <c r="G321" s="23" t="inlineStr">
        <is>
          <t>MCX 44 SVG</t>
        </is>
      </c>
      <c r="H321" s="23" t="inlineStr">
        <is>
          <t>125 X 338</t>
        </is>
      </c>
      <c r="I321" s="23" t="inlineStr">
        <is>
          <t>14 X 22</t>
        </is>
      </c>
      <c r="J321" s="23" t="n">
        <v>4</v>
      </c>
      <c r="K321" s="115" t="n">
        <v>125</v>
      </c>
      <c r="L321" s="25">
        <f>K321/J321</f>
        <v/>
      </c>
      <c r="M321" s="26" t="n">
        <v>0.4398148148148148</v>
      </c>
      <c r="N321" s="25">
        <f>LEFT(I321,FIND("X",I321)-1)*RIGHT(I321,LEN(I321)-FIND("X",I321)-1)*M321</f>
        <v/>
      </c>
      <c r="O321" s="27">
        <f>(N321*L321)/1000</f>
        <v/>
      </c>
    </row>
    <row r="322" ht="15" customHeight="1">
      <c r="A322" s="139" t="n">
        <v>16</v>
      </c>
      <c r="B322" s="140" t="inlineStr">
        <is>
          <t>C1 / BR 1</t>
        </is>
      </c>
      <c r="C322" s="138" t="inlineStr">
        <is>
          <t>LVP</t>
        </is>
      </c>
      <c r="D322" s="29" t="inlineStr">
        <is>
          <t>Top</t>
        </is>
      </c>
      <c r="E322" s="29" t="n">
        <v>40</v>
      </c>
      <c r="F322" s="29" t="n"/>
      <c r="G322" s="29" t="inlineStr">
        <is>
          <t>PRC RSR New,
T 30 LVP,
C 1 (Sq on Fabric + LVP)</t>
        </is>
      </c>
      <c r="H322" s="29" t="n">
        <v>31</v>
      </c>
      <c r="I322" s="29" t="inlineStr">
        <is>
          <t>16.5 X 21</t>
        </is>
      </c>
      <c r="J322" s="29" t="n">
        <v>189</v>
      </c>
      <c r="K322" s="114" t="n">
        <v>18360</v>
      </c>
      <c r="L322" s="31">
        <f>K322/J322</f>
        <v/>
      </c>
      <c r="M322" s="32" t="n">
        <v>0.6977821913273751</v>
      </c>
      <c r="N322" s="31">
        <f>LEFT(I322,FIND("X",I322)-1)*RIGHT(I322,LEN(I322)-FIND("X",I322)-1)*M322</f>
        <v/>
      </c>
      <c r="O322" s="33">
        <f>(N322*L322)/1000</f>
        <v/>
      </c>
    </row>
    <row r="323" ht="15" customHeight="1">
      <c r="A323" s="133" t="n"/>
      <c r="B323" s="133" t="n"/>
      <c r="C323" s="136" t="n"/>
      <c r="D323" s="11" t="n"/>
      <c r="E323" s="11" t="n"/>
      <c r="F323" s="11" t="n"/>
      <c r="G323" s="11" t="n"/>
      <c r="H323" s="11" t="n"/>
      <c r="I323" s="11" t="n"/>
      <c r="J323" s="11" t="n"/>
      <c r="K323" s="34" t="n"/>
      <c r="L323" s="14">
        <f>K323/J323</f>
        <v/>
      </c>
      <c r="M323" s="15" t="e">
        <v>#N/A</v>
      </c>
      <c r="N323" s="14">
        <f>LEFT(I323,FIND("X",I323)-1)*RIGHT(I323,LEN(I323)-FIND("X",I323)-1)*M323</f>
        <v/>
      </c>
      <c r="O323" s="16">
        <f>(N323*L323)/1000</f>
        <v/>
      </c>
    </row>
    <row r="324" ht="15.75" customHeight="1" thickBot="1">
      <c r="A324" s="135" t="n"/>
      <c r="B324" s="135" t="n"/>
      <c r="C324" s="22" t="inlineStr">
        <is>
          <t>SVG</t>
        </is>
      </c>
      <c r="D324" s="23" t="inlineStr">
        <is>
          <t>-</t>
        </is>
      </c>
      <c r="E324" s="23" t="n">
        <v>22</v>
      </c>
      <c r="F324" s="23" t="n"/>
      <c r="G324" s="23" t="inlineStr">
        <is>
          <t>C 1 SVG</t>
        </is>
      </c>
      <c r="H324" s="23" t="n">
        <v>38</v>
      </c>
      <c r="I324" s="23" t="inlineStr">
        <is>
          <t>15 X 18.5</t>
        </is>
      </c>
      <c r="J324" s="23" t="n">
        <v>105</v>
      </c>
      <c r="K324" s="114" t="n">
        <v>18360</v>
      </c>
      <c r="L324" s="25">
        <f>K324/J324</f>
        <v/>
      </c>
      <c r="M324" s="26" t="n">
        <v>0.4398148148148148</v>
      </c>
      <c r="N324" s="25">
        <f>LEFT(I324,FIND("X",I324)-1)*RIGHT(I324,LEN(I324)-FIND("X",I324)-1)*M324</f>
        <v/>
      </c>
      <c r="O324" s="27">
        <f>(N324*L324)/1000</f>
        <v/>
      </c>
    </row>
    <row r="325" ht="15" customHeight="1">
      <c r="A325" s="139" t="n">
        <v>16</v>
      </c>
      <c r="B325" s="140" t="inlineStr">
        <is>
          <t>C1 / BR 2</t>
        </is>
      </c>
      <c r="C325" s="138" t="inlineStr">
        <is>
          <t>LVP</t>
        </is>
      </c>
      <c r="D325" s="29" t="inlineStr">
        <is>
          <t>Top</t>
        </is>
      </c>
      <c r="E325" s="29" t="n">
        <v>40</v>
      </c>
      <c r="F325" s="29" t="n"/>
      <c r="G325" s="29" t="inlineStr">
        <is>
          <t>PRC RMR New,
 T 31 LVP</t>
        </is>
      </c>
      <c r="H325" s="29" t="n">
        <v>44</v>
      </c>
      <c r="I325" s="29" t="inlineStr">
        <is>
          <t>16.5 X 20</t>
        </is>
      </c>
      <c r="J325" s="29" t="n">
        <v>96</v>
      </c>
      <c r="K325" s="114" t="n">
        <v>31000</v>
      </c>
      <c r="L325" s="31">
        <f>K325/J325</f>
        <v/>
      </c>
      <c r="M325" s="32" t="n">
        <v>0.6977821913273751</v>
      </c>
      <c r="N325" s="31">
        <f>LEFT(I325,FIND("X",I325)-1)*RIGHT(I325,LEN(I325)-FIND("X",I325)-1)*M325</f>
        <v/>
      </c>
      <c r="O325" s="33">
        <f>(N325*L325)/1000</f>
        <v/>
      </c>
    </row>
    <row r="326" ht="15" customHeight="1">
      <c r="A326" s="133" t="n"/>
      <c r="B326" s="133" t="n"/>
      <c r="C326" s="136" t="n"/>
      <c r="D326" s="11" t="n"/>
      <c r="E326" s="11" t="n"/>
      <c r="F326" s="11" t="n"/>
      <c r="G326" s="11" t="n"/>
      <c r="H326" s="11" t="n"/>
      <c r="I326" s="11" t="n"/>
      <c r="J326" s="11" t="n"/>
      <c r="K326" s="34" t="n"/>
      <c r="L326" s="14">
        <f>K326/J326</f>
        <v/>
      </c>
      <c r="M326" s="15" t="e">
        <v>#N/A</v>
      </c>
      <c r="N326" s="14">
        <f>LEFT(I326,FIND("X",I326)-1)*RIGHT(I326,LEN(I326)-FIND("X",I326)-1)*M326</f>
        <v/>
      </c>
      <c r="O326" s="16">
        <f>(N326*L326)/1000</f>
        <v/>
      </c>
    </row>
    <row r="327" ht="15.75" customHeight="1" thickBot="1">
      <c r="A327" s="135" t="n"/>
      <c r="B327" s="135" t="n"/>
      <c r="C327" s="22" t="inlineStr">
        <is>
          <t>SVG</t>
        </is>
      </c>
      <c r="D327" s="23" t="inlineStr">
        <is>
          <t>-</t>
        </is>
      </c>
      <c r="E327" s="23" t="n">
        <v>22</v>
      </c>
      <c r="F327" s="23" t="n"/>
      <c r="G327" s="23" t="inlineStr">
        <is>
          <t xml:space="preserve">C2 SVG </t>
        </is>
      </c>
      <c r="H327" s="23" t="n">
        <v>56</v>
      </c>
      <c r="I327" s="23" t="inlineStr">
        <is>
          <t>17.5 X 24</t>
        </is>
      </c>
      <c r="J327" s="23" t="n">
        <v>105</v>
      </c>
      <c r="K327" s="114" t="n">
        <v>4320</v>
      </c>
      <c r="L327" s="25">
        <f>K327/J327</f>
        <v/>
      </c>
      <c r="M327" s="26" t="n">
        <v>0.4398148148148148</v>
      </c>
      <c r="N327" s="25">
        <f>LEFT(I327,FIND("X",I327)-1)*RIGHT(I327,LEN(I327)-FIND("X",I327)-1)*M327</f>
        <v/>
      </c>
      <c r="O327" s="27">
        <f>(N327*L327)/1000</f>
        <v/>
      </c>
    </row>
    <row r="328" ht="15" customHeight="1">
      <c r="A328" s="139" t="n">
        <v>16</v>
      </c>
      <c r="B328" s="140" t="inlineStr">
        <is>
          <t>CKHD 3</t>
        </is>
      </c>
      <c r="C328" s="138" t="inlineStr">
        <is>
          <t>LVP</t>
        </is>
      </c>
      <c r="D328" s="29" t="inlineStr">
        <is>
          <t>Top</t>
        </is>
      </c>
      <c r="E328" s="29" t="n">
        <v>75</v>
      </c>
      <c r="F328" s="29" t="inlineStr">
        <is>
          <t>Single</t>
        </is>
      </c>
      <c r="G328" s="29" t="inlineStr">
        <is>
          <t>CKHD 3 LVP</t>
        </is>
      </c>
      <c r="H328" s="29" t="inlineStr">
        <is>
          <t>84 X 84</t>
        </is>
      </c>
      <c r="I328" s="29" t="inlineStr">
        <is>
          <t>23 X 23</t>
        </is>
      </c>
      <c r="J328" s="29" t="n">
        <v>36</v>
      </c>
      <c r="K328" s="114" t="n">
        <v>1000</v>
      </c>
      <c r="L328" s="31">
        <f>K328/J328</f>
        <v/>
      </c>
      <c r="M328" s="32" t="n">
        <v>1.433962264150943</v>
      </c>
      <c r="N328" s="31">
        <f>LEFT(I328,FIND("X",I328)-1)*RIGHT(I328,LEN(I328)-FIND("X",I328)-1)*M328</f>
        <v/>
      </c>
      <c r="O328" s="33">
        <f>(N328*L328)/1000</f>
        <v/>
      </c>
    </row>
    <row r="329" ht="15" customHeight="1">
      <c r="A329" s="133" t="n"/>
      <c r="B329" s="133" t="n"/>
      <c r="C329" s="136" t="n"/>
      <c r="D329" s="11" t="n"/>
      <c r="E329" s="11" t="n"/>
      <c r="F329" s="11" t="n"/>
      <c r="G329" s="11" t="n"/>
      <c r="H329" s="11" t="n"/>
      <c r="I329" s="11" t="n"/>
      <c r="J329" s="11" t="n"/>
      <c r="K329" s="34" t="n"/>
      <c r="L329" s="14">
        <f>K329/J329</f>
        <v/>
      </c>
      <c r="M329" s="15" t="e">
        <v>#N/A</v>
      </c>
      <c r="N329" s="14">
        <f>LEFT(I329,FIND("X",I329)-1)*RIGHT(I329,LEN(I329)-FIND("X",I329)-1)*M329</f>
        <v/>
      </c>
      <c r="O329" s="16">
        <f>(N329*L329)/1000</f>
        <v/>
      </c>
    </row>
    <row r="330" ht="15.75" customHeight="1" thickBot="1">
      <c r="A330" s="135" t="n"/>
      <c r="B330" s="135" t="n"/>
      <c r="C330" s="22" t="inlineStr">
        <is>
          <t>SVG</t>
        </is>
      </c>
      <c r="D330" s="23" t="inlineStr">
        <is>
          <t>-</t>
        </is>
      </c>
      <c r="E330" s="23" t="n">
        <v>22</v>
      </c>
      <c r="F330" s="23" t="inlineStr">
        <is>
          <t>Single</t>
        </is>
      </c>
      <c r="G330" s="23" t="inlineStr">
        <is>
          <t>CKHD 3 SVG</t>
        </is>
      </c>
      <c r="H330" s="23" t="inlineStr">
        <is>
          <t>95 X 95</t>
        </is>
      </c>
      <c r="I330" s="23" t="inlineStr">
        <is>
          <t xml:space="preserve">21 X 21 </t>
        </is>
      </c>
      <c r="J330" s="23" t="n">
        <v>25</v>
      </c>
      <c r="K330" s="114" t="n">
        <v>1000</v>
      </c>
      <c r="L330" s="25">
        <f>K330/J330</f>
        <v/>
      </c>
      <c r="M330" s="26" t="n">
        <v>0.4398148148148148</v>
      </c>
      <c r="N330" s="25">
        <f>LEFT(I330,FIND("X",I330)-1)*RIGHT(I330,LEN(I330)-FIND("X",I330)-1)*M330</f>
        <v/>
      </c>
      <c r="O330" s="27">
        <f>(N330*L330)/1000</f>
        <v/>
      </c>
    </row>
    <row r="331" ht="15" customHeight="1">
      <c r="A331" s="137" t="n">
        <v>4</v>
      </c>
      <c r="B331" s="21" t="inlineStr">
        <is>
          <t>CX 14</t>
        </is>
      </c>
      <c r="C331" s="138" t="inlineStr">
        <is>
          <t>LVP</t>
        </is>
      </c>
      <c r="D331" s="29" t="inlineStr">
        <is>
          <t>Top</t>
        </is>
      </c>
      <c r="E331" s="29" t="n">
        <v>60</v>
      </c>
      <c r="F331" s="37" t="n"/>
      <c r="G331" s="29" t="inlineStr">
        <is>
          <t>MPR 14 LVP</t>
        </is>
      </c>
      <c r="H331" s="29" t="inlineStr">
        <is>
          <t>75 X 115</t>
        </is>
      </c>
      <c r="I331" s="29" t="inlineStr">
        <is>
          <t>20 X 21</t>
        </is>
      </c>
      <c r="J331" s="29" t="n">
        <v>24</v>
      </c>
      <c r="K331" s="114" t="n">
        <v>1050</v>
      </c>
      <c r="L331" s="31">
        <f>K331/J331</f>
        <v/>
      </c>
      <c r="M331" s="32" t="n">
        <v>1.103988603988604</v>
      </c>
      <c r="N331" s="31">
        <f>LEFT(I331,FIND("X",I331)-1)*RIGHT(I331,LEN(I331)-FIND("X",I331)-1)*M331</f>
        <v/>
      </c>
      <c r="O331" s="33">
        <f>(N331*L331)/1000</f>
        <v/>
      </c>
    </row>
    <row r="332" ht="15" customHeight="1">
      <c r="A332" s="133" t="n"/>
      <c r="B332" s="133" t="n"/>
      <c r="C332" s="136" t="n"/>
      <c r="D332" s="11" t="inlineStr">
        <is>
          <t>Bottom</t>
        </is>
      </c>
      <c r="E332" s="11" t="n"/>
      <c r="F332" s="29" t="n"/>
      <c r="G332" s="11" t="n"/>
      <c r="H332" s="11" t="n"/>
      <c r="I332" s="11" t="n"/>
      <c r="J332" s="11" t="n"/>
      <c r="K332" s="34" t="n">
        <v>1050</v>
      </c>
      <c r="L332" s="14">
        <f>K332/J332</f>
        <v/>
      </c>
      <c r="M332" s="15" t="e">
        <v>#N/A</v>
      </c>
      <c r="N332" s="14">
        <f>LEFT(I332,FIND("X",I332)-1)*RIGHT(I332,LEN(I332)-FIND("X",I332)-1)*M332</f>
        <v/>
      </c>
      <c r="O332" s="16">
        <f>(N332*L332)/1000</f>
        <v/>
      </c>
    </row>
    <row r="333" ht="15.75" customHeight="1" thickBot="1">
      <c r="A333" s="135" t="n"/>
      <c r="B333" s="135" t="n"/>
      <c r="C333" s="22" t="inlineStr">
        <is>
          <t>SVG</t>
        </is>
      </c>
      <c r="D333" s="23" t="inlineStr">
        <is>
          <t>-</t>
        </is>
      </c>
      <c r="E333" s="23" t="n">
        <v>22</v>
      </c>
      <c r="F333" s="23" t="n"/>
      <c r="G333" s="11" t="inlineStr">
        <is>
          <t>MPR 14 SVG</t>
        </is>
      </c>
      <c r="H333" s="11" t="inlineStr">
        <is>
          <t>87 X 127</t>
        </is>
      </c>
      <c r="I333" s="23" t="inlineStr">
        <is>
          <t>22 X 24</t>
        </is>
      </c>
      <c r="J333" s="23" t="n">
        <v>24</v>
      </c>
      <c r="K333" s="115" t="n">
        <v>1050</v>
      </c>
      <c r="L333" s="25">
        <f>K333/J333</f>
        <v/>
      </c>
      <c r="M333" s="26" t="n">
        <v>0.4398148148148148</v>
      </c>
      <c r="N333" s="25">
        <f>LEFT(I333,FIND("X",I333)-1)*RIGHT(I333,LEN(I333)-FIND("X",I333)-1)*M333</f>
        <v/>
      </c>
      <c r="O333" s="27">
        <f>(N333*L333)/1000</f>
        <v/>
      </c>
    </row>
    <row r="334" ht="15.75" customHeight="1" thickBot="1">
      <c r="A334" s="137" t="n">
        <v>4</v>
      </c>
      <c r="B334" s="21" t="inlineStr">
        <is>
          <t>CKHD 6</t>
        </is>
      </c>
      <c r="C334" s="138" t="inlineStr">
        <is>
          <t>LVP</t>
        </is>
      </c>
      <c r="D334" s="29" t="inlineStr">
        <is>
          <t>Top</t>
        </is>
      </c>
      <c r="E334" s="29" t="n">
        <v>60</v>
      </c>
      <c r="F334" s="37" t="inlineStr">
        <is>
          <t>Single</t>
        </is>
      </c>
      <c r="G334" s="29" t="inlineStr">
        <is>
          <t>CKHD 6 LVP,
HK 6 LVP</t>
        </is>
      </c>
      <c r="H334" s="29" t="inlineStr">
        <is>
          <t>217 X 217</t>
        </is>
      </c>
      <c r="I334" s="29" t="inlineStr">
        <is>
          <t>18 X 18</t>
        </is>
      </c>
      <c r="J334" s="29" t="n">
        <v>4</v>
      </c>
      <c r="K334" s="114" t="n">
        <v>250</v>
      </c>
      <c r="L334" s="31">
        <f>K334/J334</f>
        <v/>
      </c>
      <c r="M334" s="32" t="n">
        <v>1.103988603988604</v>
      </c>
      <c r="N334" s="31">
        <f>LEFT(I334,FIND("X",I334)-1)*RIGHT(I334,LEN(I334)-FIND("X",I334)-1)*M334</f>
        <v/>
      </c>
      <c r="O334" s="33">
        <f>(N334*L334)/1000</f>
        <v/>
      </c>
    </row>
    <row r="335" ht="15.75" customHeight="1" thickBot="1">
      <c r="A335" s="133" t="n"/>
      <c r="B335" s="133" t="n"/>
      <c r="C335" s="136" t="n"/>
      <c r="D335" s="11" t="inlineStr">
        <is>
          <t>Bottom</t>
        </is>
      </c>
      <c r="E335" s="11" t="n">
        <v>40</v>
      </c>
      <c r="F335" s="37" t="inlineStr">
        <is>
          <t>Single</t>
        </is>
      </c>
      <c r="G335" s="29" t="inlineStr">
        <is>
          <t>CKHD 6 LVP,
HK 6 LVP</t>
        </is>
      </c>
      <c r="H335" s="29" t="inlineStr">
        <is>
          <t>217 X 217</t>
        </is>
      </c>
      <c r="I335" s="29" t="inlineStr">
        <is>
          <t>18 X 18</t>
        </is>
      </c>
      <c r="J335" s="29" t="n">
        <v>4</v>
      </c>
      <c r="K335" s="34" t="n">
        <v>250</v>
      </c>
      <c r="L335" s="14">
        <f>K335/J335</f>
        <v/>
      </c>
      <c r="M335" s="15" t="n">
        <v>0.6977821913273751</v>
      </c>
      <c r="N335" s="14">
        <f>LEFT(I335,FIND("X",I335)-1)*RIGHT(I335,LEN(I335)-FIND("X",I335)-1)*M335</f>
        <v/>
      </c>
      <c r="O335" s="16">
        <f>(N335*L335)/1000</f>
        <v/>
      </c>
    </row>
    <row r="336" ht="15.75" customHeight="1" thickBot="1">
      <c r="A336" s="135" t="n"/>
      <c r="B336" s="135" t="n"/>
      <c r="C336" s="22" t="inlineStr">
        <is>
          <t>SVG</t>
        </is>
      </c>
      <c r="D336" s="23" t="inlineStr">
        <is>
          <t>-</t>
        </is>
      </c>
      <c r="E336" s="23" t="n">
        <v>22</v>
      </c>
      <c r="F336" s="37" t="inlineStr">
        <is>
          <t>Single</t>
        </is>
      </c>
      <c r="G336" s="11" t="inlineStr">
        <is>
          <t>CKHD 6 SVG,
HK 6 SVG</t>
        </is>
      </c>
      <c r="H336" s="11" t="inlineStr">
        <is>
          <t>233 X 233</t>
        </is>
      </c>
      <c r="I336" s="23" t="inlineStr">
        <is>
          <t>19.5 X 19.5</t>
        </is>
      </c>
      <c r="J336" s="23" t="n">
        <v>4</v>
      </c>
      <c r="K336" s="115" t="n">
        <v>250</v>
      </c>
      <c r="L336" s="25">
        <f>K336/J336</f>
        <v/>
      </c>
      <c r="M336" s="26" t="n">
        <v>0.4398148148148148</v>
      </c>
      <c r="N336" s="25">
        <f>LEFT(I336,FIND("X",I336)-1)*RIGHT(I336,LEN(I336)-FIND("X",I336)-1)*M336</f>
        <v/>
      </c>
      <c r="O336" s="27">
        <f>(N336*L336)/1000</f>
        <v/>
      </c>
    </row>
    <row r="337" ht="15.75" customHeight="1" thickBot="1">
      <c r="A337" s="137" t="n">
        <v>4</v>
      </c>
      <c r="B337" s="21" t="inlineStr">
        <is>
          <t>CKHD 7</t>
        </is>
      </c>
      <c r="C337" s="138" t="inlineStr">
        <is>
          <t>LVP</t>
        </is>
      </c>
      <c r="D337" s="29" t="inlineStr">
        <is>
          <t>Top</t>
        </is>
      </c>
      <c r="E337" s="29" t="n">
        <v>60</v>
      </c>
      <c r="F337" s="37" t="inlineStr">
        <is>
          <t>Single</t>
        </is>
      </c>
      <c r="G337" s="29" t="inlineStr">
        <is>
          <t>CKHD 7 LVP</t>
        </is>
      </c>
      <c r="H337" s="29" t="inlineStr">
        <is>
          <t>280 X 280</t>
        </is>
      </c>
      <c r="I337" s="29" t="inlineStr">
        <is>
          <t>23 X 23</t>
        </is>
      </c>
      <c r="J337" s="29" t="n">
        <v>4</v>
      </c>
      <c r="K337" s="114" t="n">
        <v>150</v>
      </c>
      <c r="L337" s="31">
        <f>K337/J337</f>
        <v/>
      </c>
      <c r="M337" s="32" t="n">
        <v>1.103988603988604</v>
      </c>
      <c r="N337" s="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O337" s="33">
        <f>(N337*L337)/1000</f>
        <v/>
      </c>
    </row>
    <row r="338" ht="15.75" customHeight="1" thickBot="1">
      <c r="A338" s="133" t="n"/>
      <c r="B338" s="133" t="n"/>
      <c r="C338" s="136" t="n"/>
      <c r="D338" s="11" t="inlineStr">
        <is>
          <t>Bottom</t>
        </is>
      </c>
      <c r="E338" s="11" t="n">
        <v>40</v>
      </c>
      <c r="F338" s="37" t="inlineStr">
        <is>
          <t>Single</t>
        </is>
      </c>
      <c r="G338" s="29" t="inlineStr">
        <is>
          <t>CKHD 7 LVP</t>
        </is>
      </c>
      <c r="H338" s="29" t="inlineStr">
        <is>
          <t>280 X 280</t>
        </is>
      </c>
      <c r="I338" s="29" t="inlineStr">
        <is>
          <t>23 X 23</t>
        </is>
      </c>
      <c r="J338" s="29" t="n">
        <v>4</v>
      </c>
      <c r="K338" s="34" t="n">
        <v>150</v>
      </c>
      <c r="L338" s="14">
        <f>K338/J338</f>
        <v/>
      </c>
      <c r="M338" s="15" t="n">
        <v>0.6977821913273751</v>
      </c>
      <c r="N338" s="14">
        <f>LEFT(I338,FIND("X",I338)-1)*RIGHT(I338,LEN(I338)-FIND("X",I338)-1)*M338</f>
        <v/>
      </c>
      <c r="O338" s="16">
        <f>(N338*L338)/1000</f>
        <v/>
      </c>
    </row>
    <row r="339" ht="15.75" customHeight="1" thickBot="1">
      <c r="A339" s="135" t="n"/>
      <c r="B339" s="135" t="n"/>
      <c r="C339" s="22" t="inlineStr">
        <is>
          <t>SVG</t>
        </is>
      </c>
      <c r="D339" s="23" t="inlineStr">
        <is>
          <t>-</t>
        </is>
      </c>
      <c r="E339" s="23" t="n">
        <v>22</v>
      </c>
      <c r="F339" s="37" t="inlineStr">
        <is>
          <t>Single</t>
        </is>
      </c>
      <c r="G339" s="29" t="inlineStr">
        <is>
          <t>CKHD 7 SVG</t>
        </is>
      </c>
      <c r="H339" s="29" t="inlineStr">
        <is>
          <t>297 X 297</t>
        </is>
      </c>
      <c r="I339" s="23" t="inlineStr">
        <is>
          <t>24.5 X 24.5</t>
        </is>
      </c>
      <c r="J339" s="23" t="n">
        <v>4</v>
      </c>
      <c r="K339" s="115" t="n">
        <v>150</v>
      </c>
      <c r="L339" s="25">
        <f>K339/J339</f>
        <v/>
      </c>
      <c r="M339" s="26" t="n">
        <v>0.4398148148148148</v>
      </c>
      <c r="N339" s="25">
        <f>LEFT(I339,FIND("X",I339)-1)*RIGHT(I339,LEN(I339)-FIND("X",I339)-1)*M339</f>
        <v/>
      </c>
      <c r="O339" s="27">
        <f>(N339*L339)/1000</f>
        <v/>
      </c>
    </row>
    <row r="340" ht="15.75" customHeight="1" thickBot="1">
      <c r="A340" s="137" t="n">
        <v>4</v>
      </c>
      <c r="B340" s="21" t="inlineStr">
        <is>
          <t>PR 1 Volga</t>
        </is>
      </c>
      <c r="C340" s="138" t="inlineStr">
        <is>
          <t>LVP</t>
        </is>
      </c>
      <c r="D340" s="29" t="inlineStr">
        <is>
          <t>Top</t>
        </is>
      </c>
      <c r="E340" s="29" t="n">
        <v>60</v>
      </c>
      <c r="F340" s="37" t="inlineStr">
        <is>
          <t>Passing</t>
        </is>
      </c>
      <c r="G340" s="29" t="inlineStr">
        <is>
          <t xml:space="preserve">PP 3 </t>
        </is>
      </c>
      <c r="H340" s="29" t="n">
        <v>50</v>
      </c>
      <c r="I340" s="29" t="inlineStr">
        <is>
          <t>16 X 16.5</t>
        </is>
      </c>
      <c r="J340" s="29" t="n">
        <v>56</v>
      </c>
      <c r="K340" s="114" t="n">
        <v>2400</v>
      </c>
      <c r="L340" s="31">
        <f>K340/J340</f>
        <v/>
      </c>
      <c r="M340" s="32" t="n">
        <v>1.103988603988604</v>
      </c>
      <c r="N340" s="31">
        <f>LEFT(I340,FIND("X",I340)-1)*RIGHT(I340,LEN(I340)-FIND("X",I340)-1)*M340</f>
        <v/>
      </c>
      <c r="O340" s="153">
        <f>(N340*L340)/1000</f>
        <v/>
      </c>
    </row>
    <row r="341" ht="15.75" customHeight="1" thickBot="1">
      <c r="A341" s="133" t="n"/>
      <c r="B341" s="133" t="n"/>
      <c r="C341" s="136" t="n"/>
      <c r="D341" s="11" t="inlineStr">
        <is>
          <t>Bottom</t>
        </is>
      </c>
      <c r="E341" s="11" t="n"/>
      <c r="F341" s="37" t="n"/>
      <c r="G341" s="29" t="n"/>
      <c r="H341" s="29" t="n"/>
      <c r="I341" s="29" t="n"/>
      <c r="J341" s="29" t="n"/>
      <c r="K341" s="34" t="n"/>
      <c r="L341" s="14">
        <f>K341/J341</f>
        <v/>
      </c>
      <c r="M341" s="15" t="e">
        <v>#N/A</v>
      </c>
      <c r="N341" s="14">
        <f>LEFT(I341,FIND("X",I341)-1)*RIGHT(I341,LEN(I341)-FIND("X",I341)-1)*M341</f>
        <v/>
      </c>
      <c r="O341" s="16">
        <f>(N341*L341)/1000</f>
        <v/>
      </c>
    </row>
    <row r="342" ht="15.75" customHeight="1" thickBot="1">
      <c r="A342" s="135" t="n"/>
      <c r="B342" s="135" t="n"/>
      <c r="C342" s="22" t="inlineStr">
        <is>
          <t>SVG</t>
        </is>
      </c>
      <c r="D342" s="23" t="inlineStr">
        <is>
          <t>-</t>
        </is>
      </c>
      <c r="E342" s="23" t="n">
        <v>22</v>
      </c>
      <c r="F342" s="37" t="inlineStr">
        <is>
          <t>Single</t>
        </is>
      </c>
      <c r="G342" s="29" t="inlineStr">
        <is>
          <t>HK 1 SVG</t>
        </is>
      </c>
      <c r="H342" s="29" t="n">
        <v>57</v>
      </c>
      <c r="I342" s="23" t="inlineStr">
        <is>
          <t>22 X 22</t>
        </is>
      </c>
      <c r="J342" s="23" t="n">
        <v>64</v>
      </c>
      <c r="K342" s="115" t="n">
        <v>2400</v>
      </c>
      <c r="L342" s="25">
        <f>K342/J342</f>
        <v/>
      </c>
      <c r="M342" s="26" t="n">
        <v>0.4398148148148148</v>
      </c>
      <c r="N342" s="25">
        <f>LEFT(I342,FIND("X",I342)-1)*RIGHT(I342,LEN(I342)-FIND("X",I342)-1)*M342</f>
        <v/>
      </c>
      <c r="O342" s="27">
        <f>(N342*L342)/1000</f>
        <v/>
      </c>
    </row>
    <row r="343" ht="15.75" customHeight="1" thickBot="1">
      <c r="A343" s="137" t="n">
        <v>5</v>
      </c>
      <c r="B343" s="21" t="inlineStr">
        <is>
          <t>PR 2 Volga</t>
        </is>
      </c>
      <c r="C343" s="138" t="inlineStr">
        <is>
          <t>LVP</t>
        </is>
      </c>
      <c r="D343" s="29" t="inlineStr">
        <is>
          <t>Top</t>
        </is>
      </c>
      <c r="E343" s="29" t="n">
        <v>50</v>
      </c>
      <c r="F343" s="37" t="inlineStr">
        <is>
          <t>Passing</t>
        </is>
      </c>
      <c r="G343" s="29" t="inlineStr">
        <is>
          <t>PRC CX 3 Sq FABRIC,
PRC RLR,
 T32 LVP</t>
        </is>
      </c>
      <c r="H343" s="29" t="n">
        <v>67</v>
      </c>
      <c r="I343" s="29" t="inlineStr">
        <is>
          <t>11.5 X 20.5</t>
        </is>
      </c>
      <c r="J343" s="29" t="n">
        <v>24</v>
      </c>
      <c r="K343" s="114" t="n">
        <v>20500</v>
      </c>
      <c r="L343" s="31">
        <f>K343/J343</f>
        <v/>
      </c>
      <c r="M343" s="32" t="n">
        <v>0.9182530795072789</v>
      </c>
      <c r="N343" s="31">
        <f>LEFT(I343,FIND("X",I343)-1)*RIGHT(I343,LEN(I343)-FIND("X",I343)-1)*M343</f>
        <v/>
      </c>
      <c r="O343" s="153" t="n"/>
    </row>
    <row r="344" ht="15.75" customHeight="1" thickBot="1">
      <c r="A344" s="133" t="n"/>
      <c r="B344" s="133" t="n"/>
      <c r="C344" s="136" t="n"/>
      <c r="D344" s="11" t="inlineStr">
        <is>
          <t>Bottom</t>
        </is>
      </c>
      <c r="E344" s="11" t="n"/>
      <c r="F344" s="37" t="n"/>
      <c r="G344" s="29" t="n"/>
      <c r="H344" s="29" t="n"/>
      <c r="I344" s="29" t="n"/>
      <c r="J344" s="29" t="n"/>
      <c r="K344" s="34" t="n"/>
      <c r="L344" s="14">
        <f>K344/J344</f>
        <v/>
      </c>
      <c r="M344" s="15" t="e">
        <v>#N/A</v>
      </c>
      <c r="N344" s="14">
        <f>LEFT(I344,FIND("X",I344)-1)*RIGHT(I344,LEN(I344)-FIND("X",I344)-1)*M344</f>
        <v/>
      </c>
      <c r="O344" s="16">
        <f>(N344*L344)/1000</f>
        <v/>
      </c>
    </row>
    <row r="345" ht="15.75" customHeight="1" thickBot="1">
      <c r="A345" s="135" t="n"/>
      <c r="B345" s="135" t="n"/>
      <c r="C345" s="22" t="inlineStr">
        <is>
          <t>SVG</t>
        </is>
      </c>
      <c r="D345" s="23" t="inlineStr">
        <is>
          <t>-</t>
        </is>
      </c>
      <c r="E345" s="23" t="n">
        <v>22</v>
      </c>
      <c r="F345" s="37" t="inlineStr">
        <is>
          <t>Single</t>
        </is>
      </c>
      <c r="G345" s="29" t="inlineStr">
        <is>
          <t>PR 2 SVG</t>
        </is>
      </c>
      <c r="H345" s="29" t="n">
        <v>76</v>
      </c>
      <c r="I345" s="23" t="inlineStr">
        <is>
          <t>21 X 21</t>
        </is>
      </c>
      <c r="J345" s="23" t="n">
        <v>36</v>
      </c>
      <c r="K345" s="115" t="n">
        <v>8000</v>
      </c>
      <c r="L345" s="25">
        <f>K345/J345</f>
        <v/>
      </c>
      <c r="M345" s="26" t="n">
        <v>0.4398148148148148</v>
      </c>
      <c r="N345" s="25">
        <f>LEFT(I345,FIND("X",I345)-1)*RIGHT(I345,LEN(I345)-FIND("X",I345)-1)*M345</f>
        <v/>
      </c>
      <c r="O345" s="27">
        <f>(N345*L345)/1000</f>
        <v/>
      </c>
    </row>
    <row r="346" ht="15.75" customHeight="1" thickBot="1">
      <c r="A346" s="137" t="n">
        <v>6</v>
      </c>
      <c r="B346" s="21" t="inlineStr">
        <is>
          <t>Italmatic TL 120</t>
        </is>
      </c>
      <c r="C346" s="138" t="inlineStr">
        <is>
          <t>LVP</t>
        </is>
      </c>
      <c r="D346" s="29" t="inlineStr">
        <is>
          <t>Top</t>
        </is>
      </c>
      <c r="E346" s="29" t="n">
        <v>60</v>
      </c>
      <c r="F346" s="37" t="inlineStr">
        <is>
          <t>Passing</t>
        </is>
      </c>
      <c r="G346" s="29" t="inlineStr">
        <is>
          <t>Italmatic MCX 20 LVP</t>
        </is>
      </c>
      <c r="H346" s="29" t="inlineStr">
        <is>
          <t>68 X 113</t>
        </is>
      </c>
      <c r="I346" s="29" t="inlineStr">
        <is>
          <t>19 X 20</t>
        </is>
      </c>
      <c r="J346" s="29" t="n">
        <v>24</v>
      </c>
      <c r="K346" s="114" t="n">
        <v>2000</v>
      </c>
      <c r="L346" s="31">
        <f>K346/J346</f>
        <v/>
      </c>
      <c r="M346" s="32" t="n">
        <v>1.103988603988604</v>
      </c>
      <c r="N346" s="31">
        <f>LEFT(I346,FIND("X",I346)-1)*RIGHT(I346,LEN(I346)-FIND("X",I346)-1)*M346</f>
        <v/>
      </c>
      <c r="O346" s="153">
        <f>(N346*L346)/1000</f>
        <v/>
      </c>
    </row>
    <row r="347" ht="15.75" customHeight="1" thickBot="1">
      <c r="A347" s="133" t="n"/>
      <c r="B347" s="133" t="n"/>
      <c r="C347" s="136" t="n"/>
      <c r="D347" s="11" t="inlineStr">
        <is>
          <t>Bottom</t>
        </is>
      </c>
      <c r="E347" s="11" t="n"/>
      <c r="F347" s="37" t="n"/>
      <c r="G347" s="29" t="n"/>
      <c r="H347" s="29" t="n"/>
      <c r="I347" s="29" t="n"/>
      <c r="J347" s="29" t="n"/>
      <c r="K347" s="34" t="n"/>
      <c r="L347" s="14">
        <f>K347/J347</f>
        <v/>
      </c>
      <c r="M347" s="15" t="e">
        <v>#N/A</v>
      </c>
      <c r="N347" s="14">
        <f>LEFT(I347,FIND("X",I347)-1)*RIGHT(I347,LEN(I347)-FIND("X",I347)-1)*M347</f>
        <v/>
      </c>
      <c r="O347" s="16">
        <f>(N347*L347)/1000</f>
        <v/>
      </c>
    </row>
    <row r="348" ht="15.75" customHeight="1" thickBot="1">
      <c r="A348" s="135" t="n"/>
      <c r="B348" s="135" t="n"/>
      <c r="C348" s="22" t="inlineStr">
        <is>
          <t>SVG</t>
        </is>
      </c>
      <c r="D348" s="23" t="inlineStr">
        <is>
          <t>-</t>
        </is>
      </c>
      <c r="E348" s="23" t="n">
        <v>22</v>
      </c>
      <c r="F348" s="37" t="inlineStr">
        <is>
          <t>Single</t>
        </is>
      </c>
      <c r="G348" s="29" t="inlineStr">
        <is>
          <t>Italmatic MCX 20 SVG</t>
        </is>
      </c>
      <c r="H348" s="29" t="inlineStr">
        <is>
          <t>78 X 123</t>
        </is>
      </c>
      <c r="I348" s="23" t="inlineStr">
        <is>
          <t>21.5 X 21.5</t>
        </is>
      </c>
      <c r="J348" s="23" t="n">
        <v>24</v>
      </c>
      <c r="K348" s="115" t="n">
        <v>2000</v>
      </c>
      <c r="L348" s="25">
        <f>K348/J348</f>
        <v/>
      </c>
      <c r="M348" s="26" t="n">
        <v>0.4398148148148148</v>
      </c>
      <c r="N348" s="25">
        <f>LEFT(I348,FIND("X",I348)-1)*RIGHT(I348,LEN(I348)-FIND("X",I348)-1)*M348</f>
        <v/>
      </c>
      <c r="O348" s="27">
        <f>(N348*L348)/1000</f>
        <v/>
      </c>
    </row>
    <row r="349" ht="15.75" customHeight="1" thickBot="1">
      <c r="A349" s="137" t="n">
        <v>6</v>
      </c>
      <c r="B349" s="21" t="inlineStr">
        <is>
          <t>X pang 0</t>
        </is>
      </c>
      <c r="C349" s="138" t="inlineStr">
        <is>
          <t>LVP</t>
        </is>
      </c>
      <c r="D349" s="29" t="inlineStr">
        <is>
          <t>Top</t>
        </is>
      </c>
      <c r="E349" s="29" t="n">
        <v>50</v>
      </c>
      <c r="F349" s="37" t="n"/>
      <c r="G349" s="29" t="n"/>
      <c r="H349" s="29" t="n"/>
      <c r="I349" s="29" t="inlineStr">
        <is>
          <t>17 X 24</t>
        </is>
      </c>
      <c r="J349" s="29" t="n">
        <v>96</v>
      </c>
      <c r="K349" s="114" t="n">
        <v>30500</v>
      </c>
      <c r="L349" s="31">
        <f>K349/J349</f>
        <v/>
      </c>
      <c r="M349" s="32" t="n">
        <v>0.9182530795072789</v>
      </c>
      <c r="N349" s="31">
        <f>LEFT(I349,FIND("X",I349)-1)*RIGHT(I349,LEN(I349)-FIND("X",I349)-1)*M349</f>
        <v/>
      </c>
      <c r="O349" s="153">
        <f>(N349*L349)/1000</f>
        <v/>
      </c>
    </row>
    <row r="350" ht="15.75" customHeight="1" thickBot="1">
      <c r="A350" s="133" t="n"/>
      <c r="B350" s="133" t="n"/>
      <c r="C350" s="136" t="n"/>
      <c r="D350" s="11" t="inlineStr">
        <is>
          <t>Bottom</t>
        </is>
      </c>
      <c r="E350" s="11" t="n"/>
      <c r="F350" s="37" t="n"/>
      <c r="G350" s="29" t="n"/>
      <c r="H350" s="29" t="n"/>
      <c r="I350" s="29" t="n"/>
      <c r="J350" s="29" t="n"/>
      <c r="K350" s="34" t="n"/>
      <c r="L350" s="14">
        <f>K350/J350</f>
        <v/>
      </c>
      <c r="M350" s="15" t="e">
        <v>#N/A</v>
      </c>
      <c r="N350" s="14">
        <f>LEFT(I350,FIND("X",I350)-1)*RIGHT(I350,LEN(I350)-FIND("X",I350)-1)*M350</f>
        <v/>
      </c>
      <c r="O350" s="16">
        <f>(N350*L350)/1000</f>
        <v/>
      </c>
    </row>
    <row r="351" ht="15.75" customHeight="1" thickBot="1">
      <c r="A351" s="135" t="n"/>
      <c r="B351" s="135" t="n"/>
      <c r="C351" s="22" t="inlineStr">
        <is>
          <t>SVG</t>
        </is>
      </c>
      <c r="D351" s="23" t="inlineStr">
        <is>
          <t>-</t>
        </is>
      </c>
      <c r="E351" s="23" t="n">
        <v>22</v>
      </c>
      <c r="F351" s="37" t="n"/>
      <c r="G351" s="29" t="n"/>
      <c r="H351" s="29" t="n"/>
      <c r="I351" s="23" t="inlineStr">
        <is>
          <t>16 X 16.5</t>
        </is>
      </c>
      <c r="J351" s="23" t="n">
        <v>56</v>
      </c>
      <c r="K351" s="115" t="n">
        <v>10020</v>
      </c>
      <c r="L351" s="25">
        <f>K351/J351</f>
        <v/>
      </c>
      <c r="M351" s="26" t="n">
        <v>0.4398148148148148</v>
      </c>
      <c r="N351" s="25">
        <f>LEFT(I351,FIND("X",I351)-1)*RIGHT(I351,LEN(I351)-FIND("X",I351)-1)*M351</f>
        <v/>
      </c>
      <c r="O351" s="27">
        <f>(N351*L351)/1000</f>
        <v/>
      </c>
    </row>
    <row r="352" ht="15.75" customHeight="1" thickBot="1">
      <c r="A352" s="137" t="n">
        <v>6</v>
      </c>
      <c r="B352" s="21" t="inlineStr">
        <is>
          <t>Pang 1</t>
        </is>
      </c>
      <c r="C352" s="138" t="inlineStr">
        <is>
          <t>LVP</t>
        </is>
      </c>
      <c r="D352" s="29" t="inlineStr">
        <is>
          <t>Top</t>
        </is>
      </c>
      <c r="E352" s="29" t="n">
        <v>55</v>
      </c>
      <c r="F352" s="37" t="n"/>
      <c r="G352" s="29" t="inlineStr">
        <is>
          <t>Pang UP 2 LVP,
Chemblue UP 2</t>
        </is>
      </c>
      <c r="H352" s="29" t="n">
        <v>43</v>
      </c>
      <c r="I352" s="29" t="inlineStr">
        <is>
          <t>16 X 23.5</t>
        </is>
      </c>
      <c r="J352" s="29" t="n">
        <v>96</v>
      </c>
      <c r="K352" s="114" t="n">
        <v>30000</v>
      </c>
      <c r="L352" s="31">
        <f>K352/J352</f>
        <v/>
      </c>
      <c r="M352" s="32" t="n">
        <v>1.042553191489362</v>
      </c>
      <c r="N352" s="31">
        <f>LEFT(I352,FIND("X",I352)-1)*RIGHT(I352,LEN(I352)-FIND("X",I352)-1)*M352</f>
        <v/>
      </c>
      <c r="O352" s="153">
        <f>(N352*L352)/1000</f>
        <v/>
      </c>
    </row>
    <row r="353" ht="15.75" customHeight="1" thickBot="1">
      <c r="A353" s="133" t="n"/>
      <c r="B353" s="133" t="n"/>
      <c r="C353" s="136" t="n"/>
      <c r="D353" s="11" t="inlineStr">
        <is>
          <t>Bottom</t>
        </is>
      </c>
      <c r="E353" s="11" t="n"/>
      <c r="F353" s="37" t="n"/>
      <c r="G353" s="29" t="n"/>
      <c r="H353" s="29" t="n"/>
      <c r="I353" s="29" t="n"/>
      <c r="J353" s="29" t="n"/>
      <c r="K353" s="34" t="n">
        <v>30000</v>
      </c>
      <c r="L353" s="14">
        <f>K353/J353</f>
        <v/>
      </c>
      <c r="M353" s="15" t="e">
        <v>#N/A</v>
      </c>
      <c r="N353" s="14">
        <f>LEFT(I353,FIND("X",I353)-1)*RIGHT(I353,LEN(I353)-FIND("X",I353)-1)*M353</f>
        <v/>
      </c>
      <c r="O353" s="16">
        <f>(N353*L353)/1000</f>
        <v/>
      </c>
    </row>
    <row r="354" ht="15.75" customHeight="1" thickBot="1">
      <c r="A354" s="135" t="n"/>
      <c r="B354" s="135" t="n"/>
      <c r="C354" s="22" t="inlineStr">
        <is>
          <t>SVG</t>
        </is>
      </c>
      <c r="D354" s="23" t="inlineStr">
        <is>
          <t>-</t>
        </is>
      </c>
      <c r="E354" s="23" t="n">
        <v>25</v>
      </c>
      <c r="F354" s="37" t="n"/>
      <c r="G354" s="29" t="inlineStr">
        <is>
          <t>Pang 1 SVG,
Chemblue UP 2 SVG
Chemblue UP 3 LVP</t>
        </is>
      </c>
      <c r="H354" s="29" t="n">
        <v>53</v>
      </c>
      <c r="I354" s="23" t="inlineStr">
        <is>
          <t>17 X 23.5</t>
        </is>
      </c>
      <c r="J354" s="23" t="n">
        <v>70</v>
      </c>
      <c r="K354" s="115" t="n">
        <v>30000</v>
      </c>
      <c r="L354" s="25">
        <f>K354/J354</f>
        <v/>
      </c>
      <c r="M354" s="26" t="n">
        <v>0.5128205128205128</v>
      </c>
      <c r="N354" s="25">
        <f>LEFT(I354,FIND("X",I354)-1)*RIGHT(I354,LEN(I354)-FIND("X",I354)-1)*M354</f>
        <v/>
      </c>
      <c r="O354" s="27">
        <f>(N354*L354)/1000</f>
        <v/>
      </c>
    </row>
    <row r="355" ht="15.75" customHeight="1" thickBot="1">
      <c r="A355" s="137" t="n">
        <v>6</v>
      </c>
      <c r="B355" s="21" t="inlineStr">
        <is>
          <t>Pang 2</t>
        </is>
      </c>
      <c r="C355" s="138" t="inlineStr">
        <is>
          <t>LVP</t>
        </is>
      </c>
      <c r="D355" s="29" t="inlineStr">
        <is>
          <t>Top</t>
        </is>
      </c>
      <c r="E355" s="29" t="n">
        <v>55</v>
      </c>
      <c r="F355" s="37" t="n"/>
      <c r="G355" s="29" t="inlineStr">
        <is>
          <t>Pang 1 SVG,
Chemblue UP 2 SVG
Chemblue UP 3 LVP</t>
        </is>
      </c>
      <c r="H355" s="29" t="n">
        <v>53</v>
      </c>
      <c r="I355" s="29" t="inlineStr">
        <is>
          <t>17 X 23.5</t>
        </is>
      </c>
      <c r="J355" s="29" t="n">
        <v>70</v>
      </c>
      <c r="K355" s="114" t="n">
        <v>50000</v>
      </c>
      <c r="L355" s="31">
        <f>K355/J355</f>
        <v/>
      </c>
      <c r="M355" s="32" t="n">
        <v>1.042553191489362</v>
      </c>
      <c r="N355" s="31">
        <f>LEFT(I355,FIND("X",I355)-1)*RIGHT(I355,LEN(I355)-FIND("X",I355)-1)*M355</f>
        <v/>
      </c>
      <c r="O355" s="153">
        <f>(N355*L355)/1000</f>
        <v/>
      </c>
    </row>
    <row r="356" ht="15.75" customHeight="1" thickBot="1">
      <c r="A356" s="133" t="n"/>
      <c r="B356" s="133" t="n"/>
      <c r="C356" s="136" t="n"/>
      <c r="D356" s="11" t="inlineStr">
        <is>
          <t>Bottom</t>
        </is>
      </c>
      <c r="E356" s="11" t="n"/>
      <c r="F356" s="37" t="n"/>
      <c r="G356" s="29" t="n"/>
      <c r="H356" s="29" t="n"/>
      <c r="I356" s="29" t="n"/>
      <c r="J356" s="29" t="n"/>
      <c r="K356" s="34" t="n">
        <v>50000</v>
      </c>
      <c r="L356" s="14">
        <f>K356/J356</f>
        <v/>
      </c>
      <c r="M356" s="15" t="e">
        <v>#N/A</v>
      </c>
      <c r="N356" s="14">
        <f>LEFT(I356,FIND("X",I356)-1)*RIGHT(I356,LEN(I356)-FIND("X",I356)-1)*M356</f>
        <v/>
      </c>
      <c r="O356" s="16">
        <f>(N356*L356)/1000</f>
        <v/>
      </c>
    </row>
    <row r="357" ht="15.75" customHeight="1" thickBot="1">
      <c r="A357" s="135" t="n"/>
      <c r="B357" s="135" t="n"/>
      <c r="C357" s="22" t="inlineStr">
        <is>
          <t>SVG</t>
        </is>
      </c>
      <c r="D357" s="23" t="inlineStr">
        <is>
          <t>-</t>
        </is>
      </c>
      <c r="E357" s="23" t="n">
        <v>25</v>
      </c>
      <c r="F357" s="37" t="n"/>
      <c r="G357" s="29" t="inlineStr">
        <is>
          <t>Pang 2 SVG,
Chemblue 3 SVG</t>
        </is>
      </c>
      <c r="H357" s="29" t="inlineStr">
        <is>
          <t>63 X 63</t>
        </is>
      </c>
      <c r="I357" s="23" t="inlineStr">
        <is>
          <t>19.5 X 22</t>
        </is>
      </c>
      <c r="J357" s="23" t="n">
        <v>56</v>
      </c>
      <c r="K357" s="115" t="n">
        <v>50000</v>
      </c>
      <c r="L357" s="25">
        <f>K357/J357</f>
        <v/>
      </c>
      <c r="M357" s="26" t="n">
        <v>0.5128205128205128</v>
      </c>
      <c r="N357" s="25">
        <f>LEFT(I357,FIND("X",I357)-1)*RIGHT(I357,LEN(I357)-FIND("X",I357)-1)*M357</f>
        <v/>
      </c>
      <c r="O357" s="27">
        <f>(N357*L357)/1000</f>
        <v/>
      </c>
    </row>
    <row r="358" ht="15" customHeight="1">
      <c r="A358" s="85" t="n"/>
      <c r="B358" s="86" t="n"/>
      <c r="C358" s="87" t="n"/>
      <c r="D358" s="88" t="n"/>
      <c r="E358" s="88" t="n"/>
      <c r="F358" s="88" t="n"/>
      <c r="G358" s="88" t="n"/>
      <c r="H358" s="88" t="n"/>
      <c r="I358" s="88" t="n"/>
      <c r="J358" s="88" t="n"/>
      <c r="K358" s="89" t="n"/>
      <c r="L358" s="90" t="n"/>
      <c r="M358" s="91" t="n"/>
      <c r="N358" s="90" t="n"/>
      <c r="O358" s="92" t="n"/>
    </row>
    <row r="359" ht="15" customHeight="1">
      <c r="A359" s="93" t="n"/>
      <c r="B359" s="87" t="n"/>
      <c r="C359" s="87" t="n"/>
      <c r="D359" s="88" t="n"/>
      <c r="E359" s="88" t="n"/>
      <c r="F359" s="88" t="n"/>
      <c r="G359" s="88" t="n"/>
      <c r="H359" s="88" t="n"/>
      <c r="I359" s="88" t="n"/>
      <c r="J359" s="88" t="n"/>
      <c r="K359" s="89" t="n"/>
      <c r="L359" s="90" t="n"/>
      <c r="M359" s="91" t="n"/>
      <c r="N359" s="90" t="n"/>
      <c r="O359" s="92" t="n"/>
    </row>
    <row r="360" ht="15.75" customHeight="1" thickBot="1">
      <c r="A360" s="93" t="n"/>
      <c r="B360" s="87" t="n"/>
      <c r="C360" s="87" t="n"/>
      <c r="D360" s="88" t="n"/>
      <c r="E360" s="88" t="n"/>
      <c r="F360" s="88" t="n"/>
      <c r="G360" s="88" t="n"/>
      <c r="H360" s="88" t="n"/>
      <c r="I360" s="88" t="n"/>
      <c r="J360" s="88" t="n"/>
      <c r="K360" s="89" t="n"/>
      <c r="L360" s="90" t="n"/>
      <c r="M360" s="91" t="n"/>
      <c r="N360" s="90" t="n"/>
      <c r="O360" s="92" t="n"/>
    </row>
    <row r="361" ht="14.25" customHeight="1">
      <c r="A361" s="141" t="inlineStr">
        <is>
          <t>MSX Series</t>
        </is>
      </c>
      <c r="B361" s="142" t="n"/>
      <c r="C361" s="142" t="n"/>
      <c r="D361" s="142" t="n"/>
      <c r="E361" s="142" t="n"/>
      <c r="F361" s="142" t="n"/>
      <c r="G361" s="142" t="n"/>
      <c r="H361" s="142" t="n"/>
      <c r="I361" s="142" t="n"/>
      <c r="J361" s="142" t="n"/>
      <c r="K361" s="142" t="n"/>
      <c r="L361" s="142" t="n"/>
      <c r="M361" s="142" t="n"/>
      <c r="N361" s="142" t="n"/>
      <c r="O361" s="143" t="n"/>
    </row>
    <row r="362" ht="12.75" customHeight="1">
      <c r="A362" s="144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45" t="n"/>
    </row>
    <row r="363" ht="13.5" customHeight="1" thickBot="1">
      <c r="A363" s="146" t="n"/>
      <c r="B363" s="147" t="n"/>
      <c r="C363" s="147" t="n"/>
      <c r="D363" s="147" t="n"/>
      <c r="E363" s="147" t="n"/>
      <c r="F363" s="147" t="n"/>
      <c r="G363" s="147" t="n"/>
      <c r="H363" s="147" t="n"/>
      <c r="I363" s="147" t="n"/>
      <c r="J363" s="147" t="n"/>
      <c r="K363" s="147" t="n"/>
      <c r="L363" s="147" t="n"/>
      <c r="M363" s="147" t="n"/>
      <c r="N363" s="147" t="n"/>
      <c r="O363" s="148" t="n"/>
    </row>
    <row r="364" ht="15" customHeight="1">
      <c r="A364" s="149" t="n">
        <v>1</v>
      </c>
      <c r="B364" s="150" t="inlineStr">
        <is>
          <t>MSX 10</t>
        </is>
      </c>
      <c r="C364" s="58" t="inlineStr">
        <is>
          <t>LVP</t>
        </is>
      </c>
      <c r="D364" s="29" t="inlineStr">
        <is>
          <t>Top</t>
        </is>
      </c>
      <c r="E364" s="29" t="n">
        <v>90</v>
      </c>
      <c r="F364" s="29" t="inlineStr">
        <is>
          <t>Passing</t>
        </is>
      </c>
      <c r="G364" s="29" t="inlineStr">
        <is>
          <t>MSX 10 LVP</t>
        </is>
      </c>
      <c r="H364" s="29" t="inlineStr">
        <is>
          <t>36 X 55</t>
        </is>
      </c>
      <c r="I364" s="29" t="inlineStr">
        <is>
          <t>15 X 20.5</t>
        </is>
      </c>
      <c r="J364" s="29" t="n">
        <v>64</v>
      </c>
      <c r="K364" s="114" t="n">
        <v>60000</v>
      </c>
      <c r="L364" s="31">
        <f>K364/J364</f>
        <v/>
      </c>
      <c r="M364" s="32" t="n">
        <v>1.605797101449275</v>
      </c>
      <c r="N364" s="31">
        <f>LEFT(I364,FIND("X",I364)-1)*RIGHT(I364,LEN(I364)-FIND("X",I364)-1)*M364</f>
        <v/>
      </c>
      <c r="O364" s="33">
        <f>(N364*L364)/1000</f>
        <v/>
      </c>
    </row>
    <row r="365" ht="14.25" customHeight="1">
      <c r="A365" s="133" t="n"/>
      <c r="B365" s="133" t="n"/>
      <c r="C365" s="59" t="n"/>
      <c r="D365" s="11" t="inlineStr">
        <is>
          <t>Bottom</t>
        </is>
      </c>
      <c r="E365" s="11" t="n"/>
      <c r="F365" s="11" t="n"/>
      <c r="G365" s="11" t="n"/>
      <c r="H365" s="11" t="n"/>
      <c r="I365" s="11" t="n"/>
      <c r="J365" s="11" t="n"/>
      <c r="K365" s="114" t="n">
        <v>60000</v>
      </c>
      <c r="L365" s="14">
        <f>K365/J365</f>
        <v/>
      </c>
      <c r="M365" s="15" t="e">
        <v>#N/A</v>
      </c>
      <c r="N365" s="14">
        <f>LEFT(I365,FIND("X",I365)-1)*RIGHT(I365,LEN(I365)-FIND("X",I365)-1)*M365</f>
        <v/>
      </c>
      <c r="O365" s="16">
        <f>(N365*L365)/1000</f>
        <v/>
      </c>
    </row>
    <row r="366" ht="15.75" customHeight="1" thickBot="1">
      <c r="A366" s="135" t="n"/>
      <c r="B366" s="135" t="n"/>
      <c r="C366" s="22" t="inlineStr">
        <is>
          <t>SCFG</t>
        </is>
      </c>
      <c r="D366" s="23" t="inlineStr">
        <is>
          <t>-</t>
        </is>
      </c>
      <c r="E366" s="23" t="n">
        <v>15</v>
      </c>
      <c r="F366" s="23" t="inlineStr">
        <is>
          <t>Single</t>
        </is>
      </c>
      <c r="G366" s="23" t="inlineStr">
        <is>
          <t>MSX 10 SCFG</t>
        </is>
      </c>
      <c r="H366" s="23" t="inlineStr">
        <is>
          <t>55 X 75</t>
        </is>
      </c>
      <c r="I366" s="23" t="inlineStr">
        <is>
          <t>22.5 X 23.5</t>
        </is>
      </c>
      <c r="J366" s="23" t="n">
        <v>48</v>
      </c>
      <c r="K366" s="114" t="n">
        <v>60000</v>
      </c>
      <c r="L366" s="25">
        <f>K366/J366</f>
        <v/>
      </c>
      <c r="M366" s="26" t="n">
        <v>0.3381642512077295</v>
      </c>
      <c r="N366" s="25">
        <f>LEFT(I366,FIND("X",I366)-1)*RIGHT(I366,LEN(I366)-FIND("X",I366)-1)*M366</f>
        <v/>
      </c>
      <c r="O366" s="27">
        <f>(N366*L366)/1000</f>
        <v/>
      </c>
    </row>
    <row r="367" ht="15" customHeight="1">
      <c r="A367" s="149" t="n">
        <v>2</v>
      </c>
      <c r="B367" s="150" t="inlineStr">
        <is>
          <t>MSX 12</t>
        </is>
      </c>
      <c r="C367" s="58" t="inlineStr">
        <is>
          <t>LVP</t>
        </is>
      </c>
      <c r="D367" s="29" t="inlineStr">
        <is>
          <t>Top</t>
        </is>
      </c>
      <c r="E367" s="29" t="n">
        <v>90</v>
      </c>
      <c r="F367" s="29" t="inlineStr">
        <is>
          <t>Passing</t>
        </is>
      </c>
      <c r="G367" s="29" t="inlineStr">
        <is>
          <t>MSX 12 LVP</t>
        </is>
      </c>
      <c r="H367" s="29" t="inlineStr">
        <is>
          <t>51 X 95</t>
        </is>
      </c>
      <c r="I367" s="29" t="inlineStr">
        <is>
          <t>20.5 X 21</t>
        </is>
      </c>
      <c r="J367" s="29" t="n">
        <v>45</v>
      </c>
      <c r="K367" s="114" t="n">
        <v>4750</v>
      </c>
      <c r="L367" s="31">
        <f>K367/J367</f>
        <v/>
      </c>
      <c r="M367" s="32" t="n">
        <v>1.605797101449275</v>
      </c>
      <c r="N367" s="31">
        <f>LEFT(I367,FIND("X",I367)-1)*RIGHT(I367,LEN(I367)-FIND("X",I367)-1)*M367</f>
        <v/>
      </c>
      <c r="O367" s="33">
        <f>(N367*L367)/1000</f>
        <v/>
      </c>
    </row>
    <row r="368" ht="15" customHeight="1">
      <c r="A368" s="133" t="n"/>
      <c r="B368" s="133" t="n"/>
      <c r="C368" s="59" t="n"/>
      <c r="D368" s="11" t="inlineStr">
        <is>
          <t>Bottom</t>
        </is>
      </c>
      <c r="E368" s="11" t="n"/>
      <c r="F368" s="11" t="n"/>
      <c r="G368" s="11" t="n"/>
      <c r="H368" s="11" t="n"/>
      <c r="I368" s="11" t="n"/>
      <c r="J368" s="11" t="n"/>
      <c r="K368" s="34" t="n">
        <v>4750</v>
      </c>
      <c r="L368" s="14">
        <f>K368/J368</f>
        <v/>
      </c>
      <c r="M368" s="15" t="e">
        <v>#N/A</v>
      </c>
      <c r="N368" s="14">
        <f>LEFT(I368,FIND("X",I368)-1)*RIGHT(I368,LEN(I368)-FIND("X",I368)-1)*M368</f>
        <v/>
      </c>
      <c r="O368" s="16">
        <f>(N368*L368)/1000</f>
        <v/>
      </c>
    </row>
    <row r="369" ht="15.75" customHeight="1" thickBot="1">
      <c r="A369" s="135" t="n"/>
      <c r="B369" s="135" t="n"/>
      <c r="C369" s="22" t="inlineStr">
        <is>
          <t>SCFG</t>
        </is>
      </c>
      <c r="D369" s="23" t="inlineStr">
        <is>
          <t>-</t>
        </is>
      </c>
      <c r="E369" s="23" t="n">
        <v>15</v>
      </c>
      <c r="F369" s="23" t="inlineStr">
        <is>
          <t>Single</t>
        </is>
      </c>
      <c r="G369" s="23" t="inlineStr">
        <is>
          <t>MSX 12 SCFG</t>
        </is>
      </c>
      <c r="H369" s="23" t="inlineStr">
        <is>
          <t>66 X 110</t>
        </is>
      </c>
      <c r="I369" s="23" t="inlineStr">
        <is>
          <t>24 X 26</t>
        </is>
      </c>
      <c r="J369" s="23" t="n">
        <v>35</v>
      </c>
      <c r="K369" s="115" t="n">
        <v>4750</v>
      </c>
      <c r="L369" s="25">
        <f>K369/J369</f>
        <v/>
      </c>
      <c r="M369" s="26" t="n">
        <v>0.3381642512077295</v>
      </c>
      <c r="N369" s="25">
        <f>LEFT(I369,FIND("X",I369)-1)*RIGHT(I369,LEN(I369)-FIND("X",I369)-1)*M369</f>
        <v/>
      </c>
      <c r="O369" s="27">
        <f>(N369*L369)/1000</f>
        <v/>
      </c>
    </row>
    <row r="370" ht="15" customHeight="1">
      <c r="A370" s="149" t="n">
        <v>3</v>
      </c>
      <c r="B370" s="150" t="inlineStr">
        <is>
          <t>MSX 14</t>
        </is>
      </c>
      <c r="C370" s="58" t="inlineStr">
        <is>
          <t>LVP</t>
        </is>
      </c>
      <c r="D370" s="29" t="inlineStr">
        <is>
          <t>Top</t>
        </is>
      </c>
      <c r="E370" s="29" t="n">
        <v>90</v>
      </c>
      <c r="F370" s="29" t="inlineStr">
        <is>
          <t>Passing</t>
        </is>
      </c>
      <c r="G370" s="29" t="inlineStr">
        <is>
          <t>MSX 14 LVP</t>
        </is>
      </c>
      <c r="H370" s="29" t="inlineStr">
        <is>
          <t>62 X 115</t>
        </is>
      </c>
      <c r="I370" s="29" t="inlineStr">
        <is>
          <t>14 X 20</t>
        </is>
      </c>
      <c r="J370" s="29" t="n">
        <v>20</v>
      </c>
      <c r="K370" s="114" t="n">
        <v>3600</v>
      </c>
      <c r="L370" s="31">
        <f>K370/J370</f>
        <v/>
      </c>
      <c r="M370" s="32" t="n">
        <v>1.605797101449275</v>
      </c>
      <c r="N370" s="31">
        <f>LEFT(I370,FIND("X",I370)-1)*RIGHT(I370,LEN(I370)-FIND("X",I370)-1)*M370</f>
        <v/>
      </c>
      <c r="O370" s="33">
        <f>(N370*L370)/1000</f>
        <v/>
      </c>
    </row>
    <row r="371" ht="15" customHeight="1">
      <c r="A371" s="133" t="n"/>
      <c r="B371" s="133" t="n"/>
      <c r="C371" s="59" t="n"/>
      <c r="D371" s="11" t="inlineStr">
        <is>
          <t>Bottom</t>
        </is>
      </c>
      <c r="E371" s="11" t="n"/>
      <c r="F371" s="11" t="n"/>
      <c r="G371" s="11" t="n"/>
      <c r="H371" s="11" t="n"/>
      <c r="I371" s="11" t="n"/>
      <c r="J371" s="11" t="n"/>
      <c r="K371" s="34" t="n">
        <v>3600</v>
      </c>
      <c r="L371" s="14">
        <f>K371/J371</f>
        <v/>
      </c>
      <c r="M371" s="15" t="e">
        <v>#N/A</v>
      </c>
      <c r="N371" s="14">
        <f>LEFT(I371,FIND("X",I371)-1)*RIGHT(I371,LEN(I371)-FIND("X",I371)-1)*M371</f>
        <v/>
      </c>
      <c r="O371" s="16">
        <f>(N371*L371)/1000</f>
        <v/>
      </c>
    </row>
    <row r="372" ht="15.75" customHeight="1" thickBot="1">
      <c r="A372" s="135" t="n"/>
      <c r="B372" s="135" t="n"/>
      <c r="C372" s="22" t="inlineStr">
        <is>
          <t>SCFG</t>
        </is>
      </c>
      <c r="D372" s="23" t="inlineStr">
        <is>
          <t>-</t>
        </is>
      </c>
      <c r="E372" s="23" t="n">
        <v>15</v>
      </c>
      <c r="F372" s="23" t="inlineStr">
        <is>
          <t>Single</t>
        </is>
      </c>
      <c r="G372" s="23" t="inlineStr">
        <is>
          <t>MSX 14 SCFG</t>
        </is>
      </c>
      <c r="H372" s="23" t="inlineStr">
        <is>
          <t>80 X 137</t>
        </is>
      </c>
      <c r="I372" s="23" t="inlineStr">
        <is>
          <t>24 X 25</t>
        </is>
      </c>
      <c r="J372" s="23" t="n">
        <v>24</v>
      </c>
      <c r="K372" s="115" t="n">
        <v>3600</v>
      </c>
      <c r="L372" s="25">
        <f>K372/J372</f>
        <v/>
      </c>
      <c r="M372" s="26" t="n">
        <v>0.3381642512077295</v>
      </c>
      <c r="N372" s="25">
        <f>LEFT(I372,FIND("X",I372)-1)*RIGHT(I372,LEN(I372)-FIND("X",I372)-1)*M372</f>
        <v/>
      </c>
      <c r="O372" s="27">
        <f>(N372*L372)/1000</f>
        <v/>
      </c>
    </row>
    <row r="373" ht="15" customHeight="1">
      <c r="A373" s="149" t="n">
        <v>4</v>
      </c>
      <c r="B373" s="150" t="inlineStr">
        <is>
          <t>MSX 15</t>
        </is>
      </c>
      <c r="C373" s="58" t="inlineStr">
        <is>
          <t>LVP</t>
        </is>
      </c>
      <c r="D373" s="29" t="inlineStr">
        <is>
          <t>Top</t>
        </is>
      </c>
      <c r="E373" s="29" t="n">
        <v>60</v>
      </c>
      <c r="F373" s="29" t="inlineStr">
        <is>
          <t>Passing</t>
        </is>
      </c>
      <c r="G373" s="29" t="inlineStr">
        <is>
          <t>MSX 15 LVP</t>
        </is>
      </c>
      <c r="H373" s="29" t="inlineStr">
        <is>
          <t>61 X 75</t>
        </is>
      </c>
      <c r="I373" s="29" t="inlineStr">
        <is>
          <t>19 X 23</t>
        </is>
      </c>
      <c r="J373" s="29" t="n">
        <v>49</v>
      </c>
      <c r="K373" s="114" t="n">
        <v>10000</v>
      </c>
      <c r="L373" s="31">
        <f>K373/J373</f>
        <v/>
      </c>
      <c r="M373" s="32" t="n">
        <v>1.103988603988604</v>
      </c>
      <c r="N373" s="31">
        <f>LEFT(I373,FIND("X",I373)-1)*RIGHT(I373,LEN(I373)-FIND("X",I373)-1)*M373</f>
        <v/>
      </c>
      <c r="O373" s="33">
        <f>(N373*L373)/1000</f>
        <v/>
      </c>
    </row>
    <row r="374" ht="15" customHeight="1">
      <c r="A374" s="133" t="n"/>
      <c r="B374" s="133" t="n"/>
      <c r="C374" s="59" t="n"/>
      <c r="D374" s="11" t="inlineStr">
        <is>
          <t>Bottom</t>
        </is>
      </c>
      <c r="E374" s="11" t="n"/>
      <c r="F374" s="11" t="n"/>
      <c r="G374" s="11" t="n"/>
      <c r="H374" s="11" t="n"/>
      <c r="I374" s="11" t="n"/>
      <c r="J374" s="11" t="n"/>
      <c r="K374" s="34" t="n">
        <v>10000</v>
      </c>
      <c r="L374" s="14">
        <f>K374/J374</f>
        <v/>
      </c>
      <c r="M374" s="15" t="e">
        <v>#N/A</v>
      </c>
      <c r="N374" s="14">
        <f>LEFT(I374,FIND("X",I374)-1)*RIGHT(I374,LEN(I374)-FIND("X",I374)-1)*M374</f>
        <v/>
      </c>
      <c r="O374" s="16">
        <f>(N374*L374)/1000</f>
        <v/>
      </c>
    </row>
    <row r="375" ht="15.75" customHeight="1" thickBot="1">
      <c r="A375" s="135" t="n"/>
      <c r="B375" s="135" t="n"/>
      <c r="C375" s="22" t="inlineStr">
        <is>
          <t>SCFG</t>
        </is>
      </c>
      <c r="D375" s="23" t="inlineStr">
        <is>
          <t>-</t>
        </is>
      </c>
      <c r="E375" s="23" t="n">
        <v>15</v>
      </c>
      <c r="F375" s="23" t="inlineStr">
        <is>
          <t>Single</t>
        </is>
      </c>
      <c r="G375" s="23" t="inlineStr">
        <is>
          <t>MSX 15 SCFG</t>
        </is>
      </c>
      <c r="H375" s="23" t="inlineStr">
        <is>
          <t>75 X 89</t>
        </is>
      </c>
      <c r="I375" s="23" t="inlineStr">
        <is>
          <t>22 X 26</t>
        </is>
      </c>
      <c r="J375" s="23" t="n">
        <v>36</v>
      </c>
      <c r="K375" s="115" t="n">
        <v>10000</v>
      </c>
      <c r="L375" s="25">
        <f>K375/J375</f>
        <v/>
      </c>
      <c r="M375" s="26" t="n">
        <v>0.3381642512077295</v>
      </c>
      <c r="N375" s="25">
        <f>LEFT(I375,FIND("X",I375)-1)*RIGHT(I375,LEN(I375)-FIND("X",I375)-1)*M375</f>
        <v/>
      </c>
      <c r="O375" s="27">
        <f>(N375*L375)/1000</f>
        <v/>
      </c>
    </row>
    <row r="376" ht="15" customHeight="1">
      <c r="A376" s="149" t="n">
        <v>5</v>
      </c>
      <c r="B376" s="150" t="inlineStr">
        <is>
          <t>MSX 16</t>
        </is>
      </c>
      <c r="C376" s="58" t="inlineStr">
        <is>
          <t>LVP</t>
        </is>
      </c>
      <c r="D376" s="29" t="inlineStr">
        <is>
          <t>Top</t>
        </is>
      </c>
      <c r="E376" s="29" t="n">
        <v>90</v>
      </c>
      <c r="F376" s="29" t="inlineStr">
        <is>
          <t>Passing</t>
        </is>
      </c>
      <c r="G376" s="29" t="inlineStr">
        <is>
          <t>MSX 16 LVP</t>
        </is>
      </c>
      <c r="H376" s="29" t="inlineStr">
        <is>
          <t>51 X 95</t>
        </is>
      </c>
      <c r="I376" s="29" t="inlineStr">
        <is>
          <t>20.5 X 21</t>
        </is>
      </c>
      <c r="J376" s="29" t="n">
        <v>45</v>
      </c>
      <c r="K376" s="114" t="n"/>
      <c r="L376" s="31">
        <f>K376/J376</f>
        <v/>
      </c>
      <c r="M376" s="32" t="n">
        <v>1.605797101449275</v>
      </c>
      <c r="N376" s="31">
        <f>LEFT(I376,FIND("X",I376)-1)*RIGHT(I376,LEN(I376)-FIND("X",I376)-1)*M376</f>
        <v/>
      </c>
      <c r="O376" s="33">
        <f>(N376*L376)/1000</f>
        <v/>
      </c>
    </row>
    <row r="377" ht="15" customHeight="1">
      <c r="A377" s="133" t="n"/>
      <c r="B377" s="133" t="n"/>
      <c r="C377" s="59" t="n"/>
      <c r="D377" s="11" t="inlineStr">
        <is>
          <t>Bottom</t>
        </is>
      </c>
      <c r="E377" s="11" t="n"/>
      <c r="F377" s="11" t="n"/>
      <c r="G377" s="11" t="n"/>
      <c r="H377" s="11" t="n"/>
      <c r="I377" s="11" t="n"/>
      <c r="J377" s="11" t="n"/>
      <c r="K377" s="34" t="n"/>
      <c r="L377" s="14">
        <f>K377/J377</f>
        <v/>
      </c>
      <c r="M377" s="15" t="e">
        <v>#N/A</v>
      </c>
      <c r="N377" s="14">
        <f>LEFT(I377,FIND("X",I377)-1)*RIGHT(I377,LEN(I377)-FIND("X",I377)-1)*M377</f>
        <v/>
      </c>
      <c r="O377" s="16">
        <f>(N377*L377)/1000</f>
        <v/>
      </c>
    </row>
    <row r="378" ht="15.75" customHeight="1" thickBot="1">
      <c r="A378" s="135" t="n"/>
      <c r="B378" s="135" t="n"/>
      <c r="C378" s="22" t="inlineStr">
        <is>
          <t>SCFG</t>
        </is>
      </c>
      <c r="D378" s="23" t="inlineStr">
        <is>
          <t>-</t>
        </is>
      </c>
      <c r="E378" s="23" t="n">
        <v>15</v>
      </c>
      <c r="F378" s="23" t="inlineStr">
        <is>
          <t>Single</t>
        </is>
      </c>
      <c r="G378" s="23" t="inlineStr">
        <is>
          <t>MSX 16 SCFG</t>
        </is>
      </c>
      <c r="H378" s="23" t="inlineStr">
        <is>
          <t>63 X 108</t>
        </is>
      </c>
      <c r="I378" s="23" t="inlineStr">
        <is>
          <t>23 X 25</t>
        </is>
      </c>
      <c r="J378" s="23" t="n">
        <v>35</v>
      </c>
      <c r="K378" s="115" t="n"/>
      <c r="L378" s="25">
        <f>K378/J378</f>
        <v/>
      </c>
      <c r="M378" s="26" t="n">
        <v>0.3381642512077295</v>
      </c>
      <c r="N378" s="25">
        <f>LEFT(I378,FIND("X",I378)-1)*RIGHT(I378,LEN(I378)-FIND("X",I378)-1)*M378</f>
        <v/>
      </c>
      <c r="O378" s="27">
        <f>(N378*L378)/1000</f>
        <v/>
      </c>
    </row>
    <row r="379" ht="15" customHeight="1">
      <c r="A379" s="149" t="n">
        <v>6</v>
      </c>
      <c r="B379" s="150" t="inlineStr">
        <is>
          <t>MSX 20</t>
        </is>
      </c>
      <c r="C379" s="58" t="inlineStr">
        <is>
          <t>LVP</t>
        </is>
      </c>
      <c r="D379" s="29" t="inlineStr">
        <is>
          <t>Top</t>
        </is>
      </c>
      <c r="E379" s="29" t="n">
        <v>100</v>
      </c>
      <c r="F379" s="29" t="inlineStr">
        <is>
          <t>Passing</t>
        </is>
      </c>
      <c r="G379" s="29" t="inlineStr">
        <is>
          <t>MSX 20 LVP</t>
        </is>
      </c>
      <c r="H379" s="29" t="inlineStr">
        <is>
          <t>53 X 99</t>
        </is>
      </c>
      <c r="I379" s="29" t="inlineStr">
        <is>
          <t>14.5 X 21.5</t>
        </is>
      </c>
      <c r="J379" s="29" t="n">
        <v>30</v>
      </c>
      <c r="K379" s="114" t="n">
        <v>2750</v>
      </c>
      <c r="L379" s="31">
        <f>K379/J379</f>
        <v/>
      </c>
      <c r="M379" s="32" t="n">
        <v>1.906191369606004</v>
      </c>
      <c r="N379" s="31">
        <f>LEFT(I379,FIND("X",I379)-1)*RIGHT(I379,LEN(I379)-FIND("X",I379)-1)*M379</f>
        <v/>
      </c>
      <c r="O379" s="33">
        <f>(N379*L379)/1000</f>
        <v/>
      </c>
    </row>
    <row r="380" ht="15" customHeight="1">
      <c r="A380" s="133" t="n"/>
      <c r="B380" s="133" t="n"/>
      <c r="C380" s="59" t="n"/>
      <c r="D380" s="11" t="inlineStr">
        <is>
          <t>Bottom</t>
        </is>
      </c>
      <c r="E380" s="11" t="n"/>
      <c r="F380" s="11" t="n"/>
      <c r="G380" s="11" t="n"/>
      <c r="H380" s="11" t="n"/>
      <c r="I380" s="11" t="n"/>
      <c r="J380" s="11" t="n"/>
      <c r="K380" s="34" t="n">
        <v>2750</v>
      </c>
      <c r="L380" s="14">
        <f>K380/J380</f>
        <v/>
      </c>
      <c r="M380" s="15" t="e">
        <v>#N/A</v>
      </c>
      <c r="N380" s="14">
        <f>LEFT(I380,FIND("X",I380)-1)*RIGHT(I380,LEN(I380)-FIND("X",I380)-1)*M380</f>
        <v/>
      </c>
      <c r="O380" s="16">
        <f>(N380*L380)/1000</f>
        <v/>
      </c>
    </row>
    <row r="381" ht="15.75" customHeight="1" thickBot="1">
      <c r="A381" s="135" t="n"/>
      <c r="B381" s="135" t="n"/>
      <c r="C381" s="22" t="inlineStr">
        <is>
          <t>SCFG</t>
        </is>
      </c>
      <c r="D381" s="23" t="inlineStr">
        <is>
          <t>-</t>
        </is>
      </c>
      <c r="E381" s="23" t="n">
        <v>15</v>
      </c>
      <c r="F381" s="23" t="inlineStr">
        <is>
          <t>Single</t>
        </is>
      </c>
      <c r="G381" s="23" t="inlineStr">
        <is>
          <t>MSX 20 SCFG</t>
        </is>
      </c>
      <c r="H381" s="23" t="inlineStr">
        <is>
          <t>71 X 117</t>
        </is>
      </c>
      <c r="I381" s="23" t="inlineStr">
        <is>
          <t>22 X 25</t>
        </is>
      </c>
      <c r="J381" s="23" t="n">
        <v>28</v>
      </c>
      <c r="K381" s="115" t="n">
        <v>2750</v>
      </c>
      <c r="L381" s="25">
        <f>K381/J381</f>
        <v/>
      </c>
      <c r="M381" s="26" t="n">
        <v>0.3381642512077295</v>
      </c>
      <c r="N381" s="25">
        <f>LEFT(I381,FIND("X",I381)-1)*RIGHT(I381,LEN(I381)-FIND("X",I381)-1)*M381</f>
        <v/>
      </c>
      <c r="O381" s="27">
        <f>(N381*L381)/1000</f>
        <v/>
      </c>
    </row>
    <row r="382" ht="15" customHeight="1">
      <c r="A382" s="149" t="n">
        <v>7</v>
      </c>
      <c r="B382" s="150" t="inlineStr">
        <is>
          <t>MSX 22</t>
        </is>
      </c>
      <c r="C382" s="138" t="inlineStr">
        <is>
          <t>LVP</t>
        </is>
      </c>
      <c r="D382" s="29" t="inlineStr">
        <is>
          <t>Top</t>
        </is>
      </c>
      <c r="E382" s="29" t="n">
        <v>40</v>
      </c>
      <c r="F382" s="29" t="inlineStr">
        <is>
          <t>Single</t>
        </is>
      </c>
      <c r="G382" s="29" t="inlineStr">
        <is>
          <t>MSX 22 LVP</t>
        </is>
      </c>
      <c r="H382" s="29" t="inlineStr">
        <is>
          <t>60 X 140</t>
        </is>
      </c>
      <c r="I382" s="29" t="inlineStr">
        <is>
          <t>20 X 24</t>
        </is>
      </c>
      <c r="J382" s="29" t="n">
        <v>28</v>
      </c>
      <c r="K382" s="114" t="n">
        <v>500</v>
      </c>
      <c r="L382" s="31">
        <f>K382/J382</f>
        <v/>
      </c>
      <c r="M382" s="32" t="n">
        <v>0.6977821913273751</v>
      </c>
      <c r="N382" s="31">
        <f>LEFT(I382,FIND("X",I382)-1)*RIGHT(I382,LEN(I382)-FIND("X",I382)-1)*M382</f>
        <v/>
      </c>
      <c r="O382" s="33">
        <f>(N382*L382)/1000</f>
        <v/>
      </c>
    </row>
    <row r="383" ht="15" customHeight="1">
      <c r="A383" s="133" t="n"/>
      <c r="B383" s="133" t="n"/>
      <c r="C383" s="136" t="n"/>
      <c r="D383" s="11" t="inlineStr">
        <is>
          <t>Bottom</t>
        </is>
      </c>
      <c r="E383" s="11" t="n">
        <v>40</v>
      </c>
      <c r="F383" s="29" t="inlineStr">
        <is>
          <t>Single</t>
        </is>
      </c>
      <c r="G383" s="29" t="inlineStr">
        <is>
          <t>MSX 22 LVP</t>
        </is>
      </c>
      <c r="H383" s="29" t="inlineStr">
        <is>
          <t>60 X 140</t>
        </is>
      </c>
      <c r="I383" s="29" t="inlineStr">
        <is>
          <t>20 X 24</t>
        </is>
      </c>
      <c r="J383" s="29" t="n">
        <v>28</v>
      </c>
      <c r="K383" s="34" t="n">
        <v>500</v>
      </c>
      <c r="L383" s="14">
        <f>K383/J383</f>
        <v/>
      </c>
      <c r="M383" s="15" t="n">
        <v>0.6977821913273751</v>
      </c>
      <c r="N383" s="14">
        <f>LEFT(I383,FIND("X",I383)-1)*RIGHT(I383,LEN(I383)-FIND("X",I383)-1)*M383</f>
        <v/>
      </c>
      <c r="O383" s="16">
        <f>(N383*L383)/1000</f>
        <v/>
      </c>
    </row>
    <row r="384" ht="15.75" customHeight="1" thickBot="1">
      <c r="A384" s="135" t="n"/>
      <c r="B384" s="135" t="n"/>
      <c r="C384" s="22" t="inlineStr">
        <is>
          <t>SCFG</t>
        </is>
      </c>
      <c r="D384" s="23" t="inlineStr">
        <is>
          <t>-</t>
        </is>
      </c>
      <c r="E384" s="23" t="n">
        <v>15</v>
      </c>
      <c r="F384" s="23" t="inlineStr">
        <is>
          <t>Single</t>
        </is>
      </c>
      <c r="G384" s="23" t="inlineStr">
        <is>
          <t>MSX 22 SCFG</t>
        </is>
      </c>
      <c r="H384" s="23" t="inlineStr">
        <is>
          <t>80 X 160</t>
        </is>
      </c>
      <c r="I384" s="23" t="inlineStr">
        <is>
          <t>21 X 23.5</t>
        </is>
      </c>
      <c r="J384" s="23" t="n">
        <v>18</v>
      </c>
      <c r="K384" s="115" t="n">
        <v>500</v>
      </c>
      <c r="L384" s="25">
        <f>K384/J384</f>
        <v/>
      </c>
      <c r="M384" s="26" t="n">
        <v>0.3381642512077295</v>
      </c>
      <c r="N384" s="25">
        <f>LEFT(I384,FIND("X",I384)-1)*RIGHT(I384,LEN(I384)-FIND("X",I384)-1)*M384</f>
        <v/>
      </c>
      <c r="O384" s="27">
        <f>(N384*L384)/1000</f>
        <v/>
      </c>
    </row>
    <row r="385" ht="15" customHeight="1">
      <c r="A385" s="149" t="n">
        <v>8</v>
      </c>
      <c r="B385" s="150" t="inlineStr">
        <is>
          <t>MSX 24</t>
        </is>
      </c>
      <c r="C385" s="138" t="inlineStr">
        <is>
          <t>LVP</t>
        </is>
      </c>
      <c r="D385" s="29" t="inlineStr">
        <is>
          <t>Top</t>
        </is>
      </c>
      <c r="E385" s="29" t="n">
        <v>40</v>
      </c>
      <c r="F385" s="29" t="inlineStr">
        <is>
          <t>Single</t>
        </is>
      </c>
      <c r="G385" s="29" t="inlineStr">
        <is>
          <t>MSX 24 LVP</t>
        </is>
      </c>
      <c r="H385" s="29" t="inlineStr">
        <is>
          <t>61 X 198</t>
        </is>
      </c>
      <c r="I385" s="29" t="inlineStr">
        <is>
          <t>20 X 25</t>
        </is>
      </c>
      <c r="J385" s="29" t="n">
        <v>21</v>
      </c>
      <c r="K385" s="114" t="n">
        <v>200</v>
      </c>
      <c r="L385" s="31">
        <f>K385/J385</f>
        <v/>
      </c>
      <c r="M385" s="32" t="n">
        <v>0.6977821913273751</v>
      </c>
      <c r="N385" s="31">
        <f>LEFT(I385,FIND("X",I385)-1)*RIGHT(I385,LEN(I385)-FIND("X",I385)-1)*M385</f>
        <v/>
      </c>
      <c r="O385" s="33">
        <f>(N385*L385)/1000</f>
        <v/>
      </c>
    </row>
    <row r="386" ht="15" customHeight="1">
      <c r="A386" s="133" t="n"/>
      <c r="B386" s="133" t="n"/>
      <c r="C386" s="136" t="n"/>
      <c r="D386" s="11" t="inlineStr">
        <is>
          <t>Bottom</t>
        </is>
      </c>
      <c r="E386" s="11" t="n">
        <v>40</v>
      </c>
      <c r="F386" s="29" t="inlineStr">
        <is>
          <t>Single</t>
        </is>
      </c>
      <c r="G386" s="29" t="inlineStr">
        <is>
          <t>MSX 24 LVP</t>
        </is>
      </c>
      <c r="H386" s="29" t="inlineStr">
        <is>
          <t>61 X 198</t>
        </is>
      </c>
      <c r="I386" s="29" t="inlineStr">
        <is>
          <t>23 X 25</t>
        </is>
      </c>
      <c r="J386" s="29" t="n">
        <v>24</v>
      </c>
      <c r="K386" s="34" t="n">
        <v>200</v>
      </c>
      <c r="L386" s="14">
        <f>K386/J386</f>
        <v/>
      </c>
      <c r="M386" s="15" t="n">
        <v>0.6977821913273751</v>
      </c>
      <c r="N386" s="14">
        <f>LEFT(I386,FIND("X",I386)-1)*RIGHT(I386,LEN(I386)-FIND("X",I386)-1)*M386</f>
        <v/>
      </c>
      <c r="O386" s="16">
        <f>(N386*L386)/1000</f>
        <v/>
      </c>
    </row>
    <row r="387" ht="15.75" customHeight="1" thickBot="1">
      <c r="A387" s="135" t="n"/>
      <c r="B387" s="135" t="n"/>
      <c r="C387" s="22" t="inlineStr">
        <is>
          <t>SCFG</t>
        </is>
      </c>
      <c r="D387" s="23" t="inlineStr">
        <is>
          <t>-</t>
        </is>
      </c>
      <c r="E387" s="23" t="n">
        <v>15</v>
      </c>
      <c r="F387" s="23" t="inlineStr">
        <is>
          <t>Single</t>
        </is>
      </c>
      <c r="G387" s="23" t="inlineStr">
        <is>
          <t>MSX 24 SCFG</t>
        </is>
      </c>
      <c r="H387" s="23" t="inlineStr">
        <is>
          <t>78 X 221</t>
        </is>
      </c>
      <c r="I387" s="23" t="inlineStr">
        <is>
          <t>19 X 23</t>
        </is>
      </c>
      <c r="J387" s="23" t="n">
        <v>12</v>
      </c>
      <c r="K387" s="115" t="n">
        <v>200</v>
      </c>
      <c r="L387" s="25">
        <f>K387/J387</f>
        <v/>
      </c>
      <c r="M387" s="26" t="n">
        <v>0.3381642512077295</v>
      </c>
      <c r="N387" s="25">
        <f>LEFT(I387,FIND("X",I387)-1)*RIGHT(I387,LEN(I387)-FIND("X",I387)-1)*M387</f>
        <v/>
      </c>
      <c r="O387" s="27">
        <f>(N387*L387)/1000</f>
        <v/>
      </c>
    </row>
    <row r="388" ht="15" customHeight="1">
      <c r="A388" s="149" t="n">
        <v>9</v>
      </c>
      <c r="B388" s="150" t="inlineStr">
        <is>
          <t>MSX 25</t>
        </is>
      </c>
      <c r="C388" s="138" t="inlineStr">
        <is>
          <t>LVP</t>
        </is>
      </c>
      <c r="D388" s="29" t="inlineStr">
        <is>
          <t>Top</t>
        </is>
      </c>
      <c r="E388" s="29" t="n">
        <v>40</v>
      </c>
      <c r="F388" s="29" t="inlineStr">
        <is>
          <t>Single</t>
        </is>
      </c>
      <c r="G388" s="29" t="inlineStr">
        <is>
          <t>MSX 25 TOP LVP</t>
        </is>
      </c>
      <c r="H388" s="29" t="inlineStr">
        <is>
          <t>90 X 108</t>
        </is>
      </c>
      <c r="I388" s="29" t="inlineStr">
        <is>
          <t>24 X 24</t>
        </is>
      </c>
      <c r="J388" s="29" t="n">
        <v>30</v>
      </c>
      <c r="K388" s="114" t="n"/>
      <c r="L388" s="31">
        <f>K388/J388</f>
        <v/>
      </c>
      <c r="M388" s="32" t="n">
        <v>0.6977821913273751</v>
      </c>
      <c r="N388" s="31">
        <f>LEFT(I388,FIND("X",I388)-1)*RIGHT(I388,LEN(I388)-FIND("X",I388)-1)*M388</f>
        <v/>
      </c>
      <c r="O388" s="33">
        <f>(N388*L388)/1000</f>
        <v/>
      </c>
    </row>
    <row r="389" ht="15" customHeight="1">
      <c r="A389" s="133" t="n"/>
      <c r="B389" s="133" t="n"/>
      <c r="C389" s="136" t="n"/>
      <c r="D389" s="11" t="inlineStr">
        <is>
          <t>Bottom</t>
        </is>
      </c>
      <c r="E389" s="11" t="n">
        <v>40</v>
      </c>
      <c r="F389" s="29" t="inlineStr">
        <is>
          <t>Single</t>
        </is>
      </c>
      <c r="G389" s="11" t="inlineStr">
        <is>
          <t>MSX 25 BOT LVP</t>
        </is>
      </c>
      <c r="H389" s="11" t="inlineStr">
        <is>
          <t>100 X 118</t>
        </is>
      </c>
      <c r="I389" s="11" t="inlineStr">
        <is>
          <t>20.5 X 22</t>
        </is>
      </c>
      <c r="J389" s="11" t="n">
        <v>20</v>
      </c>
      <c r="K389" s="34" t="n"/>
      <c r="L389" s="14">
        <f>K389/J389</f>
        <v/>
      </c>
      <c r="M389" s="15" t="n">
        <v>0.6977821913273751</v>
      </c>
      <c r="N389" s="14">
        <f>LEFT(I389,FIND("X",I389)-1)*RIGHT(I389,LEN(I389)-FIND("X",I389)-1)*M389</f>
        <v/>
      </c>
      <c r="O389" s="16">
        <f>(N389*L389)/1000</f>
        <v/>
      </c>
    </row>
    <row r="390" ht="15.75" customHeight="1" thickBot="1">
      <c r="A390" s="135" t="n"/>
      <c r="B390" s="135" t="n"/>
      <c r="C390" s="22" t="inlineStr">
        <is>
          <t>SCFG</t>
        </is>
      </c>
      <c r="D390" s="23" t="inlineStr">
        <is>
          <t>-</t>
        </is>
      </c>
      <c r="E390" s="23" t="n">
        <v>15</v>
      </c>
      <c r="F390" s="23" t="inlineStr">
        <is>
          <t>Single</t>
        </is>
      </c>
      <c r="G390" s="23" t="inlineStr">
        <is>
          <t>MSX 25 SCFG</t>
        </is>
      </c>
      <c r="H390" s="23" t="inlineStr">
        <is>
          <t>116 X 136</t>
        </is>
      </c>
      <c r="I390" s="23" t="inlineStr">
        <is>
          <t>21.5 X 24.5</t>
        </is>
      </c>
      <c r="J390" s="23" t="n">
        <v>16</v>
      </c>
      <c r="K390" s="115" t="n"/>
      <c r="L390" s="25">
        <f>K390/J390</f>
        <v/>
      </c>
      <c r="M390" s="26" t="n">
        <v>0.3381642512077295</v>
      </c>
      <c r="N390" s="25">
        <f>LEFT(I390,FIND("X",I390)-1)*RIGHT(I390,LEN(I390)-FIND("X",I390)-1)*M390</f>
        <v/>
      </c>
      <c r="O390" s="27">
        <f>(N390*L390)/1000</f>
        <v/>
      </c>
    </row>
    <row r="391" ht="15" customHeight="1">
      <c r="A391" s="149" t="n">
        <v>10</v>
      </c>
      <c r="B391" s="150" t="inlineStr">
        <is>
          <t>MSX 26</t>
        </is>
      </c>
      <c r="C391" s="138" t="inlineStr">
        <is>
          <t>LVP</t>
        </is>
      </c>
      <c r="D391" s="29" t="inlineStr">
        <is>
          <t>Top</t>
        </is>
      </c>
      <c r="E391" s="29" t="n">
        <v>40</v>
      </c>
      <c r="F391" s="29" t="inlineStr">
        <is>
          <t>Single</t>
        </is>
      </c>
      <c r="G391" s="29" t="inlineStr">
        <is>
          <t>MSX 26 LVP</t>
        </is>
      </c>
      <c r="H391" s="29" t="inlineStr">
        <is>
          <t>64 X 248</t>
        </is>
      </c>
      <c r="I391" s="29" t="inlineStr">
        <is>
          <t>21 X 24</t>
        </is>
      </c>
      <c r="J391" s="29" t="n">
        <v>16</v>
      </c>
      <c r="K391" s="114" t="n"/>
      <c r="L391" s="31">
        <f>K391/J391</f>
        <v/>
      </c>
      <c r="M391" s="32" t="n">
        <v>0.6977821913273751</v>
      </c>
      <c r="N391" s="31">
        <f>LEFT(I391,FIND("X",I391)-1)*RIGHT(I391,LEN(I391)-FIND("X",I391)-1)*M391</f>
        <v/>
      </c>
      <c r="O391" s="33">
        <f>(N391*L391)/1000</f>
        <v/>
      </c>
    </row>
    <row r="392" ht="15" customHeight="1">
      <c r="A392" s="133" t="n"/>
      <c r="B392" s="133" t="n"/>
      <c r="C392" s="136" t="n"/>
      <c r="D392" s="11" t="inlineStr">
        <is>
          <t>Bottom</t>
        </is>
      </c>
      <c r="E392" s="11" t="n">
        <v>40</v>
      </c>
      <c r="F392" s="29" t="inlineStr">
        <is>
          <t>Single</t>
        </is>
      </c>
      <c r="G392" s="29" t="inlineStr">
        <is>
          <t>MSX 26 LVP</t>
        </is>
      </c>
      <c r="H392" s="29" t="inlineStr">
        <is>
          <t>64 X 248</t>
        </is>
      </c>
      <c r="I392" s="29" t="inlineStr">
        <is>
          <t>21 X 24</t>
        </is>
      </c>
      <c r="J392" s="29" t="n">
        <v>16</v>
      </c>
      <c r="K392" s="34" t="n"/>
      <c r="L392" s="14">
        <f>K392/J392</f>
        <v/>
      </c>
      <c r="M392" s="15" t="n">
        <v>0.6977821913273751</v>
      </c>
      <c r="N392" s="14">
        <f>LEFT(I392,FIND("X",I392)-1)*RIGHT(I392,LEN(I392)-FIND("X",I392)-1)*M392</f>
        <v/>
      </c>
      <c r="O392" s="16">
        <f>(N392*L392)/1000</f>
        <v/>
      </c>
    </row>
    <row r="393" ht="15.75" customHeight="1" thickBot="1">
      <c r="A393" s="135" t="n"/>
      <c r="B393" s="135" t="n"/>
      <c r="C393" s="22" t="inlineStr">
        <is>
          <t>SCFG</t>
        </is>
      </c>
      <c r="D393" s="23" t="inlineStr">
        <is>
          <t>-</t>
        </is>
      </c>
      <c r="E393" s="23" t="n">
        <v>15</v>
      </c>
      <c r="F393" s="23" t="inlineStr">
        <is>
          <t>Single</t>
        </is>
      </c>
      <c r="G393" s="23" t="inlineStr">
        <is>
          <t>MSX 26 SCFG</t>
        </is>
      </c>
      <c r="H393" s="23" t="inlineStr">
        <is>
          <t>85 X 270</t>
        </is>
      </c>
      <c r="I393" s="23" t="inlineStr">
        <is>
          <t>23 X 25</t>
        </is>
      </c>
      <c r="J393" s="23" t="n">
        <v>12</v>
      </c>
      <c r="K393" s="115" t="n"/>
      <c r="L393" s="25">
        <f>K393/J393</f>
        <v/>
      </c>
      <c r="M393" s="26" t="n">
        <v>0.3381642512077295</v>
      </c>
      <c r="N393" s="25">
        <f>LEFT(I393,FIND("X",I393)-1)*RIGHT(I393,LEN(I393)-FIND("X",I393)-1)*M393</f>
        <v/>
      </c>
      <c r="O393" s="27">
        <f>(N393*L393)/1000</f>
        <v/>
      </c>
    </row>
    <row r="394" ht="15" customHeight="1">
      <c r="A394" s="149" t="n">
        <v>11</v>
      </c>
      <c r="B394" s="150" t="inlineStr">
        <is>
          <t>MSX 28</t>
        </is>
      </c>
      <c r="C394" s="138" t="inlineStr">
        <is>
          <t>LVP</t>
        </is>
      </c>
      <c r="D394" s="29" t="inlineStr">
        <is>
          <t>Top</t>
        </is>
      </c>
      <c r="E394" s="29" t="n">
        <v>40</v>
      </c>
      <c r="F394" s="29" t="inlineStr">
        <is>
          <t>Single</t>
        </is>
      </c>
      <c r="G394" s="29" t="inlineStr">
        <is>
          <t>MSX 28 LVP</t>
        </is>
      </c>
      <c r="H394" s="29" t="inlineStr">
        <is>
          <t>58 X 311</t>
        </is>
      </c>
      <c r="I394" s="29" t="inlineStr">
        <is>
          <t>22.5 X 25.5</t>
        </is>
      </c>
      <c r="J394" s="29" t="n">
        <v>16</v>
      </c>
      <c r="K394" s="114" t="n"/>
      <c r="L394" s="31">
        <f>K394/J394</f>
        <v/>
      </c>
      <c r="M394" s="32" t="n">
        <v>0.6977821913273751</v>
      </c>
      <c r="N394" s="31">
        <f>LEFT(I394,FIND("X",I394)-1)*RIGHT(I394,LEN(I394)-FIND("X",I394)-1)*M394</f>
        <v/>
      </c>
      <c r="O394" s="33">
        <f>(N394*L394)/1000</f>
        <v/>
      </c>
    </row>
    <row r="395" ht="15" customHeight="1">
      <c r="A395" s="133" t="n"/>
      <c r="B395" s="133" t="n"/>
      <c r="C395" s="136" t="n"/>
      <c r="D395" s="11" t="inlineStr">
        <is>
          <t>Bottom</t>
        </is>
      </c>
      <c r="E395" s="11" t="n">
        <v>40</v>
      </c>
      <c r="F395" s="29" t="inlineStr">
        <is>
          <t>Single</t>
        </is>
      </c>
      <c r="G395" s="29" t="inlineStr">
        <is>
          <t>MSX 28 LVP</t>
        </is>
      </c>
      <c r="H395" s="29" t="inlineStr">
        <is>
          <t>58 X 311</t>
        </is>
      </c>
      <c r="I395" s="29" t="inlineStr">
        <is>
          <t>22.5 X 25.5</t>
        </is>
      </c>
      <c r="J395" s="29" t="n">
        <v>16</v>
      </c>
      <c r="K395" s="34" t="n"/>
      <c r="L395" s="14">
        <f>K395/J395</f>
        <v/>
      </c>
      <c r="M395" s="15" t="n">
        <v>0.6977821913273751</v>
      </c>
      <c r="N395" s="14">
        <f>LEFT(I395,FIND("X",I395)-1)*RIGHT(I395,LEN(I395)-FIND("X",I395)-1)*M395</f>
        <v/>
      </c>
      <c r="O395" s="16">
        <f>(N395*L395)/1000</f>
        <v/>
      </c>
    </row>
    <row r="396" ht="15.75" customHeight="1" thickBot="1">
      <c r="A396" s="135" t="n"/>
      <c r="B396" s="135" t="n"/>
      <c r="C396" s="22" t="inlineStr">
        <is>
          <t>SCFG</t>
        </is>
      </c>
      <c r="D396" s="23" t="inlineStr">
        <is>
          <t>-</t>
        </is>
      </c>
      <c r="E396" s="23" t="n">
        <v>15</v>
      </c>
      <c r="F396" s="23" t="inlineStr">
        <is>
          <t>Single</t>
        </is>
      </c>
      <c r="G396" s="23" t="inlineStr">
        <is>
          <t>MSX 28 SCFG</t>
        </is>
      </c>
      <c r="H396" s="23" t="inlineStr">
        <is>
          <t>74 X 333</t>
        </is>
      </c>
      <c r="I396" s="23" t="inlineStr">
        <is>
          <t>18.5 X 69.5</t>
        </is>
      </c>
      <c r="J396" s="23" t="n">
        <v>25</v>
      </c>
      <c r="K396" s="115" t="n"/>
      <c r="L396" s="25">
        <f>K396/J396</f>
        <v/>
      </c>
      <c r="M396" s="26" t="n">
        <v>0.3381642512077295</v>
      </c>
      <c r="N396" s="25">
        <f>LEFT(I396,FIND("X",I396)-1)*RIGHT(I396,LEN(I396)-FIND("X",I396)-1)*M396</f>
        <v/>
      </c>
      <c r="O396" s="27">
        <f>(N396*L396)/1000</f>
        <v/>
      </c>
    </row>
    <row r="397" ht="15" customHeight="1">
      <c r="A397" s="149" t="n">
        <v>12</v>
      </c>
      <c r="B397" s="150" t="inlineStr">
        <is>
          <t>MSX 33</t>
        </is>
      </c>
      <c r="C397" s="138" t="inlineStr">
        <is>
          <t>LVP</t>
        </is>
      </c>
      <c r="D397" s="29" t="inlineStr">
        <is>
          <t>Top</t>
        </is>
      </c>
      <c r="E397" s="29" t="n">
        <v>40</v>
      </c>
      <c r="F397" s="29" t="inlineStr">
        <is>
          <t>Single</t>
        </is>
      </c>
      <c r="G397" s="29" t="inlineStr">
        <is>
          <t>MSX 33 LVP</t>
        </is>
      </c>
      <c r="H397" s="29" t="inlineStr">
        <is>
          <t>80 X 110</t>
        </is>
      </c>
      <c r="I397" s="29" t="inlineStr">
        <is>
          <t>22 X 24</t>
        </is>
      </c>
      <c r="J397" s="29" t="n">
        <v>30</v>
      </c>
      <c r="K397" s="114" t="n">
        <v>500</v>
      </c>
      <c r="L397" s="31">
        <f>K397/J397</f>
        <v/>
      </c>
      <c r="M397" s="32" t="n">
        <v>0.6977821913273751</v>
      </c>
      <c r="N397" s="31">
        <f>LEFT(I397,FIND("X",I397)-1)*RIGHT(I397,LEN(I397)-FIND("X",I397)-1)*M397</f>
        <v/>
      </c>
      <c r="O397" s="33">
        <f>(N397*L397)/1000</f>
        <v/>
      </c>
    </row>
    <row r="398" ht="15" customHeight="1">
      <c r="A398" s="133" t="n"/>
      <c r="B398" s="133" t="n"/>
      <c r="C398" s="136" t="n"/>
      <c r="D398" s="11" t="inlineStr">
        <is>
          <t>Bottom</t>
        </is>
      </c>
      <c r="E398" s="11" t="n">
        <v>40</v>
      </c>
      <c r="F398" s="29" t="inlineStr">
        <is>
          <t>Single</t>
        </is>
      </c>
      <c r="G398" s="29" t="inlineStr">
        <is>
          <t>MSX 33 LVP</t>
        </is>
      </c>
      <c r="H398" s="29" t="inlineStr">
        <is>
          <t>80 X 110</t>
        </is>
      </c>
      <c r="I398" s="29" t="inlineStr">
        <is>
          <t>22 X 24</t>
        </is>
      </c>
      <c r="J398" s="29" t="n">
        <v>30</v>
      </c>
      <c r="K398" s="34" t="n">
        <v>500</v>
      </c>
      <c r="L398" s="14">
        <f>K398/J398</f>
        <v/>
      </c>
      <c r="M398" s="15" t="n">
        <v>0.6977821913273751</v>
      </c>
      <c r="N398" s="14">
        <f>LEFT(I398,FIND("X",I398)-1)*RIGHT(I398,LEN(I398)-FIND("X",I398)-1)*M398</f>
        <v/>
      </c>
      <c r="O398" s="16">
        <f>(N398*L398)/1000</f>
        <v/>
      </c>
    </row>
    <row r="399" ht="15.75" customHeight="1" thickBot="1">
      <c r="A399" s="135" t="n"/>
      <c r="B399" s="135" t="n"/>
      <c r="C399" s="22" t="inlineStr">
        <is>
          <t>SCFG</t>
        </is>
      </c>
      <c r="D399" s="23" t="inlineStr">
        <is>
          <t>-</t>
        </is>
      </c>
      <c r="E399" s="23" t="n">
        <v>15</v>
      </c>
      <c r="F399" s="23" t="inlineStr">
        <is>
          <t>Single</t>
        </is>
      </c>
      <c r="G399" s="23" t="inlineStr">
        <is>
          <t>MSX 33 SCFG</t>
        </is>
      </c>
      <c r="H399" s="23" t="inlineStr">
        <is>
          <t>100 X 130</t>
        </is>
      </c>
      <c r="I399" s="23" t="inlineStr">
        <is>
          <t>23.5 X 29.5</t>
        </is>
      </c>
      <c r="J399" s="23" t="n">
        <v>25</v>
      </c>
      <c r="K399" s="115" t="n">
        <v>500</v>
      </c>
      <c r="L399" s="25">
        <f>K399/J399</f>
        <v/>
      </c>
      <c r="M399" s="26" t="n">
        <v>0.3381642512077295</v>
      </c>
      <c r="N399" s="25">
        <f>LEFT(I399,FIND("X",I399)-1)*RIGHT(I399,LEN(I399)-FIND("X",I399)-1)*M399</f>
        <v/>
      </c>
      <c r="O399" s="27">
        <f>(N399*L399)/1000</f>
        <v/>
      </c>
    </row>
    <row r="400" ht="15" customHeight="1">
      <c r="A400" s="149" t="n">
        <v>13</v>
      </c>
      <c r="B400" s="150" t="inlineStr">
        <is>
          <t>MSX 35</t>
        </is>
      </c>
      <c r="C400" s="138" t="inlineStr">
        <is>
          <t>LVP</t>
        </is>
      </c>
      <c r="D400" s="29" t="inlineStr">
        <is>
          <t>Top</t>
        </is>
      </c>
      <c r="E400" s="29" t="n">
        <v>40</v>
      </c>
      <c r="F400" s="29" t="inlineStr">
        <is>
          <t>Single</t>
        </is>
      </c>
      <c r="G400" s="29" t="inlineStr">
        <is>
          <t>MSX 35 TOP LVP</t>
        </is>
      </c>
      <c r="H400" s="29" t="inlineStr">
        <is>
          <t>94 X 145</t>
        </is>
      </c>
      <c r="I400" s="29" t="inlineStr">
        <is>
          <t>21 X 25</t>
        </is>
      </c>
      <c r="J400" s="29" t="n">
        <v>20</v>
      </c>
      <c r="K400" s="114" t="n">
        <v>360</v>
      </c>
      <c r="L400" s="31">
        <f>K400/J400</f>
        <v/>
      </c>
      <c r="M400" s="32" t="n">
        <v>0.6977821913273751</v>
      </c>
      <c r="N400" s="31">
        <f>LEFT(I400,FIND("X",I400)-1)*RIGHT(I400,LEN(I400)-FIND("X",I400)-1)*M400</f>
        <v/>
      </c>
      <c r="O400" s="33">
        <f>(N400*L400)/1000</f>
        <v/>
      </c>
    </row>
    <row r="401" ht="15" customHeight="1">
      <c r="A401" s="133" t="n"/>
      <c r="B401" s="133" t="n"/>
      <c r="C401" s="136" t="n"/>
      <c r="D401" s="11" t="inlineStr">
        <is>
          <t>Bottom</t>
        </is>
      </c>
      <c r="E401" s="11" t="n">
        <v>40</v>
      </c>
      <c r="F401" s="29" t="inlineStr">
        <is>
          <t>Single</t>
        </is>
      </c>
      <c r="G401" s="11" t="inlineStr">
        <is>
          <t>MSX 35 BOT LVP</t>
        </is>
      </c>
      <c r="H401" s="11" t="inlineStr">
        <is>
          <t>104 X 154</t>
        </is>
      </c>
      <c r="I401" s="11" t="inlineStr">
        <is>
          <t>20 X 23</t>
        </is>
      </c>
      <c r="J401" s="11" t="n">
        <v>15</v>
      </c>
      <c r="K401" s="34" t="n">
        <v>360</v>
      </c>
      <c r="L401" s="14">
        <f>K401/J401</f>
        <v/>
      </c>
      <c r="M401" s="15" t="n">
        <v>0.6977821913273751</v>
      </c>
      <c r="N401" s="14">
        <f>LEFT(I401,FIND("X",I401)-1)*RIGHT(I401,LEN(I401)-FIND("X",I401)-1)*M401</f>
        <v/>
      </c>
      <c r="O401" s="16">
        <f>(N401*L401)/1000</f>
        <v/>
      </c>
    </row>
    <row r="402" ht="15.75" customHeight="1" thickBot="1">
      <c r="A402" s="135" t="n"/>
      <c r="B402" s="135" t="n"/>
      <c r="C402" s="22" t="inlineStr">
        <is>
          <t>SCFG</t>
        </is>
      </c>
      <c r="D402" s="23" t="inlineStr">
        <is>
          <t>-</t>
        </is>
      </c>
      <c r="E402" s="23" t="n">
        <v>15</v>
      </c>
      <c r="F402" s="23" t="inlineStr">
        <is>
          <t>Single</t>
        </is>
      </c>
      <c r="G402" s="23" t="inlineStr">
        <is>
          <t>MSX 35 SCFG</t>
        </is>
      </c>
      <c r="H402" s="23" t="inlineStr">
        <is>
          <t>122 X 175</t>
        </is>
      </c>
      <c r="I402" s="23" t="inlineStr">
        <is>
          <t>28 X 38.5</t>
        </is>
      </c>
      <c r="J402" s="23" t="n">
        <v>25</v>
      </c>
      <c r="K402" s="115" t="n">
        <v>360</v>
      </c>
      <c r="L402" s="25">
        <f>K402/J402</f>
        <v/>
      </c>
      <c r="M402" s="26" t="n">
        <v>0.3381642512077295</v>
      </c>
      <c r="N402" s="25">
        <f>LEFT(I402,FIND("X",I402)-1)*RIGHT(I402,LEN(I402)-FIND("X",I402)-1)*M402</f>
        <v/>
      </c>
      <c r="O402" s="27">
        <f>(N402*L402)/1000</f>
        <v/>
      </c>
    </row>
    <row r="403" ht="15" customHeight="1">
      <c r="A403" s="149" t="n">
        <v>14</v>
      </c>
      <c r="B403" s="150" t="inlineStr">
        <is>
          <t>MSX 40</t>
        </is>
      </c>
      <c r="C403" s="138" t="inlineStr">
        <is>
          <t>LVP</t>
        </is>
      </c>
      <c r="D403" s="29" t="inlineStr">
        <is>
          <t>Top</t>
        </is>
      </c>
      <c r="E403" s="29" t="n">
        <v>60</v>
      </c>
      <c r="F403" s="29" t="inlineStr">
        <is>
          <t>Single</t>
        </is>
      </c>
      <c r="G403" s="29" t="inlineStr">
        <is>
          <t>MSX 40 TOP LVP</t>
        </is>
      </c>
      <c r="H403" s="29" t="inlineStr">
        <is>
          <t>76 X 168</t>
        </is>
      </c>
      <c r="I403" s="29" t="inlineStr">
        <is>
          <t>21 X 24</t>
        </is>
      </c>
      <c r="J403" s="29" t="n">
        <v>21</v>
      </c>
      <c r="K403" s="114" t="n">
        <v>720</v>
      </c>
      <c r="L403" s="31">
        <f>K403/J403</f>
        <v/>
      </c>
      <c r="M403" s="32" t="n">
        <v>1.103988603988604</v>
      </c>
      <c r="N403" s="31">
        <f>LEFT(I403,FIND("X",I403)-1)*RIGHT(I403,LEN(I403)-FIND("X",I403)-1)*M403</f>
        <v/>
      </c>
      <c r="O403" s="33">
        <f>(N403*L403)/1000</f>
        <v/>
      </c>
    </row>
    <row r="404" ht="15" customHeight="1">
      <c r="A404" s="133" t="n"/>
      <c r="B404" s="133" t="n"/>
      <c r="C404" s="136" t="n"/>
      <c r="D404" s="11" t="inlineStr">
        <is>
          <t>Bottom</t>
        </is>
      </c>
      <c r="E404" s="11" t="n">
        <v>40</v>
      </c>
      <c r="F404" s="29" t="inlineStr">
        <is>
          <t>Single</t>
        </is>
      </c>
      <c r="G404" s="11" t="inlineStr">
        <is>
          <t>MSX 40 BOT LVP</t>
        </is>
      </c>
      <c r="H404" s="11" t="inlineStr">
        <is>
          <t>88 X 178</t>
        </is>
      </c>
      <c r="I404" s="11" t="inlineStr">
        <is>
          <t>20 X 23</t>
        </is>
      </c>
      <c r="J404" s="11" t="n">
        <v>15</v>
      </c>
      <c r="K404" s="34" t="n">
        <v>720</v>
      </c>
      <c r="L404" s="14">
        <f>K404/J404</f>
        <v/>
      </c>
      <c r="M404" s="15" t="n">
        <v>0.6977821913273751</v>
      </c>
      <c r="N404" s="14">
        <f>LEFT(I404,FIND("X",I404)-1)*RIGHT(I404,LEN(I404)-FIND("X",I404)-1)*M404</f>
        <v/>
      </c>
      <c r="O404" s="16">
        <f>(N404*L404)/1000</f>
        <v/>
      </c>
    </row>
    <row r="405" ht="15.75" customHeight="1" thickBot="1">
      <c r="A405" s="135" t="n"/>
      <c r="B405" s="135" t="n"/>
      <c r="C405" s="22" t="inlineStr">
        <is>
          <t>SCFG</t>
        </is>
      </c>
      <c r="D405" s="23" t="inlineStr">
        <is>
          <t>-</t>
        </is>
      </c>
      <c r="E405" s="23" t="n">
        <v>15</v>
      </c>
      <c r="F405" s="23" t="inlineStr">
        <is>
          <t>Single</t>
        </is>
      </c>
      <c r="G405" s="23" t="inlineStr">
        <is>
          <t>MSX 40 SCFG</t>
        </is>
      </c>
      <c r="H405" s="23" t="inlineStr">
        <is>
          <t>110 X 198</t>
        </is>
      </c>
      <c r="I405" s="23" t="inlineStr">
        <is>
          <t>25.5 X 43</t>
        </is>
      </c>
      <c r="J405" s="23" t="n">
        <v>25</v>
      </c>
      <c r="K405" s="115" t="n">
        <v>720</v>
      </c>
      <c r="L405" s="25">
        <f>K405/J405</f>
        <v/>
      </c>
      <c r="M405" s="26" t="n">
        <v>0.3381642512077295</v>
      </c>
      <c r="N405" s="25">
        <f>LEFT(I405,FIND("X",I405)-1)*RIGHT(I405,LEN(I405)-FIND("X",I405)-1)*M405</f>
        <v/>
      </c>
      <c r="O405" s="27">
        <f>(N405*L405)/1000</f>
        <v/>
      </c>
    </row>
    <row r="406" ht="15" customHeight="1">
      <c r="A406" s="149" t="n">
        <v>15</v>
      </c>
      <c r="B406" s="150" t="inlineStr">
        <is>
          <t>MSX 42</t>
        </is>
      </c>
      <c r="C406" s="138" t="inlineStr">
        <is>
          <t>LVP</t>
        </is>
      </c>
      <c r="D406" s="29" t="inlineStr">
        <is>
          <t>Top</t>
        </is>
      </c>
      <c r="E406" s="29" t="n">
        <v>60</v>
      </c>
      <c r="F406" s="29" t="inlineStr">
        <is>
          <t>Single</t>
        </is>
      </c>
      <c r="G406" s="29" t="inlineStr">
        <is>
          <t>MSX 42 TOP LVP</t>
        </is>
      </c>
      <c r="H406" s="29" t="inlineStr">
        <is>
          <t>100 X 230</t>
        </is>
      </c>
      <c r="I406" s="29" t="inlineStr">
        <is>
          <t>19 X 22</t>
        </is>
      </c>
      <c r="J406" s="29" t="n">
        <v>10</v>
      </c>
      <c r="K406" s="114" t="n">
        <v>500</v>
      </c>
      <c r="L406" s="31">
        <f>K406/J406</f>
        <v/>
      </c>
      <c r="M406" s="32" t="n">
        <v>1.103988603988604</v>
      </c>
      <c r="N406" s="31">
        <f>LEFT(I406,FIND("X",I406)-1)*RIGHT(I406,LEN(I406)-FIND("X",I406)-1)*M406</f>
        <v/>
      </c>
      <c r="O406" s="33">
        <f>(N406*L406)/1000</f>
        <v/>
      </c>
    </row>
    <row r="407" ht="15" customHeight="1">
      <c r="A407" s="133" t="n"/>
      <c r="B407" s="133" t="n"/>
      <c r="C407" s="136" t="n"/>
      <c r="D407" s="11" t="inlineStr">
        <is>
          <t>Bottom</t>
        </is>
      </c>
      <c r="E407" s="11" t="n">
        <v>40</v>
      </c>
      <c r="F407" s="29" t="inlineStr">
        <is>
          <t>Single</t>
        </is>
      </c>
      <c r="G407" s="11" t="inlineStr">
        <is>
          <t>MSX 42 BOT LVP</t>
        </is>
      </c>
      <c r="H407" s="11" t="inlineStr">
        <is>
          <t>108 X 240</t>
        </is>
      </c>
      <c r="I407" s="11" t="inlineStr">
        <is>
          <t>20 X 24</t>
        </is>
      </c>
      <c r="J407" s="11" t="n">
        <v>10</v>
      </c>
      <c r="K407" s="34" t="n">
        <v>500</v>
      </c>
      <c r="L407" s="14">
        <f>K407/J407</f>
        <v/>
      </c>
      <c r="M407" s="15" t="n">
        <v>0.6977821913273751</v>
      </c>
      <c r="N407" s="14">
        <f>LEFT(I407,FIND("X",I407)-1)*RIGHT(I407,LEN(I407)-FIND("X",I407)-1)*M407</f>
        <v/>
      </c>
      <c r="O407" s="16">
        <f>(N407*L407)/1000</f>
        <v/>
      </c>
    </row>
    <row r="408" ht="15.75" customHeight="1" thickBot="1">
      <c r="A408" s="135" t="n"/>
      <c r="B408" s="135" t="n"/>
      <c r="C408" s="22" t="inlineStr">
        <is>
          <t>SCFG</t>
        </is>
      </c>
      <c r="D408" s="23" t="inlineStr">
        <is>
          <t>-</t>
        </is>
      </c>
      <c r="E408" s="23" t="n">
        <v>15</v>
      </c>
      <c r="F408" s="23" t="inlineStr">
        <is>
          <t>Single</t>
        </is>
      </c>
      <c r="G408" s="23" t="inlineStr">
        <is>
          <t>MSX 42 SCFG</t>
        </is>
      </c>
      <c r="H408" s="23" t="inlineStr">
        <is>
          <t>126 X 260</t>
        </is>
      </c>
      <c r="I408" s="23" t="inlineStr">
        <is>
          <t>29 X 55</t>
        </is>
      </c>
      <c r="J408" s="23" t="n">
        <v>25</v>
      </c>
      <c r="K408" s="115" t="n">
        <v>500</v>
      </c>
      <c r="L408" s="25">
        <f>K408/J408</f>
        <v/>
      </c>
      <c r="M408" s="26" t="n">
        <v>0.3381642512077295</v>
      </c>
      <c r="N408" s="25">
        <f>LEFT(I408,FIND("X",I408)-1)*RIGHT(I408,LEN(I408)-FIND("X",I408)-1)*M408</f>
        <v/>
      </c>
      <c r="O408" s="27">
        <f>(N408*L408)/1000</f>
        <v/>
      </c>
    </row>
    <row r="409" ht="15" customHeight="1">
      <c r="A409" s="149" t="n">
        <v>16</v>
      </c>
      <c r="B409" s="150" t="inlineStr">
        <is>
          <t>MSX 44</t>
        </is>
      </c>
      <c r="C409" s="138" t="inlineStr">
        <is>
          <t>LVP</t>
        </is>
      </c>
      <c r="D409" s="29" t="inlineStr">
        <is>
          <t>Top</t>
        </is>
      </c>
      <c r="E409" s="29" t="n">
        <v>60</v>
      </c>
      <c r="F409" s="29" t="inlineStr">
        <is>
          <t>Single</t>
        </is>
      </c>
      <c r="G409" s="29" t="inlineStr">
        <is>
          <t>MSX 44 TOP LVP</t>
        </is>
      </c>
      <c r="H409" s="29" t="inlineStr">
        <is>
          <t>100 X 108</t>
        </is>
      </c>
      <c r="I409" s="29" t="inlineStr">
        <is>
          <t>18 X 24</t>
        </is>
      </c>
      <c r="J409" s="29" t="n">
        <v>20</v>
      </c>
      <c r="K409" s="114" t="n"/>
      <c r="L409" s="31">
        <f>K409/J409</f>
        <v/>
      </c>
      <c r="M409" s="32" t="n">
        <v>1.103988603988604</v>
      </c>
      <c r="N409" s="31">
        <f>LEFT(I409,FIND("X",I409)-1)*RIGHT(I409,LEN(I409)-FIND("X",I409)-1)*M409</f>
        <v/>
      </c>
      <c r="O409" s="33">
        <f>(N409*L409)/1000</f>
        <v/>
      </c>
    </row>
    <row r="410" ht="15" customHeight="1">
      <c r="A410" s="133" t="n"/>
      <c r="B410" s="133" t="n"/>
      <c r="C410" s="136" t="n"/>
      <c r="D410" s="11" t="inlineStr">
        <is>
          <t>Bottom</t>
        </is>
      </c>
      <c r="E410" s="11" t="n">
        <v>40</v>
      </c>
      <c r="F410" s="29" t="inlineStr">
        <is>
          <t>Single</t>
        </is>
      </c>
      <c r="G410" s="11" t="inlineStr">
        <is>
          <t>MSX 44 BOT LVP</t>
        </is>
      </c>
      <c r="H410" s="11" t="inlineStr">
        <is>
          <t>110 X 320</t>
        </is>
      </c>
      <c r="I410" s="11" t="inlineStr">
        <is>
          <t>24 X 26</t>
        </is>
      </c>
      <c r="J410" s="11" t="n">
        <v>10</v>
      </c>
      <c r="K410" s="34" t="n"/>
      <c r="L410" s="14">
        <f>K410/J410</f>
        <v/>
      </c>
      <c r="M410" s="15" t="n">
        <v>0.6977821913273751</v>
      </c>
      <c r="N410" s="14">
        <f>LEFT(I410,FIND("X",I410)-1)*RIGHT(I410,LEN(I410)-FIND("X",I410)-1)*M410</f>
        <v/>
      </c>
      <c r="O410" s="16">
        <f>(N410*L410)/1000</f>
        <v/>
      </c>
    </row>
    <row r="411" ht="15.75" customHeight="1" thickBot="1">
      <c r="A411" s="135" t="n"/>
      <c r="B411" s="135" t="n"/>
      <c r="C411" s="22" t="inlineStr">
        <is>
          <t>SCFG</t>
        </is>
      </c>
      <c r="D411" s="23" t="inlineStr">
        <is>
          <t>-</t>
        </is>
      </c>
      <c r="E411" s="23" t="n">
        <v>15</v>
      </c>
      <c r="F411" s="23" t="inlineStr">
        <is>
          <t>Single</t>
        </is>
      </c>
      <c r="G411" s="23" t="inlineStr">
        <is>
          <t>MSX 44 SCFG</t>
        </is>
      </c>
      <c r="H411" s="23" t="inlineStr">
        <is>
          <t>135 X 346</t>
        </is>
      </c>
      <c r="I411" s="23" t="inlineStr">
        <is>
          <t>30.5 X 72</t>
        </is>
      </c>
      <c r="J411" s="23" t="n">
        <v>25</v>
      </c>
      <c r="K411" s="115" t="n"/>
      <c r="L411" s="25">
        <f>K411/J411</f>
        <v/>
      </c>
      <c r="M411" s="26" t="n">
        <v>0.3381642512077295</v>
      </c>
      <c r="N411" s="25">
        <f>LEFT(I411,FIND("X",I411)-1)*RIGHT(I411,LEN(I411)-FIND("X",I411)-1)*M411</f>
        <v/>
      </c>
      <c r="O411" s="27">
        <f>(N411*L411)/1000</f>
        <v/>
      </c>
    </row>
    <row r="412" ht="15" customHeight="1">
      <c r="A412" s="149" t="n">
        <v>17</v>
      </c>
      <c r="B412" s="150" t="inlineStr">
        <is>
          <t>MSX 45</t>
        </is>
      </c>
      <c r="C412" s="138" t="inlineStr">
        <is>
          <t>LVP</t>
        </is>
      </c>
      <c r="D412" s="29" t="inlineStr">
        <is>
          <t>Top</t>
        </is>
      </c>
      <c r="E412" s="29" t="n">
        <v>40</v>
      </c>
      <c r="F412" s="29" t="inlineStr">
        <is>
          <t>Single</t>
        </is>
      </c>
      <c r="G412" s="29" t="inlineStr">
        <is>
          <t>MSX 45 LVP</t>
        </is>
      </c>
      <c r="H412" s="29" t="inlineStr">
        <is>
          <t>158 X 209</t>
        </is>
      </c>
      <c r="I412" s="29" t="inlineStr">
        <is>
          <t>18 X 20</t>
        </is>
      </c>
      <c r="J412" s="29" t="n">
        <v>6</v>
      </c>
      <c r="K412" s="114" t="n">
        <v>120</v>
      </c>
      <c r="L412" s="31">
        <f>K412/J412</f>
        <v/>
      </c>
      <c r="M412" s="32" t="n">
        <v>0.6977821913273751</v>
      </c>
      <c r="N412" s="31">
        <f>LEFT(I412,FIND("X",I412)-1)*RIGHT(I412,LEN(I412)-FIND("X",I412)-1)*M412</f>
        <v/>
      </c>
      <c r="O412" s="33">
        <f>(N412*L412)/1000</f>
        <v/>
      </c>
    </row>
    <row r="413" ht="15" customHeight="1">
      <c r="A413" s="133" t="n"/>
      <c r="B413" s="133" t="n"/>
      <c r="C413" s="136" t="n"/>
      <c r="D413" s="11" t="inlineStr">
        <is>
          <t>Bottom</t>
        </is>
      </c>
      <c r="E413" s="11" t="n">
        <v>40</v>
      </c>
      <c r="F413" s="29" t="inlineStr">
        <is>
          <t>Single</t>
        </is>
      </c>
      <c r="G413" s="29" t="inlineStr">
        <is>
          <t>MSX 45 LVP</t>
        </is>
      </c>
      <c r="H413" s="29" t="inlineStr">
        <is>
          <t>158 X 209</t>
        </is>
      </c>
      <c r="I413" s="11" t="inlineStr">
        <is>
          <t>18 X 20</t>
        </is>
      </c>
      <c r="J413" s="11" t="n">
        <v>6</v>
      </c>
      <c r="K413" s="34" t="n">
        <v>120</v>
      </c>
      <c r="L413" s="14">
        <f>K413/J413</f>
        <v/>
      </c>
      <c r="M413" s="15" t="n">
        <v>0.6977821913273751</v>
      </c>
      <c r="N413" s="14">
        <f>LEFT(I413,FIND("X",I413)-1)*RIGHT(I413,LEN(I413)-FIND("X",I413)-1)*M413</f>
        <v/>
      </c>
      <c r="O413" s="16">
        <f>(N413*L413)/1000</f>
        <v/>
      </c>
    </row>
    <row r="414" ht="15.75" customHeight="1" thickBot="1">
      <c r="A414" s="135" t="n"/>
      <c r="B414" s="135" t="n"/>
      <c r="C414" s="22" t="inlineStr">
        <is>
          <t>SCFG</t>
        </is>
      </c>
      <c r="D414" s="23" t="inlineStr">
        <is>
          <t>-</t>
        </is>
      </c>
      <c r="E414" s="23" t="n">
        <v>15</v>
      </c>
      <c r="F414" s="23" t="inlineStr">
        <is>
          <t>Single</t>
        </is>
      </c>
      <c r="G414" s="23" t="inlineStr">
        <is>
          <t>MSX 45 SCFG</t>
        </is>
      </c>
      <c r="H414" s="23" t="inlineStr">
        <is>
          <t>175 X 226</t>
        </is>
      </c>
      <c r="I414" s="23" t="inlineStr">
        <is>
          <t>38.5 X 48.5</t>
        </is>
      </c>
      <c r="J414" s="23" t="n">
        <v>25</v>
      </c>
      <c r="K414" s="115" t="n">
        <v>120</v>
      </c>
      <c r="L414" s="25">
        <f>K414/J414</f>
        <v/>
      </c>
      <c r="M414" s="26" t="n">
        <v>0.3381642512077295</v>
      </c>
      <c r="N414" s="25">
        <f>LEFT(I414,FIND("X",I414)-1)*RIGHT(I414,LEN(I414)-FIND("X",I414)-1)*M414</f>
        <v/>
      </c>
      <c r="O414" s="27">
        <f>(N414*L414)/1000</f>
        <v/>
      </c>
    </row>
    <row r="415" ht="15" customHeight="1">
      <c r="A415" s="149" t="n">
        <v>18</v>
      </c>
      <c r="B415" s="150" t="inlineStr">
        <is>
          <t>MSX 46</t>
        </is>
      </c>
      <c r="C415" s="138" t="inlineStr">
        <is>
          <t>LVP</t>
        </is>
      </c>
      <c r="D415" s="29" t="inlineStr">
        <is>
          <t>Top</t>
        </is>
      </c>
      <c r="E415" s="29" t="n">
        <v>40</v>
      </c>
      <c r="F415" s="29" t="inlineStr">
        <is>
          <t>Single</t>
        </is>
      </c>
      <c r="G415" s="29" t="inlineStr">
        <is>
          <t>MSX 46 LVP</t>
        </is>
      </c>
      <c r="H415" s="29" t="inlineStr">
        <is>
          <t>128 X 389</t>
        </is>
      </c>
      <c r="I415" s="29" t="inlineStr">
        <is>
          <t>16 X 23</t>
        </is>
      </c>
      <c r="J415" s="29" t="n">
        <v>4</v>
      </c>
      <c r="K415" s="114" t="n"/>
      <c r="L415" s="31">
        <f>K415/J415</f>
        <v/>
      </c>
      <c r="M415" s="32" t="n">
        <v>0.6977821913273751</v>
      </c>
      <c r="N415" s="31">
        <f>LEFT(I415,FIND("X",I415)-1)*RIGHT(I415,LEN(I415)-FIND("X",I415)-1)*M415</f>
        <v/>
      </c>
      <c r="O415" s="33">
        <f>(N415*L415)/1000</f>
        <v/>
      </c>
    </row>
    <row r="416" ht="15" customHeight="1">
      <c r="A416" s="133" t="n"/>
      <c r="B416" s="133" t="n"/>
      <c r="C416" s="136" t="n"/>
      <c r="D416" s="11" t="inlineStr">
        <is>
          <t>Bottom</t>
        </is>
      </c>
      <c r="E416" s="11" t="n">
        <v>40</v>
      </c>
      <c r="F416" s="29" t="inlineStr">
        <is>
          <t>Single</t>
        </is>
      </c>
      <c r="G416" s="29" t="inlineStr">
        <is>
          <t>MSX 46 LVP</t>
        </is>
      </c>
      <c r="H416" s="29" t="inlineStr">
        <is>
          <t>128 X 389</t>
        </is>
      </c>
      <c r="I416" s="11" t="inlineStr">
        <is>
          <t>16 X 23</t>
        </is>
      </c>
      <c r="J416" s="11" t="n">
        <v>4</v>
      </c>
      <c r="K416" s="34" t="n"/>
      <c r="L416" s="14">
        <f>K416/J416</f>
        <v/>
      </c>
      <c r="M416" s="15" t="n">
        <v>0.6977821913273751</v>
      </c>
      <c r="N416" s="14">
        <f>LEFT(I416,FIND("X",I416)-1)*RIGHT(I416,LEN(I416)-FIND("X",I416)-1)*M416</f>
        <v/>
      </c>
      <c r="O416" s="16">
        <f>(N416*L416)/1000</f>
        <v/>
      </c>
    </row>
    <row r="417" ht="15.75" customHeight="1" thickBot="1">
      <c r="A417" s="135" t="n"/>
      <c r="B417" s="135" t="n"/>
      <c r="C417" s="22" t="inlineStr">
        <is>
          <t>SCFG</t>
        </is>
      </c>
      <c r="D417" s="23" t="inlineStr">
        <is>
          <t>-</t>
        </is>
      </c>
      <c r="E417" s="23" t="n">
        <v>15</v>
      </c>
      <c r="F417" s="23" t="inlineStr">
        <is>
          <t>Single</t>
        </is>
      </c>
      <c r="G417" s="23" t="inlineStr">
        <is>
          <t>MSX 46 SCFG</t>
        </is>
      </c>
      <c r="H417" s="23" t="inlineStr">
        <is>
          <t>148 X 409</t>
        </is>
      </c>
      <c r="I417" s="23" t="inlineStr">
        <is>
          <t>33 X 84.5</t>
        </is>
      </c>
      <c r="J417" s="23" t="n">
        <v>25</v>
      </c>
      <c r="K417" s="115" t="n"/>
      <c r="L417" s="25">
        <f>K417/J417</f>
        <v/>
      </c>
      <c r="M417" s="26" t="n">
        <v>0.3381642512077295</v>
      </c>
      <c r="N417" s="25">
        <f>LEFT(I417,FIND("X",I417)-1)*RIGHT(I417,LEN(I417)-FIND("X",I417)-1)*M417</f>
        <v/>
      </c>
      <c r="O417" s="27">
        <f>(N417*L417)/1000</f>
        <v/>
      </c>
    </row>
    <row r="418" ht="15" customHeight="1">
      <c r="A418" s="149" t="n">
        <v>19</v>
      </c>
      <c r="B418" s="150" t="inlineStr">
        <is>
          <t>MSX 50</t>
        </is>
      </c>
      <c r="C418" s="138" t="inlineStr">
        <is>
          <t>LVP</t>
        </is>
      </c>
      <c r="D418" s="29" t="inlineStr">
        <is>
          <t>Top</t>
        </is>
      </c>
      <c r="E418" s="29" t="n">
        <v>60</v>
      </c>
      <c r="F418" s="29" t="inlineStr">
        <is>
          <t>Single</t>
        </is>
      </c>
      <c r="G418" s="29" t="inlineStr">
        <is>
          <t>MSX 50 LVP</t>
        </is>
      </c>
      <c r="H418" s="29" t="inlineStr">
        <is>
          <t>178 X 539</t>
        </is>
      </c>
      <c r="I418" s="29" t="inlineStr">
        <is>
          <t>22 X 23</t>
        </is>
      </c>
      <c r="J418" s="29" t="n">
        <v>3</v>
      </c>
      <c r="K418" s="114" t="n"/>
      <c r="L418" s="31">
        <f>K418/J418</f>
        <v/>
      </c>
      <c r="M418" s="32" t="n">
        <v>1.103988603988604</v>
      </c>
      <c r="N418" s="31">
        <f>LEFT(I418,FIND("X",I418)-1)*RIGHT(I418,LEN(I418)-FIND("X",I418)-1)*M418</f>
        <v/>
      </c>
      <c r="O418" s="33">
        <f>(N418*L418)/1000</f>
        <v/>
      </c>
    </row>
    <row r="419" ht="15" customHeight="1">
      <c r="A419" s="133" t="n"/>
      <c r="B419" s="133" t="n"/>
      <c r="C419" s="136" t="n"/>
      <c r="D419" s="11" t="inlineStr">
        <is>
          <t>Bottom</t>
        </is>
      </c>
      <c r="E419" s="11" t="n">
        <v>40</v>
      </c>
      <c r="F419" s="29" t="inlineStr">
        <is>
          <t>Single</t>
        </is>
      </c>
      <c r="G419" s="29" t="inlineStr">
        <is>
          <t>MSX 50 LVP</t>
        </is>
      </c>
      <c r="H419" s="29" t="inlineStr">
        <is>
          <t>178 X 539</t>
        </is>
      </c>
      <c r="I419" s="11" t="inlineStr">
        <is>
          <t>22 X 23</t>
        </is>
      </c>
      <c r="J419" s="11" t="n">
        <v>3</v>
      </c>
      <c r="K419" s="34" t="n"/>
      <c r="L419" s="14">
        <f>K419/J419</f>
        <v/>
      </c>
      <c r="M419" s="15" t="n">
        <v>0.6977821913273751</v>
      </c>
      <c r="N419" s="14">
        <f>LEFT(I419,FIND("X",I419)-1)*RIGHT(I419,LEN(I419)-FIND("X",I419)-1)*M419</f>
        <v/>
      </c>
      <c r="O419" s="16">
        <f>(N419*L419)/1000</f>
        <v/>
      </c>
    </row>
    <row r="420" ht="15.75" customHeight="1" thickBot="1">
      <c r="A420" s="135" t="n"/>
      <c r="B420" s="135" t="n"/>
      <c r="C420" s="22" t="inlineStr">
        <is>
          <t>SCFG</t>
        </is>
      </c>
      <c r="D420" s="23" t="inlineStr">
        <is>
          <t>-</t>
        </is>
      </c>
      <c r="E420" s="23" t="n">
        <v>15</v>
      </c>
      <c r="F420" s="23" t="inlineStr">
        <is>
          <t>H.C.</t>
        </is>
      </c>
      <c r="G420" s="23" t="inlineStr">
        <is>
          <t>Hand Cutting</t>
        </is>
      </c>
      <c r="H420" s="23" t="inlineStr">
        <is>
          <t>201 X 565</t>
        </is>
      </c>
      <c r="I420" s="23" t="inlineStr">
        <is>
          <t>43.5 X 46</t>
        </is>
      </c>
      <c r="J420" s="23" t="n">
        <v>10</v>
      </c>
      <c r="K420" s="115" t="n"/>
      <c r="L420" s="25">
        <f>K420/J420</f>
        <v/>
      </c>
      <c r="M420" s="26" t="n">
        <v>0.3381642512077295</v>
      </c>
      <c r="N420" s="25">
        <f>LEFT(I420,FIND("X",I420)-1)*RIGHT(I420,LEN(I420)-FIND("X",I420)-1)*M420</f>
        <v/>
      </c>
      <c r="O420" s="27">
        <f>(N420*L420)/1000</f>
        <v/>
      </c>
    </row>
    <row r="421" ht="15" customHeight="1">
      <c r="A421" s="149" t="n">
        <v>20</v>
      </c>
      <c r="B421" s="150" t="inlineStr">
        <is>
          <t>MSX 52</t>
        </is>
      </c>
      <c r="C421" s="138" t="inlineStr">
        <is>
          <t>LVP</t>
        </is>
      </c>
      <c r="D421" s="29" t="inlineStr">
        <is>
          <t>Top</t>
        </is>
      </c>
      <c r="E421" s="29" t="n">
        <v>60</v>
      </c>
      <c r="F421" s="29" t="inlineStr">
        <is>
          <t>Single</t>
        </is>
      </c>
      <c r="G421" s="29" t="inlineStr">
        <is>
          <t>MSX 52/54 LVP</t>
        </is>
      </c>
      <c r="H421" s="29" t="inlineStr">
        <is>
          <t>240 X 559</t>
        </is>
      </c>
      <c r="I421" s="29" t="inlineStr">
        <is>
          <t>22 X 23</t>
        </is>
      </c>
      <c r="J421" s="29" t="n">
        <v>2</v>
      </c>
      <c r="K421" s="114" t="n"/>
      <c r="L421" s="31">
        <f>K421/J421</f>
        <v/>
      </c>
      <c r="M421" s="32" t="n">
        <v>1.103988603988604</v>
      </c>
      <c r="N421" s="31">
        <f>LEFT(I421,FIND("X",I421)-1)*RIGHT(I421,LEN(I421)-FIND("X",I421)-1)*M421</f>
        <v/>
      </c>
      <c r="O421" s="33">
        <f>(N421*L421)/1000</f>
        <v/>
      </c>
    </row>
    <row r="422" ht="15" customHeight="1">
      <c r="A422" s="133" t="n"/>
      <c r="B422" s="133" t="n"/>
      <c r="C422" s="136" t="n"/>
      <c r="D422" s="11" t="inlineStr">
        <is>
          <t>Bottom</t>
        </is>
      </c>
      <c r="E422" s="11" t="n">
        <v>40</v>
      </c>
      <c r="F422" s="29" t="inlineStr">
        <is>
          <t>Single</t>
        </is>
      </c>
      <c r="G422" s="29" t="inlineStr">
        <is>
          <t>MSX 52/54 LVP</t>
        </is>
      </c>
      <c r="H422" s="29" t="inlineStr">
        <is>
          <t>240 X 559</t>
        </is>
      </c>
      <c r="I422" s="11" t="inlineStr">
        <is>
          <t>22 X 23</t>
        </is>
      </c>
      <c r="J422" s="11" t="n">
        <v>2</v>
      </c>
      <c r="K422" s="34" t="n"/>
      <c r="L422" s="14">
        <f>K422/J422</f>
        <v/>
      </c>
      <c r="M422" s="15" t="n">
        <v>0.6977821913273751</v>
      </c>
      <c r="N422" s="14">
        <f>LEFT(I422,FIND("X",I422)-1)*RIGHT(I422,LEN(I422)-FIND("X",I422)-1)*M422</f>
        <v/>
      </c>
      <c r="O422" s="16">
        <f>(N422*L422)/1000</f>
        <v/>
      </c>
    </row>
    <row r="423" ht="15.75" customHeight="1" thickBot="1">
      <c r="A423" s="135" t="n"/>
      <c r="B423" s="135" t="n"/>
      <c r="C423" s="22" t="inlineStr">
        <is>
          <t>SCFG</t>
        </is>
      </c>
      <c r="D423" s="23" t="inlineStr">
        <is>
          <t>-</t>
        </is>
      </c>
      <c r="E423" s="23" t="n">
        <v>15</v>
      </c>
      <c r="F423" s="23" t="inlineStr">
        <is>
          <t>H.C.</t>
        </is>
      </c>
      <c r="G423" s="23" t="inlineStr">
        <is>
          <t>Hand Cutting</t>
        </is>
      </c>
      <c r="H423" s="23" t="inlineStr">
        <is>
          <t>256 X 575</t>
        </is>
      </c>
      <c r="I423" s="23" t="inlineStr">
        <is>
          <t>54 X 47</t>
        </is>
      </c>
      <c r="J423" s="23" t="n">
        <v>10</v>
      </c>
      <c r="K423" s="115" t="n"/>
      <c r="L423" s="25">
        <f>K423/J423</f>
        <v/>
      </c>
      <c r="M423" s="26" t="n">
        <v>0.3381642512077295</v>
      </c>
      <c r="N423" s="25">
        <f>LEFT(I423,FIND("X",I423)-1)*RIGHT(I423,LEN(I423)-FIND("X",I423)-1)*M423</f>
        <v/>
      </c>
      <c r="O423" s="27">
        <f>(N423*L423)/1000</f>
        <v/>
      </c>
    </row>
    <row r="424" ht="15" customHeight="1">
      <c r="A424" s="149" t="n">
        <v>21</v>
      </c>
      <c r="B424" s="150" t="inlineStr">
        <is>
          <t>MSX 54</t>
        </is>
      </c>
      <c r="C424" s="138" t="inlineStr">
        <is>
          <t>LVP</t>
        </is>
      </c>
      <c r="D424" s="29" t="inlineStr">
        <is>
          <t>Top</t>
        </is>
      </c>
      <c r="E424" s="29" t="n">
        <v>60</v>
      </c>
      <c r="F424" s="29" t="inlineStr">
        <is>
          <t>Single</t>
        </is>
      </c>
      <c r="G424" s="29" t="inlineStr">
        <is>
          <t>MSX 52/54 LVP</t>
        </is>
      </c>
      <c r="H424" s="29" t="inlineStr">
        <is>
          <t>240 X 559</t>
        </is>
      </c>
      <c r="I424" s="29" t="inlineStr">
        <is>
          <t>22 X 23</t>
        </is>
      </c>
      <c r="J424" s="29" t="n">
        <v>2</v>
      </c>
      <c r="K424" s="114" t="n"/>
      <c r="L424" s="31">
        <f>K424/J424</f>
        <v/>
      </c>
      <c r="M424" s="32" t="n">
        <v>1.103988603988604</v>
      </c>
      <c r="N424" s="31">
        <f>LEFT(I424,FIND("X",I424)-1)*RIGHT(I424,LEN(I424)-FIND("X",I424)-1)*M424</f>
        <v/>
      </c>
      <c r="O424" s="33">
        <f>(N424*L424)/1000</f>
        <v/>
      </c>
    </row>
    <row r="425" ht="15" customHeight="1">
      <c r="A425" s="133" t="n"/>
      <c r="B425" s="133" t="n"/>
      <c r="C425" s="136" t="n"/>
      <c r="D425" s="11" t="inlineStr">
        <is>
          <t>Bottom</t>
        </is>
      </c>
      <c r="E425" s="11" t="n">
        <v>40</v>
      </c>
      <c r="F425" s="29" t="inlineStr">
        <is>
          <t>Single</t>
        </is>
      </c>
      <c r="G425" s="29" t="inlineStr">
        <is>
          <t>MSX 52/54 LVP</t>
        </is>
      </c>
      <c r="H425" s="29" t="inlineStr">
        <is>
          <t>240 X 559</t>
        </is>
      </c>
      <c r="I425" s="11" t="inlineStr">
        <is>
          <t>22 X 23</t>
        </is>
      </c>
      <c r="J425" s="11" t="n">
        <v>2</v>
      </c>
      <c r="K425" s="34" t="n"/>
      <c r="L425" s="14">
        <f>K425/J425</f>
        <v/>
      </c>
      <c r="M425" s="15" t="n">
        <v>0.6977821913273751</v>
      </c>
      <c r="N425" s="14">
        <f>LEFT(I425,FIND("X",I425)-1)*RIGHT(I425,LEN(I425)-FIND("X",I425)-1)*M425</f>
        <v/>
      </c>
      <c r="O425" s="16">
        <f>(N425*L425)/1000</f>
        <v/>
      </c>
    </row>
    <row r="426" ht="15.75" customHeight="1" thickBot="1">
      <c r="A426" s="135" t="n"/>
      <c r="B426" s="135" t="n"/>
      <c r="C426" s="22" t="inlineStr">
        <is>
          <t>SCFG</t>
        </is>
      </c>
      <c r="D426" s="23" t="inlineStr">
        <is>
          <t>-</t>
        </is>
      </c>
      <c r="E426" s="23" t="n">
        <v>15</v>
      </c>
      <c r="F426" s="23" t="inlineStr">
        <is>
          <t>H.C.</t>
        </is>
      </c>
      <c r="G426" s="23" t="inlineStr">
        <is>
          <t>Hand Cutting</t>
        </is>
      </c>
      <c r="H426" s="23" t="inlineStr">
        <is>
          <t>256 X 575</t>
        </is>
      </c>
      <c r="I426" s="23" t="inlineStr">
        <is>
          <t>54 X 47</t>
        </is>
      </c>
      <c r="J426" s="23" t="n">
        <v>10</v>
      </c>
      <c r="K426" s="115" t="n"/>
      <c r="L426" s="25">
        <f>K426/J426</f>
        <v/>
      </c>
      <c r="M426" s="26" t="n">
        <v>0.3381642512077295</v>
      </c>
      <c r="N426" s="25">
        <f>LEFT(I426,FIND("X",I426)-1)*RIGHT(I426,LEN(I426)-FIND("X",I426)-1)*M426</f>
        <v/>
      </c>
      <c r="O426" s="27">
        <f>(N426*L426)/1000</f>
        <v/>
      </c>
    </row>
    <row r="427" ht="15" customHeight="1">
      <c r="A427" s="149" t="n">
        <v>22</v>
      </c>
      <c r="B427" s="150" t="inlineStr">
        <is>
          <t>MSX 55</t>
        </is>
      </c>
      <c r="C427" s="138" t="inlineStr">
        <is>
          <t>LVP</t>
        </is>
      </c>
      <c r="D427" s="29" t="inlineStr">
        <is>
          <t>Top</t>
        </is>
      </c>
      <c r="E427" s="29" t="n">
        <v>60</v>
      </c>
      <c r="F427" s="29" t="inlineStr">
        <is>
          <t>Single</t>
        </is>
      </c>
      <c r="G427" s="29" t="inlineStr">
        <is>
          <t>MSX 55 LVP</t>
        </is>
      </c>
      <c r="H427" s="29" t="inlineStr">
        <is>
          <t>237 X 308</t>
        </is>
      </c>
      <c r="I427" s="29" t="inlineStr">
        <is>
          <t>20 X 25</t>
        </is>
      </c>
      <c r="J427" s="29" t="n">
        <v>4</v>
      </c>
      <c r="K427" s="114" t="n"/>
      <c r="L427" s="31">
        <f>K427/J427</f>
        <v/>
      </c>
      <c r="M427" s="32" t="n">
        <v>1.103988603988604</v>
      </c>
      <c r="N427" s="31">
        <f>LEFT(I427,FIND("X",I427)-1)*RIGHT(I427,LEN(I427)-FIND("X",I427)-1)*M427</f>
        <v/>
      </c>
      <c r="O427" s="33">
        <f>(N427*L427)/1000</f>
        <v/>
      </c>
    </row>
    <row r="428" ht="15" customHeight="1">
      <c r="A428" s="133" t="n"/>
      <c r="B428" s="133" t="n"/>
      <c r="C428" s="136" t="n"/>
      <c r="D428" s="11" t="inlineStr">
        <is>
          <t>Bottom</t>
        </is>
      </c>
      <c r="E428" s="11" t="n">
        <v>40</v>
      </c>
      <c r="F428" s="29" t="inlineStr">
        <is>
          <t>Single</t>
        </is>
      </c>
      <c r="G428" s="29" t="inlineStr">
        <is>
          <t>MSX 55 LVP</t>
        </is>
      </c>
      <c r="H428" s="29" t="inlineStr">
        <is>
          <t>237 X 308</t>
        </is>
      </c>
      <c r="I428" s="11" t="inlineStr">
        <is>
          <t>20 X 25</t>
        </is>
      </c>
      <c r="J428" s="11" t="n">
        <v>4</v>
      </c>
      <c r="K428" s="34" t="n"/>
      <c r="L428" s="14">
        <f>K428/J428</f>
        <v/>
      </c>
      <c r="M428" s="15" t="n">
        <v>0.6977821913273751</v>
      </c>
      <c r="N428" s="14">
        <f>LEFT(I428,FIND("X",I428)-1)*RIGHT(I428,LEN(I428)-FIND("X",I428)-1)*M428</f>
        <v/>
      </c>
      <c r="O428" s="16">
        <f>(N428*L428)/1000</f>
        <v/>
      </c>
    </row>
    <row r="429" ht="15.75" customHeight="1" thickBot="1">
      <c r="A429" s="135" t="n"/>
      <c r="B429" s="135" t="n"/>
      <c r="C429" s="22" t="inlineStr">
        <is>
          <t>SCFG</t>
        </is>
      </c>
      <c r="D429" s="23" t="inlineStr">
        <is>
          <t>-</t>
        </is>
      </c>
      <c r="E429" s="23" t="n">
        <v>15</v>
      </c>
      <c r="F429" s="23" t="inlineStr">
        <is>
          <t>H.C.</t>
        </is>
      </c>
      <c r="G429" s="23" t="inlineStr">
        <is>
          <t>Hand Cutting</t>
        </is>
      </c>
      <c r="H429" s="23" t="inlineStr">
        <is>
          <t>253 X 324</t>
        </is>
      </c>
      <c r="I429" s="23" t="inlineStr">
        <is>
          <t>27 X 54</t>
        </is>
      </c>
      <c r="J429" s="23" t="n">
        <v>10</v>
      </c>
      <c r="K429" s="115" t="n"/>
      <c r="L429" s="25">
        <f>K429/J429</f>
        <v/>
      </c>
      <c r="M429" s="26" t="n">
        <v>0.3381642512077295</v>
      </c>
      <c r="N429" s="25">
        <f>LEFT(I429,FIND("X",I429)-1)*RIGHT(I429,LEN(I429)-FIND("X",I429)-1)*M429</f>
        <v/>
      </c>
      <c r="O429" s="27">
        <f>(N429*L429)/1000</f>
        <v/>
      </c>
    </row>
    <row r="430" ht="15" customHeight="1">
      <c r="A430" s="149" t="n">
        <v>23</v>
      </c>
      <c r="B430" s="150" t="inlineStr">
        <is>
          <t>MSX 56</t>
        </is>
      </c>
      <c r="C430" s="138" t="inlineStr">
        <is>
          <t>LVP</t>
        </is>
      </c>
      <c r="D430" s="29" t="inlineStr">
        <is>
          <t>Top</t>
        </is>
      </c>
      <c r="E430" s="29" t="n">
        <v>60</v>
      </c>
      <c r="F430" s="29" t="inlineStr">
        <is>
          <t>Single</t>
        </is>
      </c>
      <c r="G430" s="29" t="inlineStr">
        <is>
          <t>MSX 56 LVP</t>
        </is>
      </c>
      <c r="H430" s="29" t="inlineStr">
        <is>
          <t>254 X 725</t>
        </is>
      </c>
      <c r="I430" s="29" t="inlineStr">
        <is>
          <t>21 X 29</t>
        </is>
      </c>
      <c r="J430" s="29" t="n">
        <v>2</v>
      </c>
      <c r="K430" s="114" t="n"/>
      <c r="L430" s="31">
        <f>K430/J430</f>
        <v/>
      </c>
      <c r="M430" s="32" t="n">
        <v>1.103988603988604</v>
      </c>
      <c r="N430" s="31">
        <f>LEFT(I430,FIND("X",I430)-1)*RIGHT(I430,LEN(I430)-FIND("X",I430)-1)*M430</f>
        <v/>
      </c>
      <c r="O430" s="33">
        <f>(N430*L430)/1000</f>
        <v/>
      </c>
    </row>
    <row r="431" ht="15" customHeight="1">
      <c r="A431" s="133" t="n"/>
      <c r="B431" s="133" t="n"/>
      <c r="C431" s="136" t="n"/>
      <c r="D431" s="11" t="inlineStr">
        <is>
          <t>Bottom</t>
        </is>
      </c>
      <c r="E431" s="11" t="n">
        <v>40</v>
      </c>
      <c r="F431" s="29" t="inlineStr">
        <is>
          <t>Single</t>
        </is>
      </c>
      <c r="G431" s="29" t="inlineStr">
        <is>
          <t>MSX 56 LVP</t>
        </is>
      </c>
      <c r="H431" s="29" t="inlineStr">
        <is>
          <t>254 X 725</t>
        </is>
      </c>
      <c r="I431" s="11" t="inlineStr">
        <is>
          <t>21 X 29</t>
        </is>
      </c>
      <c r="J431" s="11" t="n">
        <v>2</v>
      </c>
      <c r="K431" s="34" t="n"/>
      <c r="L431" s="14">
        <f>K431/J431</f>
        <v/>
      </c>
      <c r="M431" s="15" t="n">
        <v>0.6977821913273751</v>
      </c>
      <c r="N431" s="14">
        <f>LEFT(I431,FIND("X",I431)-1)*RIGHT(I431,LEN(I431)-FIND("X",I431)-1)*M431</f>
        <v/>
      </c>
      <c r="O431" s="16">
        <f>(N431*L431)/1000</f>
        <v/>
      </c>
    </row>
    <row r="432" ht="15.75" customHeight="1" thickBot="1">
      <c r="A432" s="135" t="n"/>
      <c r="B432" s="135" t="n"/>
      <c r="C432" s="22" t="inlineStr">
        <is>
          <t>SCFG</t>
        </is>
      </c>
      <c r="D432" s="23" t="inlineStr">
        <is>
          <t>-</t>
        </is>
      </c>
      <c r="E432" s="23" t="n">
        <v>15</v>
      </c>
      <c r="F432" s="23" t="inlineStr">
        <is>
          <t>H.C.</t>
        </is>
      </c>
      <c r="G432" s="23" t="inlineStr">
        <is>
          <t>Hand Cutting</t>
        </is>
      </c>
      <c r="H432" s="23" t="inlineStr">
        <is>
          <t>270 X 739</t>
        </is>
      </c>
      <c r="I432" s="23" t="inlineStr">
        <is>
          <t>57 X 60</t>
        </is>
      </c>
      <c r="J432" s="23" t="n">
        <v>10</v>
      </c>
      <c r="K432" s="115" t="n"/>
      <c r="L432" s="25">
        <f>K432/J432</f>
        <v/>
      </c>
      <c r="M432" s="26" t="n">
        <v>0.3381642512077295</v>
      </c>
      <c r="N432" s="25">
        <f>LEFT(I432,FIND("X",I432)-1)*RIGHT(I432,LEN(I432)-FIND("X",I432)-1)*M432</f>
        <v/>
      </c>
      <c r="O432" s="27">
        <f>(N432*L432)/1000</f>
        <v/>
      </c>
    </row>
    <row r="433" ht="15" customHeight="1">
      <c r="A433" s="149" t="n">
        <v>24</v>
      </c>
      <c r="B433" s="150" t="inlineStr">
        <is>
          <t>MSX 60</t>
        </is>
      </c>
      <c r="C433" s="138" t="inlineStr">
        <is>
          <t>LVP</t>
        </is>
      </c>
      <c r="D433" s="29" t="inlineStr">
        <is>
          <t>Top</t>
        </is>
      </c>
      <c r="E433" s="29" t="n">
        <v>60</v>
      </c>
      <c r="F433" s="29" t="inlineStr">
        <is>
          <t>H.C.</t>
        </is>
      </c>
      <c r="G433" s="29" t="inlineStr">
        <is>
          <t>Hand Cutting</t>
        </is>
      </c>
      <c r="H433" s="29" t="inlineStr">
        <is>
          <t>243 X 998</t>
        </is>
      </c>
      <c r="I433" s="29" t="inlineStr">
        <is>
          <t>20 X 40</t>
        </is>
      </c>
      <c r="J433" s="29" t="n">
        <v>2</v>
      </c>
      <c r="K433" s="114" t="n"/>
      <c r="L433" s="31">
        <f>K433/J433</f>
        <v/>
      </c>
      <c r="M433" s="32" t="n">
        <v>1.103988603988604</v>
      </c>
      <c r="N433" s="31">
        <f>LEFT(I433,FIND("X",I433)-1)*RIGHT(I433,LEN(I433)-FIND("X",I433)-1)*M433</f>
        <v/>
      </c>
      <c r="O433" s="33">
        <f>(N433*L433)/1000</f>
        <v/>
      </c>
    </row>
    <row r="434" ht="15" customHeight="1">
      <c r="A434" s="133" t="n"/>
      <c r="B434" s="133" t="n"/>
      <c r="C434" s="136" t="n"/>
      <c r="D434" s="11" t="inlineStr">
        <is>
          <t>Bottom</t>
        </is>
      </c>
      <c r="E434" s="11" t="n">
        <v>40</v>
      </c>
      <c r="F434" s="11" t="inlineStr">
        <is>
          <t>H.C.</t>
        </is>
      </c>
      <c r="G434" s="11" t="inlineStr">
        <is>
          <t>Hand Cutting</t>
        </is>
      </c>
      <c r="H434" s="29" t="inlineStr">
        <is>
          <t>243 X 998</t>
        </is>
      </c>
      <c r="I434" s="29" t="inlineStr">
        <is>
          <t>20 X 40</t>
        </is>
      </c>
      <c r="J434" s="29" t="n">
        <v>2</v>
      </c>
      <c r="K434" s="34" t="n"/>
      <c r="L434" s="14">
        <f>K434/J434</f>
        <v/>
      </c>
      <c r="M434" s="15" t="n">
        <v>0.6977821913273751</v>
      </c>
      <c r="N434" s="14">
        <f>LEFT(I434,FIND("X",I434)-1)*RIGHT(I434,LEN(I434)-FIND("X",I434)-1)*M434</f>
        <v/>
      </c>
      <c r="O434" s="16">
        <f>(N434*L434)/1000</f>
        <v/>
      </c>
    </row>
    <row r="435" ht="15.75" customHeight="1" thickBot="1">
      <c r="A435" s="135" t="n"/>
      <c r="B435" s="135" t="n"/>
      <c r="C435" s="22" t="inlineStr">
        <is>
          <t>SCFG</t>
        </is>
      </c>
      <c r="D435" s="23" t="inlineStr">
        <is>
          <t>-</t>
        </is>
      </c>
      <c r="E435" s="23" t="n">
        <v>15</v>
      </c>
      <c r="F435" s="23" t="inlineStr">
        <is>
          <t>H.C.</t>
        </is>
      </c>
      <c r="G435" s="23" t="inlineStr">
        <is>
          <t>Hand Cutting</t>
        </is>
      </c>
      <c r="H435" s="23" t="inlineStr">
        <is>
          <t>266 X 1015</t>
        </is>
      </c>
      <c r="I435" s="23" t="inlineStr">
        <is>
          <t>56 X 81.5</t>
        </is>
      </c>
      <c r="J435" s="23" t="n">
        <v>10</v>
      </c>
      <c r="K435" s="115" t="n"/>
      <c r="L435" s="25">
        <f>K435/J435</f>
        <v/>
      </c>
      <c r="M435" s="26" t="n">
        <v>0.3381642512077295</v>
      </c>
      <c r="N435" s="25">
        <f>LEFT(I435,FIND("X",I435)-1)*RIGHT(I435,LEN(I435)-FIND("X",I435)-1)*M435</f>
        <v/>
      </c>
      <c r="O435" s="27">
        <f>(N435*L435)/1000</f>
        <v/>
      </c>
    </row>
    <row r="436" ht="15" customHeight="1">
      <c r="A436" s="149" t="n">
        <v>25</v>
      </c>
      <c r="B436" s="150" t="inlineStr">
        <is>
          <t>MSX 62</t>
        </is>
      </c>
      <c r="C436" s="138" t="inlineStr">
        <is>
          <t>LVP</t>
        </is>
      </c>
      <c r="D436" s="29" t="inlineStr">
        <is>
          <t>Top</t>
        </is>
      </c>
      <c r="E436" s="29" t="n">
        <v>60</v>
      </c>
      <c r="F436" s="29" t="inlineStr">
        <is>
          <t>H.C.</t>
        </is>
      </c>
      <c r="G436" s="29" t="inlineStr">
        <is>
          <t>Hand Cutting</t>
        </is>
      </c>
      <c r="H436" s="29" t="inlineStr">
        <is>
          <t>302 X 1027</t>
        </is>
      </c>
      <c r="I436" s="29" t="inlineStr">
        <is>
          <t>25 X 41</t>
        </is>
      </c>
      <c r="J436" s="29" t="n">
        <v>2</v>
      </c>
      <c r="K436" s="114" t="n"/>
      <c r="L436" s="31">
        <f>K436/J436</f>
        <v/>
      </c>
      <c r="M436" s="32" t="n">
        <v>1.103988603988604</v>
      </c>
      <c r="N436" s="31">
        <f>LEFT(I436,FIND("X",I436)-1)*RIGHT(I436,LEN(I436)-FIND("X",I436)-1)*M436</f>
        <v/>
      </c>
      <c r="O436" s="33">
        <f>(N436*L436)/1000</f>
        <v/>
      </c>
    </row>
    <row r="437" ht="15" customHeight="1">
      <c r="A437" s="133" t="n"/>
      <c r="B437" s="133" t="n"/>
      <c r="C437" s="136" t="n"/>
      <c r="D437" s="11" t="inlineStr">
        <is>
          <t>Bottom</t>
        </is>
      </c>
      <c r="E437" s="11" t="n">
        <v>40</v>
      </c>
      <c r="F437" s="11" t="inlineStr">
        <is>
          <t>H.C.</t>
        </is>
      </c>
      <c r="G437" s="11" t="inlineStr">
        <is>
          <t>Hand Cutting</t>
        </is>
      </c>
      <c r="H437" s="29" t="inlineStr">
        <is>
          <t>302 X 1027</t>
        </is>
      </c>
      <c r="I437" s="29" t="inlineStr">
        <is>
          <t>25 X 41</t>
        </is>
      </c>
      <c r="J437" s="29" t="n">
        <v>2</v>
      </c>
      <c r="K437" s="34" t="n"/>
      <c r="L437" s="14">
        <f>K437/J437</f>
        <v/>
      </c>
      <c r="M437" s="15" t="n">
        <v>0.6977821913273751</v>
      </c>
      <c r="N437" s="14">
        <f>LEFT(I437,FIND("X",I437)-1)*RIGHT(I437,LEN(I437)-FIND("X",I437)-1)*M437</f>
        <v/>
      </c>
      <c r="O437" s="16">
        <f>(N437*L437)/1000</f>
        <v/>
      </c>
    </row>
    <row r="438" ht="15.75" customHeight="1" thickBot="1">
      <c r="A438" s="135" t="n"/>
      <c r="B438" s="135" t="n"/>
      <c r="C438" s="22" t="inlineStr">
        <is>
          <t>SCFG</t>
        </is>
      </c>
      <c r="D438" s="23" t="inlineStr">
        <is>
          <t>-</t>
        </is>
      </c>
      <c r="E438" s="23" t="n">
        <v>15</v>
      </c>
      <c r="F438" s="23" t="inlineStr">
        <is>
          <t>H.C.</t>
        </is>
      </c>
      <c r="G438" s="23" t="inlineStr">
        <is>
          <t>Hand Cutting</t>
        </is>
      </c>
      <c r="H438" s="23" t="inlineStr">
        <is>
          <t>322 X 1047</t>
        </is>
      </c>
      <c r="I438" s="23" t="inlineStr">
        <is>
          <t>67 X 84</t>
        </is>
      </c>
      <c r="J438" s="23" t="n">
        <v>10</v>
      </c>
      <c r="K438" s="115" t="n"/>
      <c r="L438" s="25">
        <f>K438/J438</f>
        <v/>
      </c>
      <c r="M438" s="26" t="n">
        <v>0.3381642512077295</v>
      </c>
      <c r="N438" s="25">
        <f>LEFT(I438,FIND("X",I438)-1)*RIGHT(I438,LEN(I438)-FIND("X",I438)-1)*M438</f>
        <v/>
      </c>
      <c r="O438" s="27">
        <f>(N438*L438)/1000</f>
        <v/>
      </c>
    </row>
    <row r="439" ht="15" customHeight="1">
      <c r="A439" s="149" t="n">
        <v>26</v>
      </c>
      <c r="B439" s="150" t="inlineStr">
        <is>
          <t>MSX 65</t>
        </is>
      </c>
      <c r="C439" s="138" t="inlineStr">
        <is>
          <t>LVP</t>
        </is>
      </c>
      <c r="D439" s="29" t="inlineStr">
        <is>
          <t>Top</t>
        </is>
      </c>
      <c r="E439" s="29" t="n">
        <v>60</v>
      </c>
      <c r="F439" s="29" t="inlineStr">
        <is>
          <t>Single</t>
        </is>
      </c>
      <c r="G439" s="29" t="inlineStr">
        <is>
          <t>MSX 65 LVP</t>
        </is>
      </c>
      <c r="H439" s="29" t="inlineStr">
        <is>
          <t>307 X 398</t>
        </is>
      </c>
      <c r="I439" s="29" t="inlineStr">
        <is>
          <t>16 X 25</t>
        </is>
      </c>
      <c r="J439" s="29" t="n">
        <v>2</v>
      </c>
      <c r="K439" s="114" t="n"/>
      <c r="L439" s="31">
        <f>K439/J439</f>
        <v/>
      </c>
      <c r="M439" s="32" t="n">
        <v>1.103988603988604</v>
      </c>
      <c r="N439" s="31">
        <f>LEFT(I439,FIND("X",I439)-1)*RIGHT(I439,LEN(I439)-FIND("X",I439)-1)*M439</f>
        <v/>
      </c>
      <c r="O439" s="33">
        <f>(N439*L439)/1000</f>
        <v/>
      </c>
    </row>
    <row r="440" ht="15" customHeight="1">
      <c r="A440" s="133" t="n"/>
      <c r="B440" s="133" t="n"/>
      <c r="C440" s="136" t="n"/>
      <c r="D440" s="11" t="inlineStr">
        <is>
          <t>Bottom</t>
        </is>
      </c>
      <c r="E440" s="11" t="n">
        <v>40</v>
      </c>
      <c r="F440" s="29" t="inlineStr">
        <is>
          <t>Single</t>
        </is>
      </c>
      <c r="G440" s="29" t="inlineStr">
        <is>
          <t>MSX 65 LVP</t>
        </is>
      </c>
      <c r="H440" s="29" t="inlineStr">
        <is>
          <t>307 X 398</t>
        </is>
      </c>
      <c r="I440" s="11" t="inlineStr">
        <is>
          <t>16 X 25</t>
        </is>
      </c>
      <c r="J440" s="11" t="n">
        <v>2</v>
      </c>
      <c r="K440" s="34" t="n"/>
      <c r="L440" s="14">
        <f>K440/J440</f>
        <v/>
      </c>
      <c r="M440" s="15" t="n">
        <v>0.6977821913273751</v>
      </c>
      <c r="N440" s="14">
        <f>LEFT(I440,FIND("X",I440)-1)*RIGHT(I440,LEN(I440)-FIND("X",I440)-1)*M440</f>
        <v/>
      </c>
      <c r="O440" s="16">
        <f>(N440*L440)/1000</f>
        <v/>
      </c>
    </row>
    <row r="441" ht="15.75" customHeight="1" thickBot="1">
      <c r="A441" s="135" t="n"/>
      <c r="B441" s="135" t="n"/>
      <c r="C441" s="22" t="inlineStr">
        <is>
          <t>SCFG</t>
        </is>
      </c>
      <c r="D441" s="23" t="inlineStr">
        <is>
          <t>-</t>
        </is>
      </c>
      <c r="E441" s="23" t="n">
        <v>15</v>
      </c>
      <c r="F441" s="23" t="inlineStr">
        <is>
          <t>H.C.</t>
        </is>
      </c>
      <c r="G441" s="23" t="inlineStr">
        <is>
          <t>Hand Cutting</t>
        </is>
      </c>
      <c r="H441" s="23" t="inlineStr">
        <is>
          <t>418 X 328</t>
        </is>
      </c>
      <c r="I441" s="23" t="inlineStr">
        <is>
          <t>27 X 86</t>
        </is>
      </c>
      <c r="J441" s="23" t="n">
        <v>10</v>
      </c>
      <c r="K441" s="115" t="n"/>
      <c r="L441" s="25">
        <f>K441/J441</f>
        <v/>
      </c>
      <c r="M441" s="26" t="n">
        <v>0.3381642512077295</v>
      </c>
      <c r="N441" s="25">
        <f>LEFT(I441,FIND("X",I441)-1)*RIGHT(I441,LEN(I441)-FIND("X",I441)-1)*M441</f>
        <v/>
      </c>
      <c r="O441" s="27">
        <f>(N441*L441)/1000</f>
        <v/>
      </c>
    </row>
    <row r="442" ht="15" customHeight="1">
      <c r="A442" s="149" t="n">
        <v>27</v>
      </c>
      <c r="B442" s="150" t="inlineStr">
        <is>
          <t>MSX 68</t>
        </is>
      </c>
      <c r="C442" s="138" t="inlineStr">
        <is>
          <t>LVP</t>
        </is>
      </c>
      <c r="D442" s="29" t="inlineStr">
        <is>
          <t>Top</t>
        </is>
      </c>
      <c r="E442" s="29" t="n">
        <v>60</v>
      </c>
      <c r="F442" s="29" t="inlineStr">
        <is>
          <t>H.C.</t>
        </is>
      </c>
      <c r="G442" s="29" t="inlineStr">
        <is>
          <t>Hand Cutting</t>
        </is>
      </c>
      <c r="H442" s="29" t="inlineStr">
        <is>
          <t>327 X 732</t>
        </is>
      </c>
      <c r="I442" s="29" t="inlineStr">
        <is>
          <t>27 X 29</t>
        </is>
      </c>
      <c r="J442" s="29" t="n">
        <v>2</v>
      </c>
      <c r="K442" s="114" t="n"/>
      <c r="L442" s="31">
        <f>K442/J442</f>
        <v/>
      </c>
      <c r="M442" s="32" t="n">
        <v>1.103988603988604</v>
      </c>
      <c r="N442" s="31">
        <f>LEFT(I442,FIND("X",I442)-1)*RIGHT(I442,LEN(I442)-FIND("X",I442)-1)*M442</f>
        <v/>
      </c>
      <c r="O442" s="33">
        <f>(N442*L442)/1000</f>
        <v/>
      </c>
    </row>
    <row r="443" ht="15" customHeight="1">
      <c r="A443" s="133" t="n"/>
      <c r="B443" s="133" t="n"/>
      <c r="C443" s="136" t="n"/>
      <c r="D443" s="11" t="inlineStr">
        <is>
          <t>Bottom</t>
        </is>
      </c>
      <c r="E443" s="11" t="n">
        <v>40</v>
      </c>
      <c r="F443" s="29" t="inlineStr">
        <is>
          <t>H.C.</t>
        </is>
      </c>
      <c r="G443" s="11" t="inlineStr">
        <is>
          <t>Hand Cutting</t>
        </is>
      </c>
      <c r="H443" s="29" t="inlineStr">
        <is>
          <t>327 X 732</t>
        </is>
      </c>
      <c r="I443" s="29" t="inlineStr">
        <is>
          <t>27 X 29</t>
        </is>
      </c>
      <c r="J443" s="29" t="n">
        <v>2</v>
      </c>
      <c r="K443" s="34" t="n"/>
      <c r="L443" s="14">
        <f>K443/J443</f>
        <v/>
      </c>
      <c r="M443" s="15" t="n">
        <v>0.6977821913273751</v>
      </c>
      <c r="N443" s="14">
        <f>LEFT(I443,FIND("X",I443)-1)*RIGHT(I443,LEN(I443)-FIND("X",I443)-1)*M443</f>
        <v/>
      </c>
      <c r="O443" s="16">
        <f>(N443*L443)/1000</f>
        <v/>
      </c>
    </row>
    <row r="444" ht="15.75" customHeight="1" thickBot="1">
      <c r="A444" s="135" t="n"/>
      <c r="B444" s="135" t="n"/>
      <c r="C444" s="22" t="inlineStr">
        <is>
          <t>SCFG</t>
        </is>
      </c>
      <c r="D444" s="23" t="inlineStr">
        <is>
          <t>-</t>
        </is>
      </c>
      <c r="E444" s="23" t="n">
        <v>15</v>
      </c>
      <c r="F444" s="23" t="inlineStr">
        <is>
          <t>H.C.</t>
        </is>
      </c>
      <c r="G444" s="23" t="inlineStr">
        <is>
          <t>Hand Cutting</t>
        </is>
      </c>
      <c r="H444" s="23" t="inlineStr">
        <is>
          <t>343 X 753</t>
        </is>
      </c>
      <c r="I444" s="23" t="inlineStr">
        <is>
          <t>61 X 71.5</t>
        </is>
      </c>
      <c r="J444" s="23" t="n">
        <v>10</v>
      </c>
      <c r="K444" s="115" t="n"/>
      <c r="L444" s="25">
        <f>K444/J444</f>
        <v/>
      </c>
      <c r="M444" s="26" t="n">
        <v>0.3381642512077295</v>
      </c>
      <c r="N444" s="25">
        <f>LEFT(I444,FIND("X",I444)-1)*RIGHT(I444,LEN(I444)-FIND("X",I444)-1)*M444</f>
        <v/>
      </c>
      <c r="O444" s="27">
        <f>(N444*L444)/1000</f>
        <v/>
      </c>
    </row>
    <row r="445" ht="15" customHeight="1">
      <c r="A445" s="149" t="n">
        <v>28</v>
      </c>
      <c r="B445" s="150" t="inlineStr">
        <is>
          <t>MSX 75</t>
        </is>
      </c>
      <c r="C445" s="138" t="inlineStr">
        <is>
          <t>LVP</t>
        </is>
      </c>
      <c r="D445" s="29" t="inlineStr">
        <is>
          <t>Top</t>
        </is>
      </c>
      <c r="E445" s="29" t="n">
        <v>60</v>
      </c>
      <c r="F445" s="29" t="inlineStr">
        <is>
          <t>Single</t>
        </is>
      </c>
      <c r="G445" s="29" t="inlineStr">
        <is>
          <t>MSX 75 LVP</t>
        </is>
      </c>
      <c r="H445" s="29" t="inlineStr">
        <is>
          <t>427 X 508</t>
        </is>
      </c>
      <c r="I445" s="29" t="inlineStr">
        <is>
          <t>20.5 X 34.5</t>
        </is>
      </c>
      <c r="J445" s="29" t="n">
        <v>2</v>
      </c>
      <c r="K445" s="114" t="n"/>
      <c r="L445" s="31">
        <f>K445/J445</f>
        <v/>
      </c>
      <c r="M445" s="32" t="n">
        <v>1.103988603988604</v>
      </c>
      <c r="N445" s="31">
        <f>LEFT(I445,FIND("X",I445)-1)*RIGHT(I445,LEN(I445)-FIND("X",I445)-1)*M445</f>
        <v/>
      </c>
      <c r="O445" s="33">
        <f>(N445*L445)/1000</f>
        <v/>
      </c>
    </row>
    <row r="446" ht="15" customHeight="1">
      <c r="A446" s="133" t="n"/>
      <c r="B446" s="133" t="n"/>
      <c r="C446" s="136" t="n"/>
      <c r="D446" s="11" t="inlineStr">
        <is>
          <t>Bottom</t>
        </is>
      </c>
      <c r="E446" s="11" t="n">
        <v>40</v>
      </c>
      <c r="F446" s="29" t="inlineStr">
        <is>
          <t>Single</t>
        </is>
      </c>
      <c r="G446" s="29" t="inlineStr">
        <is>
          <t>MSX 75 LVP</t>
        </is>
      </c>
      <c r="H446" s="29" t="inlineStr">
        <is>
          <t>427 X 508</t>
        </is>
      </c>
      <c r="I446" s="11" t="inlineStr">
        <is>
          <t>20.5 X 34.5</t>
        </is>
      </c>
      <c r="J446" s="11" t="n">
        <v>2</v>
      </c>
      <c r="K446" s="34" t="n"/>
      <c r="L446" s="14">
        <f>K446/J446</f>
        <v/>
      </c>
      <c r="M446" s="15" t="n">
        <v>0.6977821913273751</v>
      </c>
      <c r="N446" s="14">
        <f>LEFT(I446,FIND("X",I446)-1)*RIGHT(I446,LEN(I446)-FIND("X",I446)-1)*M446</f>
        <v/>
      </c>
      <c r="O446" s="16">
        <f>(N446*L446)/1000</f>
        <v/>
      </c>
    </row>
    <row r="447" ht="15.75" customHeight="1" thickBot="1">
      <c r="A447" s="135" t="n"/>
      <c r="B447" s="135" t="n"/>
      <c r="C447" s="22" t="inlineStr">
        <is>
          <t>SCFG</t>
        </is>
      </c>
      <c r="D447" s="23" t="inlineStr">
        <is>
          <t>-</t>
        </is>
      </c>
      <c r="E447" s="23" t="n">
        <v>15</v>
      </c>
      <c r="F447" s="23" t="inlineStr">
        <is>
          <t>H.C.</t>
        </is>
      </c>
      <c r="G447" s="23" t="inlineStr">
        <is>
          <t>Hand Cutting</t>
        </is>
      </c>
      <c r="H447" s="23" t="inlineStr">
        <is>
          <t>443 X 524</t>
        </is>
      </c>
      <c r="I447" s="23" t="inlineStr">
        <is>
          <t>43 X 91</t>
        </is>
      </c>
      <c r="J447" s="23" t="n">
        <v>10</v>
      </c>
      <c r="K447" s="115" t="n"/>
      <c r="L447" s="25">
        <f>K447/J447</f>
        <v/>
      </c>
      <c r="M447" s="26" t="n">
        <v>0.3381642512077295</v>
      </c>
      <c r="N447" s="25">
        <f>LEFT(I447,FIND("X",I447)-1)*RIGHT(I447,LEN(I447)-FIND("X",I447)-1)*M447</f>
        <v/>
      </c>
      <c r="O447" s="27">
        <f>(N447*L447)/1000</f>
        <v/>
      </c>
    </row>
    <row r="448" ht="15" customHeight="1">
      <c r="A448" s="149" t="n">
        <v>29</v>
      </c>
      <c r="B448" s="150" t="inlineStr">
        <is>
          <t>MSX 80</t>
        </is>
      </c>
      <c r="C448" s="138" t="inlineStr">
        <is>
          <t>LVP</t>
        </is>
      </c>
      <c r="D448" s="29" t="inlineStr">
        <is>
          <t>Top</t>
        </is>
      </c>
      <c r="E448" s="29" t="n">
        <v>60</v>
      </c>
      <c r="F448" s="29" t="inlineStr">
        <is>
          <t>Single</t>
        </is>
      </c>
      <c r="G448" s="29" t="inlineStr">
        <is>
          <t>MSX 80 LVP</t>
        </is>
      </c>
      <c r="H448" s="29" t="inlineStr">
        <is>
          <t>127 X 192</t>
        </is>
      </c>
      <c r="I448" s="29" t="inlineStr">
        <is>
          <t>22 X 24</t>
        </is>
      </c>
      <c r="J448" s="29" t="n">
        <v>9</v>
      </c>
      <c r="K448" s="114" t="n">
        <v>250</v>
      </c>
      <c r="L448" s="31">
        <f>K448/J448</f>
        <v/>
      </c>
      <c r="M448" s="32" t="n">
        <v>1.103988603988604</v>
      </c>
      <c r="N448" s="31">
        <f>LEFT(I448,FIND("X",I448)-1)*RIGHT(I448,LEN(I448)-FIND("X",I448)-1)*M448</f>
        <v/>
      </c>
      <c r="O448" s="33">
        <f>(N448*L448)/1000</f>
        <v/>
      </c>
    </row>
    <row r="449" ht="15" customHeight="1">
      <c r="A449" s="133" t="n"/>
      <c r="B449" s="133" t="n"/>
      <c r="C449" s="136" t="n"/>
      <c r="D449" s="11" t="inlineStr">
        <is>
          <t>Bottom</t>
        </is>
      </c>
      <c r="E449" s="11" t="n">
        <v>40</v>
      </c>
      <c r="F449" s="29" t="inlineStr">
        <is>
          <t>Single</t>
        </is>
      </c>
      <c r="G449" s="29" t="inlineStr">
        <is>
          <t>MSX 80 LVP</t>
        </is>
      </c>
      <c r="H449" s="29" t="inlineStr">
        <is>
          <t>127 X 192</t>
        </is>
      </c>
      <c r="I449" s="11" t="inlineStr">
        <is>
          <t>22 X 24</t>
        </is>
      </c>
      <c r="J449" s="11" t="n">
        <v>9</v>
      </c>
      <c r="K449" s="34" t="n">
        <v>250</v>
      </c>
      <c r="L449" s="14">
        <f>K449/J449</f>
        <v/>
      </c>
      <c r="M449" s="15" t="n">
        <v>0.6977821913273751</v>
      </c>
      <c r="N449" s="14">
        <f>LEFT(I449,FIND("X",I449)-1)*RIGHT(I449,LEN(I449)-FIND("X",I449)-1)*M449</f>
        <v/>
      </c>
      <c r="O449" s="16">
        <f>(N449*L449)/1000</f>
        <v/>
      </c>
    </row>
    <row r="450" ht="15.75" customHeight="1" thickBot="1">
      <c r="A450" s="135" t="n"/>
      <c r="B450" s="135" t="n"/>
      <c r="C450" s="22" t="inlineStr">
        <is>
          <t>SCFG</t>
        </is>
      </c>
      <c r="D450" s="23" t="inlineStr">
        <is>
          <t>-</t>
        </is>
      </c>
      <c r="E450" s="23" t="n">
        <v>15</v>
      </c>
      <c r="F450" s="29" t="inlineStr">
        <is>
          <t>Single</t>
        </is>
      </c>
      <c r="G450" s="23" t="inlineStr">
        <is>
          <t>MSX 80 SCFG</t>
        </is>
      </c>
      <c r="H450" s="23" t="inlineStr">
        <is>
          <t>147 X 211</t>
        </is>
      </c>
      <c r="I450" s="23" t="inlineStr">
        <is>
          <t>18 X 33</t>
        </is>
      </c>
      <c r="J450" s="23" t="n">
        <v>10</v>
      </c>
      <c r="K450" s="115" t="n">
        <v>250</v>
      </c>
      <c r="L450" s="25">
        <f>K450/J450</f>
        <v/>
      </c>
      <c r="M450" s="26" t="n">
        <v>0.3381642512077295</v>
      </c>
      <c r="N450" s="25">
        <f>LEFT(I450,FIND("X",I450)-1)*RIGHT(I450,LEN(I450)-FIND("X",I450)-1)*M450</f>
        <v/>
      </c>
      <c r="O450" s="27">
        <f>(N450*L450)/1000</f>
        <v/>
      </c>
    </row>
    <row r="451" ht="15" customHeight="1">
      <c r="A451" s="149" t="n">
        <v>30</v>
      </c>
      <c r="B451" s="150" t="inlineStr">
        <is>
          <t>MSX 82</t>
        </is>
      </c>
      <c r="C451" s="138" t="inlineStr">
        <is>
          <t>LVP</t>
        </is>
      </c>
      <c r="D451" s="29" t="inlineStr">
        <is>
          <t>Top</t>
        </is>
      </c>
      <c r="E451" s="29" t="n">
        <v>60</v>
      </c>
      <c r="F451" s="29" t="inlineStr">
        <is>
          <t>Single</t>
        </is>
      </c>
      <c r="G451" s="29" t="inlineStr">
        <is>
          <t>MSX 82 LVP</t>
        </is>
      </c>
      <c r="H451" s="29" t="inlineStr">
        <is>
          <t>178 X 254</t>
        </is>
      </c>
      <c r="I451" s="29" t="inlineStr">
        <is>
          <t>21 X 23</t>
        </is>
      </c>
      <c r="J451" s="29" t="n">
        <v>6</v>
      </c>
      <c r="K451" s="114" t="n">
        <v>50</v>
      </c>
      <c r="L451" s="31">
        <f>K451/J451</f>
        <v/>
      </c>
      <c r="M451" s="32" t="n">
        <v>1.103988603988604</v>
      </c>
      <c r="N451" s="31">
        <f>LEFT(I451,FIND("X",I451)-1)*RIGHT(I451,LEN(I451)-FIND("X",I451)-1)*M451</f>
        <v/>
      </c>
      <c r="O451" s="33">
        <f>(N451*L451)/1000</f>
        <v/>
      </c>
    </row>
    <row r="452" ht="15" customHeight="1">
      <c r="A452" s="133" t="n"/>
      <c r="B452" s="133" t="n"/>
      <c r="C452" s="136" t="n"/>
      <c r="D452" s="11" t="inlineStr">
        <is>
          <t>Bottom</t>
        </is>
      </c>
      <c r="E452" s="11" t="n">
        <v>40</v>
      </c>
      <c r="F452" s="29" t="inlineStr">
        <is>
          <t>Single</t>
        </is>
      </c>
      <c r="G452" s="29" t="inlineStr">
        <is>
          <t>MSX 82 LVP</t>
        </is>
      </c>
      <c r="H452" s="29" t="inlineStr">
        <is>
          <t>178 X 254</t>
        </is>
      </c>
      <c r="I452" s="11" t="inlineStr">
        <is>
          <t>21 X 23</t>
        </is>
      </c>
      <c r="J452" s="11" t="n">
        <v>6</v>
      </c>
      <c r="K452" s="34" t="n">
        <v>50</v>
      </c>
      <c r="L452" s="14">
        <f>K452/J452</f>
        <v/>
      </c>
      <c r="M452" s="15" t="n">
        <v>0.6977821913273751</v>
      </c>
      <c r="N452" s="14">
        <f>LEFT(I452,FIND("X",I452)-1)*RIGHT(I452,LEN(I452)-FIND("X",I452)-1)*M452</f>
        <v/>
      </c>
      <c r="O452" s="16">
        <f>(N452*L452)/1000</f>
        <v/>
      </c>
    </row>
    <row r="453" ht="15.75" customHeight="1" thickBot="1">
      <c r="A453" s="135" t="n"/>
      <c r="B453" s="135" t="n"/>
      <c r="C453" s="22" t="inlineStr">
        <is>
          <t>SCFG</t>
        </is>
      </c>
      <c r="D453" s="23" t="inlineStr">
        <is>
          <t>-</t>
        </is>
      </c>
      <c r="E453" s="23" t="n">
        <v>15</v>
      </c>
      <c r="F453" s="23" t="inlineStr">
        <is>
          <t>Single</t>
        </is>
      </c>
      <c r="G453" s="23" t="inlineStr">
        <is>
          <t>MSX 82 SCFG</t>
        </is>
      </c>
      <c r="H453" s="23" t="inlineStr">
        <is>
          <t>198 X 275</t>
        </is>
      </c>
      <c r="I453" s="23" t="inlineStr">
        <is>
          <t>23 X 43</t>
        </is>
      </c>
      <c r="J453" s="23" t="n">
        <v>10</v>
      </c>
      <c r="K453" s="115" t="n">
        <v>50</v>
      </c>
      <c r="L453" s="25">
        <f>K453/J453</f>
        <v/>
      </c>
      <c r="M453" s="26" t="n">
        <v>0.3381642512077295</v>
      </c>
      <c r="N453" s="25">
        <f>LEFT(I453,FIND("X",I453)-1)*RIGHT(I453,LEN(I453)-FIND("X",I453)-1)*M453</f>
        <v/>
      </c>
      <c r="O453" s="27">
        <f>(N453*L453)/1000</f>
        <v/>
      </c>
    </row>
    <row r="454" ht="15" customHeight="1">
      <c r="A454" s="149" t="n">
        <v>31</v>
      </c>
      <c r="B454" s="150" t="inlineStr">
        <is>
          <t>MSX 84</t>
        </is>
      </c>
      <c r="C454" s="138" t="inlineStr">
        <is>
          <t>LVP</t>
        </is>
      </c>
      <c r="D454" s="29" t="inlineStr">
        <is>
          <t>Top</t>
        </is>
      </c>
      <c r="E454" s="29" t="n">
        <v>60</v>
      </c>
      <c r="F454" s="29" t="inlineStr">
        <is>
          <t>Single</t>
        </is>
      </c>
      <c r="G454" s="29" t="inlineStr">
        <is>
          <t>MCX 84 LVP</t>
        </is>
      </c>
      <c r="H454" s="29" t="inlineStr">
        <is>
          <t>204 X 273</t>
        </is>
      </c>
      <c r="I454" s="29" t="inlineStr">
        <is>
          <t>17 X 23</t>
        </is>
      </c>
      <c r="J454" s="29" t="n">
        <v>4</v>
      </c>
      <c r="K454" s="114" t="n">
        <v>10</v>
      </c>
      <c r="L454" s="31">
        <f>K454/J454</f>
        <v/>
      </c>
      <c r="M454" s="32" t="n">
        <v>1.103988603988604</v>
      </c>
      <c r="N454" s="31">
        <f>LEFT(I454,FIND("X",I454)-1)*RIGHT(I454,LEN(I454)-FIND("X",I454)-1)*M454</f>
        <v/>
      </c>
      <c r="O454" s="33">
        <f>(N454*L454)/1000</f>
        <v/>
      </c>
    </row>
    <row r="455" ht="15" customHeight="1">
      <c r="A455" s="133" t="n"/>
      <c r="B455" s="133" t="n"/>
      <c r="C455" s="136" t="n"/>
      <c r="D455" s="11" t="inlineStr">
        <is>
          <t>Bottom</t>
        </is>
      </c>
      <c r="E455" s="11" t="n">
        <v>40</v>
      </c>
      <c r="F455" s="29" t="inlineStr">
        <is>
          <t>Single</t>
        </is>
      </c>
      <c r="G455" s="11" t="inlineStr">
        <is>
          <t>MCX 84 LVP</t>
        </is>
      </c>
      <c r="H455" s="11" t="inlineStr">
        <is>
          <t>204 X 273</t>
        </is>
      </c>
      <c r="I455" s="11" t="inlineStr">
        <is>
          <t>17 X 23</t>
        </is>
      </c>
      <c r="J455" s="11" t="n">
        <v>4</v>
      </c>
      <c r="K455" s="34" t="n">
        <v>10</v>
      </c>
      <c r="L455" s="14">
        <f>K455/J455</f>
        <v/>
      </c>
      <c r="M455" s="15" t="n">
        <v>0.6977821913273751</v>
      </c>
      <c r="N455" s="14">
        <f>LEFT(I455,FIND("X",I455)-1)*RIGHT(I455,LEN(I455)-FIND("X",I455)-1)*M455</f>
        <v/>
      </c>
      <c r="O455" s="16">
        <f>(N455*L455)/1000</f>
        <v/>
      </c>
    </row>
    <row r="456" ht="15.75" customHeight="1" thickBot="1">
      <c r="A456" s="135" t="n"/>
      <c r="B456" s="135" t="n"/>
      <c r="C456" s="22" t="inlineStr">
        <is>
          <t>SCFG</t>
        </is>
      </c>
      <c r="D456" s="23" t="inlineStr">
        <is>
          <t>-</t>
        </is>
      </c>
      <c r="E456" s="23" t="n">
        <v>15</v>
      </c>
      <c r="F456" s="23" t="inlineStr">
        <is>
          <t>Single</t>
        </is>
      </c>
      <c r="G456" s="23" t="inlineStr">
        <is>
          <t>MSX 84 SCFG</t>
        </is>
      </c>
      <c r="H456" s="23" t="inlineStr">
        <is>
          <t>223 X 294</t>
        </is>
      </c>
      <c r="I456" s="23" t="inlineStr">
        <is>
          <t>25 X 48</t>
        </is>
      </c>
      <c r="J456" s="23" t="n">
        <v>10</v>
      </c>
      <c r="K456" s="115" t="n">
        <v>10</v>
      </c>
      <c r="L456" s="25">
        <f>K456/J456</f>
        <v/>
      </c>
      <c r="M456" s="26" t="n">
        <v>0.3381642512077295</v>
      </c>
      <c r="N456" s="25">
        <f>LEFT(I456,FIND("X",I456)-1)*RIGHT(I456,LEN(I456)-FIND("X",I456)-1)*M456</f>
        <v/>
      </c>
      <c r="O456" s="27">
        <f>(N456*L456)/1000</f>
        <v/>
      </c>
    </row>
    <row r="457" ht="15" customHeight="1">
      <c r="A457" s="149" t="n">
        <v>32</v>
      </c>
      <c r="B457" s="150" t="inlineStr">
        <is>
          <t>MSX 86</t>
        </is>
      </c>
      <c r="C457" s="138" t="inlineStr">
        <is>
          <t>LVP</t>
        </is>
      </c>
      <c r="D457" s="29" t="inlineStr">
        <is>
          <t>Top</t>
        </is>
      </c>
      <c r="E457" s="29" t="n">
        <v>60</v>
      </c>
      <c r="F457" s="29" t="inlineStr">
        <is>
          <t>Single</t>
        </is>
      </c>
      <c r="G457" s="29" t="inlineStr">
        <is>
          <t>MCX 86 LVP</t>
        </is>
      </c>
      <c r="H457" s="29" t="inlineStr">
        <is>
          <t>235 X 330</t>
        </is>
      </c>
      <c r="I457" s="29" t="inlineStr">
        <is>
          <t>14 X 20</t>
        </is>
      </c>
      <c r="J457" s="29" t="n">
        <v>2</v>
      </c>
      <c r="K457" s="114" t="n">
        <v>10</v>
      </c>
      <c r="L457" s="31">
        <f>K457/J457</f>
        <v/>
      </c>
      <c r="M457" s="32" t="n">
        <v>1.103988603988604</v>
      </c>
      <c r="N457" s="31">
        <f>LEFT(I457,FIND("X",I457)-1)*RIGHT(I457,LEN(I457)-FIND("X",I457)-1)*M457</f>
        <v/>
      </c>
      <c r="O457" s="33">
        <f>(N457*L457)/1000</f>
        <v/>
      </c>
    </row>
    <row r="458" ht="15" customHeight="1">
      <c r="A458" s="133" t="n"/>
      <c r="B458" s="133" t="n"/>
      <c r="C458" s="136" t="n"/>
      <c r="D458" s="11" t="inlineStr">
        <is>
          <t>Bottom</t>
        </is>
      </c>
      <c r="E458" s="11" t="n">
        <v>40</v>
      </c>
      <c r="F458" s="29" t="inlineStr">
        <is>
          <t>Single</t>
        </is>
      </c>
      <c r="G458" s="11" t="inlineStr">
        <is>
          <t>MCX 86 LVP</t>
        </is>
      </c>
      <c r="H458" s="11" t="inlineStr">
        <is>
          <t>235 X 330</t>
        </is>
      </c>
      <c r="I458" s="11" t="inlineStr">
        <is>
          <t>14 X 20</t>
        </is>
      </c>
      <c r="J458" s="11" t="n">
        <v>2</v>
      </c>
      <c r="K458" s="34" t="n">
        <v>10</v>
      </c>
      <c r="L458" s="14">
        <f>K458/J458</f>
        <v/>
      </c>
      <c r="M458" s="15" t="n">
        <v>0.6977821913273751</v>
      </c>
      <c r="N458" s="14">
        <f>LEFT(I458,FIND("X",I458)-1)*RIGHT(I458,LEN(I458)-FIND("X",I458)-1)*M458</f>
        <v/>
      </c>
      <c r="O458" s="16">
        <f>(N458*L458)/1000</f>
        <v/>
      </c>
    </row>
    <row r="459" ht="15.75" customHeight="1" thickBot="1">
      <c r="A459" s="135" t="n"/>
      <c r="B459" s="135" t="n"/>
      <c r="C459" s="22" t="inlineStr">
        <is>
          <t>SCFG</t>
        </is>
      </c>
      <c r="D459" s="23" t="inlineStr">
        <is>
          <t>-</t>
        </is>
      </c>
      <c r="E459" s="23" t="n">
        <v>15</v>
      </c>
      <c r="F459" s="23" t="inlineStr">
        <is>
          <t>Single</t>
        </is>
      </c>
      <c r="G459" s="23" t="inlineStr">
        <is>
          <t>MSX 86 SCFG</t>
        </is>
      </c>
      <c r="H459" s="23" t="inlineStr">
        <is>
          <t>255 X 351</t>
        </is>
      </c>
      <c r="I459" s="23" t="inlineStr">
        <is>
          <t>29 X 54</t>
        </is>
      </c>
      <c r="J459" s="23" t="n">
        <v>10</v>
      </c>
      <c r="K459" s="115" t="n">
        <v>10</v>
      </c>
      <c r="L459" s="25">
        <f>K459/J459</f>
        <v/>
      </c>
      <c r="M459" s="26" t="n">
        <v>0.3381642512077295</v>
      </c>
      <c r="N459" s="25">
        <f>LEFT(I459,FIND("X",I459)-1)*RIGHT(I459,LEN(I459)-FIND("X",I459)-1)*M459</f>
        <v/>
      </c>
      <c r="O459" s="27">
        <f>(N459*L459)/1000</f>
        <v/>
      </c>
    </row>
    <row r="460">
      <c r="A460" s="141" t="inlineStr">
        <is>
          <t>KWIK Series</t>
        </is>
      </c>
      <c r="B460" s="142" t="n"/>
      <c r="C460" s="142" t="n"/>
      <c r="D460" s="142" t="n"/>
      <c r="E460" s="142" t="n"/>
      <c r="F460" s="142" t="n"/>
      <c r="G460" s="142" t="n"/>
      <c r="H460" s="142" t="n"/>
      <c r="I460" s="142" t="n"/>
      <c r="J460" s="142" t="n"/>
      <c r="K460" s="142" t="n"/>
      <c r="L460" s="142" t="n"/>
      <c r="M460" s="142" t="n"/>
      <c r="N460" s="142" t="n"/>
      <c r="O460" s="143" t="n"/>
    </row>
    <row r="461">
      <c r="A461" s="144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45" t="n"/>
    </row>
    <row r="462" ht="13.5" customHeight="1" thickBot="1">
      <c r="A462" s="146" t="n"/>
      <c r="B462" s="147" t="n"/>
      <c r="C462" s="147" t="n"/>
      <c r="D462" s="147" t="n"/>
      <c r="E462" s="147" t="n"/>
      <c r="F462" s="147" t="n"/>
      <c r="G462" s="147" t="n"/>
      <c r="H462" s="147" t="n"/>
      <c r="I462" s="147" t="n"/>
      <c r="J462" s="147" t="n"/>
      <c r="K462" s="147" t="n"/>
      <c r="L462" s="147" t="n"/>
      <c r="M462" s="147" t="n"/>
      <c r="N462" s="147" t="n"/>
      <c r="O462" s="148" t="n"/>
    </row>
    <row r="463" ht="15" customHeight="1" thickBot="1">
      <c r="A463" s="94" t="n"/>
      <c r="B463" s="95" t="n"/>
      <c r="C463" s="95" t="n"/>
      <c r="D463" s="95" t="n"/>
      <c r="E463" s="95" t="n"/>
      <c r="F463" s="95" t="n"/>
      <c r="G463" s="95" t="n"/>
      <c r="H463" s="95" t="n"/>
      <c r="I463" s="95" t="n"/>
      <c r="J463" s="95" t="n"/>
      <c r="K463" s="95" t="n"/>
      <c r="L463" s="95" t="n"/>
      <c r="M463" s="95" t="n"/>
      <c r="N463" s="95" t="n"/>
      <c r="O463" s="96" t="n"/>
    </row>
    <row r="464" ht="15" customHeight="1">
      <c r="A464" s="149" t="n">
        <v>1</v>
      </c>
      <c r="B464" s="150" t="inlineStr">
        <is>
          <t>Kwik 0</t>
        </is>
      </c>
      <c r="C464" s="97" t="inlineStr">
        <is>
          <t>Fabric</t>
        </is>
      </c>
      <c r="D464" s="29" t="n"/>
      <c r="E464" s="29" t="n"/>
      <c r="F464" s="29" t="n"/>
      <c r="G464" s="29" t="n"/>
      <c r="H464" s="29" t="n"/>
      <c r="I464" s="29" t="n"/>
      <c r="J464" s="29" t="n"/>
      <c r="K464" s="114" t="n"/>
      <c r="L464" s="31">
        <f>K464/J464</f>
        <v/>
      </c>
      <c r="M464" s="32" t="e">
        <v>#N/A</v>
      </c>
      <c r="N464" s="31">
        <f>LEFT(I464,FIND("X",I464)-1)*RIGHT(I464,LEN(I464)-FIND("X",I464)-1)*M464</f>
        <v/>
      </c>
      <c r="O464" s="33">
        <f>(N464*L464)/1000</f>
        <v/>
      </c>
    </row>
    <row r="465" ht="15.75" customHeight="1" thickBot="1">
      <c r="A465" s="135" t="n"/>
      <c r="B465" s="135" t="n"/>
      <c r="C465" s="22" t="inlineStr">
        <is>
          <t>SCFG</t>
        </is>
      </c>
      <c r="D465" s="23" t="inlineStr">
        <is>
          <t>-</t>
        </is>
      </c>
      <c r="E465" s="23" t="n">
        <v>15</v>
      </c>
      <c r="F465" s="23" t="inlineStr">
        <is>
          <t>Single</t>
        </is>
      </c>
      <c r="G465" s="23" t="inlineStr">
        <is>
          <t>KWIK 0 SCFG</t>
        </is>
      </c>
      <c r="H465" s="23" t="n">
        <v>60</v>
      </c>
      <c r="I465" s="23" t="inlineStr">
        <is>
          <t>22 X 22</t>
        </is>
      </c>
      <c r="J465" s="23" t="n">
        <v>49</v>
      </c>
      <c r="K465" s="115" t="n"/>
      <c r="L465" s="25">
        <f>K465/J465</f>
        <v/>
      </c>
      <c r="M465" s="26" t="n">
        <v>0.3381642512077295</v>
      </c>
      <c r="N465" s="25">
        <f>LEFT(I465,FIND("X",I465)-1)*RIGHT(I465,LEN(I465)-FIND("X",I465)-1)*M465</f>
        <v/>
      </c>
      <c r="O465" s="27">
        <f>(N465*L465)/1000</f>
        <v/>
      </c>
    </row>
    <row r="466" ht="15" customHeight="1">
      <c r="A466" s="149" t="n">
        <v>2</v>
      </c>
      <c r="B466" s="150" t="inlineStr">
        <is>
          <t>Kwik 1</t>
        </is>
      </c>
      <c r="C466" s="97" t="inlineStr">
        <is>
          <t>Fabric</t>
        </is>
      </c>
      <c r="D466" s="29" t="n"/>
      <c r="E466" s="29" t="n"/>
      <c r="F466" s="29" t="n"/>
      <c r="G466" s="29" t="n"/>
      <c r="H466" s="29" t="n"/>
      <c r="I466" s="29" t="n"/>
      <c r="J466" s="29" t="n"/>
      <c r="K466" s="114" t="n"/>
      <c r="L466" s="31">
        <f>K466/J466</f>
        <v/>
      </c>
      <c r="M466" s="32" t="e">
        <v>#N/A</v>
      </c>
      <c r="N466" s="31">
        <f>LEFT(I466,FIND("X",I466)-1)*RIGHT(I466,LEN(I466)-FIND("X",I466)-1)*M466</f>
        <v/>
      </c>
      <c r="O466" s="33">
        <f>(N466*L466)/1000</f>
        <v/>
      </c>
    </row>
    <row r="467" ht="15.75" customHeight="1" thickBot="1">
      <c r="A467" s="135" t="n"/>
      <c r="B467" s="135" t="n"/>
      <c r="C467" s="22" t="inlineStr">
        <is>
          <t>SCFG</t>
        </is>
      </c>
      <c r="D467" s="23" t="inlineStr">
        <is>
          <t>-</t>
        </is>
      </c>
      <c r="E467" s="23" t="n">
        <v>15</v>
      </c>
      <c r="F467" s="23" t="inlineStr">
        <is>
          <t>Single</t>
        </is>
      </c>
      <c r="G467" s="23" t="inlineStr">
        <is>
          <t>KWIK 1 SCFG</t>
        </is>
      </c>
      <c r="H467" s="23" t="n">
        <v>75</v>
      </c>
      <c r="I467" s="23" t="inlineStr">
        <is>
          <t>22.5 X 22.5</t>
        </is>
      </c>
      <c r="J467" s="23" t="n">
        <v>36</v>
      </c>
      <c r="K467" s="115" t="n">
        <v>4800</v>
      </c>
      <c r="L467" s="25">
        <f>K467/J467</f>
        <v/>
      </c>
      <c r="M467" s="26" t="n">
        <v>0.3381642512077295</v>
      </c>
      <c r="N467" s="25">
        <f>LEFT(I467,FIND("X",I467)-1)*RIGHT(I467,LEN(I467)-FIND("X",I467)-1)*M467</f>
        <v/>
      </c>
      <c r="O467" s="27">
        <f>(N467*L467)/1000</f>
        <v/>
      </c>
    </row>
    <row r="468" ht="15" customHeight="1">
      <c r="A468" s="149" t="n">
        <v>3</v>
      </c>
      <c r="B468" s="150" t="inlineStr">
        <is>
          <t>Kwik 2</t>
        </is>
      </c>
      <c r="C468" s="138" t="inlineStr">
        <is>
          <t>LVP</t>
        </is>
      </c>
      <c r="D468" s="29" t="inlineStr">
        <is>
          <t>Top</t>
        </is>
      </c>
      <c r="E468" s="29" t="n">
        <v>75</v>
      </c>
      <c r="F468" s="29" t="inlineStr">
        <is>
          <t>Passing</t>
        </is>
      </c>
      <c r="G468" s="29" t="inlineStr">
        <is>
          <t>KWIK 2 LVP</t>
        </is>
      </c>
      <c r="H468" s="29" t="n">
        <v>70</v>
      </c>
      <c r="I468" s="29" t="inlineStr">
        <is>
          <t>23 X 23</t>
        </is>
      </c>
      <c r="J468" s="29" t="n">
        <v>49</v>
      </c>
      <c r="K468" s="114" t="n">
        <v>100</v>
      </c>
      <c r="L468" s="31">
        <f>K468/J468</f>
        <v/>
      </c>
      <c r="M468" s="32" t="n">
        <v>1.433962264150943</v>
      </c>
      <c r="N468" s="31">
        <f>LEFT(I468,FIND("X",I468)-1)*RIGHT(I468,LEN(I468)-FIND("X",I468)-1)*M468</f>
        <v/>
      </c>
      <c r="O468" s="33">
        <f>(N468*L468)/1000</f>
        <v/>
      </c>
    </row>
    <row r="469" ht="15" customHeight="1">
      <c r="A469" s="133" t="n"/>
      <c r="B469" s="133" t="n"/>
      <c r="C469" s="136" t="n"/>
      <c r="D469" s="11" t="inlineStr">
        <is>
          <t>Bottom</t>
        </is>
      </c>
      <c r="E469" s="11" t="n"/>
      <c r="F469" s="11" t="n"/>
      <c r="G469" s="11" t="n"/>
      <c r="H469" s="11" t="n"/>
      <c r="I469" s="11" t="n"/>
      <c r="J469" s="11" t="n"/>
      <c r="K469" s="34" t="n">
        <v>100</v>
      </c>
      <c r="L469" s="14">
        <f>K469/J469</f>
        <v/>
      </c>
      <c r="M469" s="15" t="e">
        <v>#N/A</v>
      </c>
      <c r="N469" s="14">
        <f>LEFT(I469,FIND("X",I469)-1)*RIGHT(I469,LEN(I469)-FIND("X",I469)-1)*M469</f>
        <v/>
      </c>
      <c r="O469" s="16">
        <f>(N469*L469)/1000</f>
        <v/>
      </c>
    </row>
    <row r="470" ht="15.75" customHeight="1" thickBot="1">
      <c r="A470" s="135" t="n"/>
      <c r="B470" s="135" t="n"/>
      <c r="C470" s="22" t="inlineStr">
        <is>
          <t>SCFG</t>
        </is>
      </c>
      <c r="D470" s="23" t="inlineStr">
        <is>
          <t>-</t>
        </is>
      </c>
      <c r="E470" s="23" t="n">
        <v>15</v>
      </c>
      <c r="F470" s="23" t="inlineStr">
        <is>
          <t>Single</t>
        </is>
      </c>
      <c r="G470" s="23" t="inlineStr">
        <is>
          <t>KWIK 2 SCFG</t>
        </is>
      </c>
      <c r="H470" s="23" t="n">
        <v>89</v>
      </c>
      <c r="I470" s="23" t="inlineStr">
        <is>
          <t>21.5 X 21.5</t>
        </is>
      </c>
      <c r="J470" s="23" t="n">
        <v>25</v>
      </c>
      <c r="K470" s="115" t="n">
        <v>100</v>
      </c>
      <c r="L470" s="25">
        <f>K470/J470</f>
        <v/>
      </c>
      <c r="M470" s="26" t="n">
        <v>0.3381642512077295</v>
      </c>
      <c r="N470" s="25">
        <f>LEFT(I470,FIND("X",I470)-1)*RIGHT(I470,LEN(I470)-FIND("X",I470)-1)*M470</f>
        <v/>
      </c>
      <c r="O470" s="154">
        <f>(N470*L470)/1000</f>
        <v/>
      </c>
    </row>
    <row r="471" ht="15" customHeight="1">
      <c r="A471" s="149" t="n">
        <v>4</v>
      </c>
      <c r="B471" s="150" t="inlineStr">
        <is>
          <t>Kwik 3</t>
        </is>
      </c>
      <c r="C471" s="138" t="inlineStr">
        <is>
          <t>LVP</t>
        </is>
      </c>
      <c r="D471" s="29" t="inlineStr">
        <is>
          <t>Top</t>
        </is>
      </c>
      <c r="E471" s="29" t="n">
        <v>40</v>
      </c>
      <c r="F471" s="29" t="inlineStr">
        <is>
          <t>Single</t>
        </is>
      </c>
      <c r="G471" s="29" t="inlineStr">
        <is>
          <t>KWIK 3 LVP</t>
        </is>
      </c>
      <c r="H471" s="29" t="inlineStr">
        <is>
          <t>89 x 89</t>
        </is>
      </c>
      <c r="I471" s="29" t="inlineStr">
        <is>
          <t>24 X 24</t>
        </is>
      </c>
      <c r="J471" s="29" t="n">
        <v>36</v>
      </c>
      <c r="K471" s="114" t="n">
        <v>100</v>
      </c>
      <c r="L471" s="31">
        <f>K471/J471</f>
        <v/>
      </c>
      <c r="M471" s="32" t="n">
        <v>0.6977821913273751</v>
      </c>
      <c r="N471" s="31">
        <f>LEFT(I471,FIND("X",I471)-1)*RIGHT(I471,LEN(I471)-FIND("X",I471)-1)*M471</f>
        <v/>
      </c>
      <c r="O471" s="155">
        <f>(N471*L471)/1000</f>
        <v/>
      </c>
    </row>
    <row r="472" ht="15" customHeight="1">
      <c r="A472" s="133" t="n"/>
      <c r="B472" s="133" t="n"/>
      <c r="C472" s="136" t="n"/>
      <c r="D472" s="11" t="inlineStr">
        <is>
          <t>Bottom</t>
        </is>
      </c>
      <c r="E472" s="11" t="n">
        <v>40</v>
      </c>
      <c r="F472" s="11" t="inlineStr">
        <is>
          <t>Single</t>
        </is>
      </c>
      <c r="G472" s="29" t="inlineStr">
        <is>
          <t>KWIK 3 LVP</t>
        </is>
      </c>
      <c r="H472" s="29" t="inlineStr">
        <is>
          <t>89 x 89</t>
        </is>
      </c>
      <c r="I472" s="29" t="inlineStr">
        <is>
          <t>24 X 24</t>
        </is>
      </c>
      <c r="J472" s="29" t="n">
        <v>36</v>
      </c>
      <c r="K472" s="34" t="n">
        <v>100</v>
      </c>
      <c r="L472" s="14">
        <f>K472/J472</f>
        <v/>
      </c>
      <c r="M472" s="15" t="n">
        <v>0.6977821913273751</v>
      </c>
      <c r="N472" s="14">
        <f>LEFT(I472,FIND("X",I472)-1)*RIGHT(I472,LEN(I472)-FIND("X",I472)-1)*M472</f>
        <v/>
      </c>
      <c r="O472" s="156">
        <f>(N472*L472)/1000</f>
        <v/>
      </c>
    </row>
    <row r="473" ht="15.75" customHeight="1" thickBot="1">
      <c r="A473" s="135" t="n"/>
      <c r="B473" s="135" t="n"/>
      <c r="C473" s="22" t="inlineStr">
        <is>
          <t>SCFG</t>
        </is>
      </c>
      <c r="D473" s="23" t="inlineStr">
        <is>
          <t>-</t>
        </is>
      </c>
      <c r="E473" s="23" t="n">
        <v>15</v>
      </c>
      <c r="F473" s="23" t="inlineStr">
        <is>
          <t>Single</t>
        </is>
      </c>
      <c r="G473" s="23" t="inlineStr">
        <is>
          <t>KWIK 3 SCFG</t>
        </is>
      </c>
      <c r="H473" s="23" t="inlineStr">
        <is>
          <t>108 x 108</t>
        </is>
      </c>
      <c r="I473" s="23" t="inlineStr">
        <is>
          <t>25 X 25</t>
        </is>
      </c>
      <c r="J473" s="23" t="n">
        <v>25</v>
      </c>
      <c r="K473" s="115" t="n">
        <v>100</v>
      </c>
      <c r="L473" s="25">
        <f>K473/J473</f>
        <v/>
      </c>
      <c r="M473" s="26" t="n">
        <v>0.3381642512077295</v>
      </c>
      <c r="N473" s="25">
        <f>LEFT(I473,FIND("X",I473)-1)*RIGHT(I473,LEN(I473)-FIND("X",I473)-1)*M473</f>
        <v/>
      </c>
      <c r="O473" s="157">
        <f>(N473*L473)/1000</f>
        <v/>
      </c>
    </row>
    <row r="474" ht="15" customHeight="1">
      <c r="A474" s="149" t="n">
        <v>5</v>
      </c>
      <c r="B474" s="150" t="inlineStr">
        <is>
          <t>Kwik 4</t>
        </is>
      </c>
      <c r="C474" s="138" t="inlineStr">
        <is>
          <t>LVP</t>
        </is>
      </c>
      <c r="D474" s="29" t="inlineStr">
        <is>
          <t>Top</t>
        </is>
      </c>
      <c r="E474" s="29" t="n">
        <v>60</v>
      </c>
      <c r="F474" s="29" t="inlineStr">
        <is>
          <t>Single</t>
        </is>
      </c>
      <c r="G474" s="29" t="inlineStr">
        <is>
          <t>KWIK 4 LVP</t>
        </is>
      </c>
      <c r="H474" s="29" t="inlineStr">
        <is>
          <t>136 x 136</t>
        </is>
      </c>
      <c r="I474" s="29" t="inlineStr">
        <is>
          <t>23.5 X 23.5</t>
        </is>
      </c>
      <c r="J474" s="29" t="n">
        <v>16</v>
      </c>
      <c r="K474" s="114" t="n">
        <v>100</v>
      </c>
      <c r="L474" s="31">
        <f>K474/J474</f>
        <v/>
      </c>
      <c r="M474" s="32" t="n">
        <v>1.103988603988604</v>
      </c>
      <c r="N474" s="31">
        <f>LEFT(I474,FIND("X",I474)-1)*RIGHT(I474,LEN(I474)-FIND("X",I474)-1)*M474</f>
        <v/>
      </c>
      <c r="O474" s="153">
        <f>(N474*L474)/1000</f>
        <v/>
      </c>
    </row>
    <row r="475" ht="15" customHeight="1">
      <c r="A475" s="133" t="n"/>
      <c r="B475" s="133" t="n"/>
      <c r="C475" s="136" t="n"/>
      <c r="D475" s="11" t="inlineStr">
        <is>
          <t>Bottom</t>
        </is>
      </c>
      <c r="E475" s="11" t="n">
        <v>40</v>
      </c>
      <c r="F475" s="11" t="inlineStr">
        <is>
          <t>Single</t>
        </is>
      </c>
      <c r="G475" s="29" t="inlineStr">
        <is>
          <t>KWIK 4 LVP</t>
        </is>
      </c>
      <c r="H475" s="29" t="inlineStr">
        <is>
          <t>136 x 136</t>
        </is>
      </c>
      <c r="I475" s="29" t="inlineStr">
        <is>
          <t>23.5 X 23.5</t>
        </is>
      </c>
      <c r="J475" s="29" t="n">
        <v>16</v>
      </c>
      <c r="K475" s="34" t="n">
        <v>100</v>
      </c>
      <c r="L475" s="14">
        <f>K475/J475</f>
        <v/>
      </c>
      <c r="M475" s="15" t="n">
        <v>0.6977821913273751</v>
      </c>
      <c r="N475" s="14">
        <f>LEFT(I475,FIND("X",I475)-1)*RIGHT(I475,LEN(I475)-FIND("X",I475)-1)*M475</f>
        <v/>
      </c>
      <c r="O475" s="158">
        <f>(N475*L475)/1000</f>
        <v/>
      </c>
    </row>
    <row r="476" ht="15.75" customHeight="1" thickBot="1">
      <c r="A476" s="135" t="n"/>
      <c r="B476" s="135" t="n"/>
      <c r="C476" s="22" t="inlineStr">
        <is>
          <t>SCFG</t>
        </is>
      </c>
      <c r="D476" s="23" t="inlineStr">
        <is>
          <t>-</t>
        </is>
      </c>
      <c r="E476" s="23" t="n">
        <v>15</v>
      </c>
      <c r="F476" s="23" t="inlineStr">
        <is>
          <t>Single</t>
        </is>
      </c>
      <c r="G476" s="23" t="inlineStr">
        <is>
          <t>KWIK 4 SCFG</t>
        </is>
      </c>
      <c r="H476" s="23" t="inlineStr">
        <is>
          <t>161 x 161</t>
        </is>
      </c>
      <c r="I476" s="23" t="inlineStr">
        <is>
          <t>21.5 X 21.5</t>
        </is>
      </c>
      <c r="J476" s="23" t="n">
        <v>9</v>
      </c>
      <c r="K476" s="115" t="n">
        <v>100</v>
      </c>
      <c r="L476" s="25">
        <f>K476/J476</f>
        <v/>
      </c>
      <c r="M476" s="26" t="n">
        <v>0.3381642512077295</v>
      </c>
      <c r="N476" s="25">
        <f>LEFT(I476,FIND("X",I476)-1)*RIGHT(I476,LEN(I476)-FIND("X",I476)-1)*M476</f>
        <v/>
      </c>
      <c r="O476" s="27">
        <f>(N476*L476)/1000</f>
        <v/>
      </c>
    </row>
    <row r="477" ht="15" customHeight="1">
      <c r="A477" s="149" t="n">
        <v>6</v>
      </c>
      <c r="B477" s="150" t="inlineStr">
        <is>
          <t>Kwik 5</t>
        </is>
      </c>
      <c r="C477" s="138" t="inlineStr">
        <is>
          <t>LVP</t>
        </is>
      </c>
      <c r="D477" s="29" t="inlineStr">
        <is>
          <t>Top</t>
        </is>
      </c>
      <c r="E477" s="29" t="n">
        <v>60</v>
      </c>
      <c r="F477" s="29" t="inlineStr">
        <is>
          <t>Single</t>
        </is>
      </c>
      <c r="G477" s="29" t="inlineStr">
        <is>
          <t>KWIK 5 LVP</t>
        </is>
      </c>
      <c r="H477" s="29" t="inlineStr">
        <is>
          <t>165 X 165</t>
        </is>
      </c>
      <c r="I477" s="29" t="inlineStr">
        <is>
          <t>21 X 21</t>
        </is>
      </c>
      <c r="J477" s="29" t="n">
        <v>9</v>
      </c>
      <c r="K477" s="114" t="n">
        <v>100</v>
      </c>
      <c r="L477" s="31">
        <f>K477/J477</f>
        <v/>
      </c>
      <c r="M477" s="32" t="n">
        <v>1.103988603988604</v>
      </c>
      <c r="N477" s="31">
        <f>LEFT(I477,FIND("X",I477)-1)*RIGHT(I477,LEN(I477)-FIND("X",I477)-1)*M477</f>
        <v/>
      </c>
      <c r="O477" s="153">
        <f>(N477*L477)/1000</f>
        <v/>
      </c>
    </row>
    <row r="478" ht="15" customHeight="1">
      <c r="A478" s="133" t="n"/>
      <c r="B478" s="133" t="n"/>
      <c r="C478" s="136" t="n"/>
      <c r="D478" s="11" t="inlineStr">
        <is>
          <t>Bottom</t>
        </is>
      </c>
      <c r="E478" s="11" t="n">
        <v>40</v>
      </c>
      <c r="F478" s="11" t="inlineStr">
        <is>
          <t>Single</t>
        </is>
      </c>
      <c r="G478" s="29" t="inlineStr">
        <is>
          <t>KWIK 5 LVP</t>
        </is>
      </c>
      <c r="H478" s="29" t="inlineStr">
        <is>
          <t>165 X 165</t>
        </is>
      </c>
      <c r="I478" s="29" t="inlineStr">
        <is>
          <t>21 X 21</t>
        </is>
      </c>
      <c r="J478" s="29" t="n">
        <v>9</v>
      </c>
      <c r="K478" s="34" t="n">
        <v>100</v>
      </c>
      <c r="L478" s="14">
        <f>K478/J478</f>
        <v/>
      </c>
      <c r="M478" s="15" t="n">
        <v>0.6977821913273751</v>
      </c>
      <c r="N478" s="14">
        <f>LEFT(I478,FIND("X",I478)-1)*RIGHT(I478,LEN(I478)-FIND("X",I478)-1)*M478</f>
        <v/>
      </c>
      <c r="O478" s="158">
        <f>(N478*L478)/1000</f>
        <v/>
      </c>
    </row>
    <row r="479" ht="15.75" customHeight="1" thickBot="1">
      <c r="A479" s="135" t="n"/>
      <c r="B479" s="135" t="n"/>
      <c r="C479" s="22" t="inlineStr">
        <is>
          <t>SCFG</t>
        </is>
      </c>
      <c r="D479" s="23" t="inlineStr">
        <is>
          <t>-</t>
        </is>
      </c>
      <c r="E479" s="23" t="n">
        <v>15</v>
      </c>
      <c r="F479" s="23" t="inlineStr">
        <is>
          <t>Single</t>
        </is>
      </c>
      <c r="G479" s="23" t="inlineStr">
        <is>
          <t>KWIK 5 SCFG</t>
        </is>
      </c>
      <c r="H479" s="23" t="inlineStr">
        <is>
          <t>188 x 188</t>
        </is>
      </c>
      <c r="I479" s="23" t="inlineStr">
        <is>
          <t>24.5 X 24.5</t>
        </is>
      </c>
      <c r="J479" s="23" t="n">
        <v>9</v>
      </c>
      <c r="K479" s="115" t="n">
        <v>100</v>
      </c>
      <c r="L479" s="25">
        <f>K479/J479</f>
        <v/>
      </c>
      <c r="M479" s="26" t="n">
        <v>0.3381642512077295</v>
      </c>
      <c r="N479" s="25">
        <f>LEFT(I479,FIND("X",I479)-1)*RIGHT(I479,LEN(I479)-FIND("X",I479)-1)*M479</f>
        <v/>
      </c>
      <c r="O479" s="154">
        <f>(N479*L479)/1000</f>
        <v/>
      </c>
    </row>
    <row r="480" ht="15" customHeight="1">
      <c r="A480" s="149" t="n">
        <v>7</v>
      </c>
      <c r="B480" s="150" t="inlineStr">
        <is>
          <t>Kwik 5.5</t>
        </is>
      </c>
      <c r="C480" s="138" t="inlineStr">
        <is>
          <t>LVP</t>
        </is>
      </c>
      <c r="D480" s="29" t="inlineStr">
        <is>
          <t>Top</t>
        </is>
      </c>
      <c r="E480" s="29" t="n">
        <v>60</v>
      </c>
      <c r="F480" s="29" t="inlineStr">
        <is>
          <t>Single</t>
        </is>
      </c>
      <c r="G480" s="29" t="inlineStr">
        <is>
          <t>KWIK 5.5 LVP</t>
        </is>
      </c>
      <c r="H480" s="29" t="inlineStr">
        <is>
          <t>185 X 185</t>
        </is>
      </c>
      <c r="I480" s="29" t="inlineStr">
        <is>
          <t>23.5 X 23.5</t>
        </is>
      </c>
      <c r="J480" s="29" t="n">
        <v>9</v>
      </c>
      <c r="K480" s="114" t="n">
        <v>100</v>
      </c>
      <c r="L480" s="31">
        <f>K480/J480</f>
        <v/>
      </c>
      <c r="M480" s="32" t="n">
        <v>1.103988603988604</v>
      </c>
      <c r="N480" s="31">
        <f>LEFT(I480,FIND("X",I480)-1)*RIGHT(I480,LEN(I480)-FIND("X",I480)-1)*M480</f>
        <v/>
      </c>
      <c r="O480" s="153">
        <f>(N480*L480)/1000</f>
        <v/>
      </c>
    </row>
    <row r="481" ht="15" customHeight="1">
      <c r="A481" s="133" t="n"/>
      <c r="B481" s="133" t="n"/>
      <c r="C481" s="136" t="n"/>
      <c r="D481" s="11" t="inlineStr">
        <is>
          <t>Bottom</t>
        </is>
      </c>
      <c r="E481" s="11" t="n">
        <v>40</v>
      </c>
      <c r="F481" s="11" t="inlineStr">
        <is>
          <t>Single</t>
        </is>
      </c>
      <c r="G481" s="29" t="inlineStr">
        <is>
          <t>KWIK 5.5 LVP</t>
        </is>
      </c>
      <c r="H481" s="29" t="inlineStr">
        <is>
          <t>185 X 185</t>
        </is>
      </c>
      <c r="I481" s="29" t="inlineStr">
        <is>
          <t>23.5 X 23.5</t>
        </is>
      </c>
      <c r="J481" s="29" t="n">
        <v>9</v>
      </c>
      <c r="K481" s="34" t="n">
        <v>100</v>
      </c>
      <c r="L481" s="14">
        <f>K481/J481</f>
        <v/>
      </c>
      <c r="M481" s="15" t="n">
        <v>0.6977821913273751</v>
      </c>
      <c r="N481" s="14">
        <f>LEFT(I481,FIND("X",I481)-1)*RIGHT(I481,LEN(I481)-FIND("X",I481)-1)*M481</f>
        <v/>
      </c>
      <c r="O481" s="158">
        <f>(N481*L481)/1000</f>
        <v/>
      </c>
    </row>
    <row r="482" ht="15.75" customHeight="1" thickBot="1">
      <c r="A482" s="135" t="n"/>
      <c r="B482" s="135" t="n"/>
      <c r="C482" s="22" t="inlineStr">
        <is>
          <t>SCFG</t>
        </is>
      </c>
      <c r="D482" s="23" t="inlineStr">
        <is>
          <t>-</t>
        </is>
      </c>
      <c r="E482" s="23" t="n">
        <v>15</v>
      </c>
      <c r="F482" s="23" t="inlineStr">
        <is>
          <t>Single</t>
        </is>
      </c>
      <c r="G482" s="11" t="inlineStr">
        <is>
          <t>KWIK 5.5 SCFG</t>
        </is>
      </c>
      <c r="H482" s="11" t="inlineStr">
        <is>
          <t>207 X 207</t>
        </is>
      </c>
      <c r="I482" s="23" t="inlineStr">
        <is>
          <t>27 X 27</t>
        </is>
      </c>
      <c r="J482" s="23" t="n">
        <v>9</v>
      </c>
      <c r="K482" s="115" t="n">
        <v>100</v>
      </c>
      <c r="L482" s="25">
        <f>K482/J482</f>
        <v/>
      </c>
      <c r="M482" s="26" t="n">
        <v>0.3381642512077295</v>
      </c>
      <c r="N482" s="25">
        <f>LEFT(I482,FIND("X",I482)-1)*RIGHT(I482,LEN(I482)-FIND("X",I482)-1)*M482</f>
        <v/>
      </c>
      <c r="O482" s="154">
        <f>(N482*L482)/1000</f>
        <v/>
      </c>
    </row>
    <row r="483" ht="15" customHeight="1">
      <c r="A483" s="149" t="n">
        <v>8</v>
      </c>
      <c r="B483" s="150" t="inlineStr">
        <is>
          <t>Kwik 6</t>
        </is>
      </c>
      <c r="C483" s="138" t="inlineStr">
        <is>
          <t>LVP</t>
        </is>
      </c>
      <c r="D483" s="29" t="inlineStr">
        <is>
          <t>Top</t>
        </is>
      </c>
      <c r="E483" s="29" t="n">
        <v>60</v>
      </c>
      <c r="F483" s="29" t="inlineStr">
        <is>
          <t>Single</t>
        </is>
      </c>
      <c r="G483" s="29" t="inlineStr">
        <is>
          <t>KWIK 6 LVP</t>
        </is>
      </c>
      <c r="H483" s="29" t="inlineStr">
        <is>
          <t>236 X 236</t>
        </is>
      </c>
      <c r="I483" s="29" t="inlineStr">
        <is>
          <t>20 X 20</t>
        </is>
      </c>
      <c r="J483" s="29" t="n">
        <v>4</v>
      </c>
      <c r="K483" s="114" t="n">
        <v>100</v>
      </c>
      <c r="L483" s="31">
        <f>K483/J483</f>
        <v/>
      </c>
      <c r="M483" s="32" t="n">
        <v>1.103988603988604</v>
      </c>
      <c r="N483" s="31">
        <f>LEFT(I483,FIND("X",I483)-1)*RIGHT(I483,LEN(I483)-FIND("X",I483)-1)*M483</f>
        <v/>
      </c>
      <c r="O483" s="153">
        <f>(N483*L483)/1000</f>
        <v/>
      </c>
    </row>
    <row r="484" ht="15" customHeight="1">
      <c r="A484" s="133" t="n"/>
      <c r="B484" s="133" t="n"/>
      <c r="C484" s="136" t="n"/>
      <c r="D484" s="11" t="inlineStr">
        <is>
          <t>Bottom</t>
        </is>
      </c>
      <c r="E484" s="11" t="n">
        <v>40</v>
      </c>
      <c r="F484" s="11" t="inlineStr">
        <is>
          <t>Single</t>
        </is>
      </c>
      <c r="G484" s="29" t="inlineStr">
        <is>
          <t>KWIK 6 LVP</t>
        </is>
      </c>
      <c r="H484" s="29" t="inlineStr">
        <is>
          <t>236 X 236</t>
        </is>
      </c>
      <c r="I484" s="29" t="inlineStr">
        <is>
          <t>20 X 20</t>
        </is>
      </c>
      <c r="J484" s="29" t="n">
        <v>4</v>
      </c>
      <c r="K484" s="34" t="n">
        <v>100</v>
      </c>
      <c r="L484" s="14">
        <f>K484/J484</f>
        <v/>
      </c>
      <c r="M484" s="15" t="n">
        <v>0.6977821913273751</v>
      </c>
      <c r="N484" s="14">
        <f>LEFT(I484,FIND("X",I484)-1)*RIGHT(I484,LEN(I484)-FIND("X",I484)-1)*M484</f>
        <v/>
      </c>
      <c r="O484" s="158">
        <f>(N484*L484)/1000</f>
        <v/>
      </c>
    </row>
    <row r="485" ht="15.75" customHeight="1" thickBot="1">
      <c r="A485" s="135" t="n"/>
      <c r="B485" s="135" t="n"/>
      <c r="C485" s="22" t="inlineStr">
        <is>
          <t>SCFG</t>
        </is>
      </c>
      <c r="D485" s="23" t="inlineStr">
        <is>
          <t>-</t>
        </is>
      </c>
      <c r="E485" s="23" t="n">
        <v>15</v>
      </c>
      <c r="F485" s="23" t="inlineStr">
        <is>
          <t>Single</t>
        </is>
      </c>
      <c r="G485" s="23" t="inlineStr">
        <is>
          <t>KWIK 6 SCFG</t>
        </is>
      </c>
      <c r="H485" s="23" t="inlineStr">
        <is>
          <t>262 X 262</t>
        </is>
      </c>
      <c r="I485" s="23" t="inlineStr">
        <is>
          <t>22 X 22</t>
        </is>
      </c>
      <c r="J485" s="23" t="n">
        <v>4</v>
      </c>
      <c r="K485" s="115" t="n">
        <v>100</v>
      </c>
      <c r="L485" s="25">
        <f>K485/J485</f>
        <v/>
      </c>
      <c r="M485" s="26" t="n">
        <v>0.3381642512077295</v>
      </c>
      <c r="N485" s="25">
        <f>LEFT(I485,FIND("X",I485)-1)*RIGHT(I485,LEN(I485)-FIND("X",I485)-1)*M485</f>
        <v/>
      </c>
      <c r="O485" s="154">
        <f>(N485*L485)/1000</f>
        <v/>
      </c>
    </row>
    <row r="486" ht="15" customHeight="1">
      <c r="A486" s="149" t="n">
        <v>9</v>
      </c>
      <c r="B486" s="150" t="inlineStr">
        <is>
          <t>Kwik 7</t>
        </is>
      </c>
      <c r="C486" s="138" t="inlineStr">
        <is>
          <t>LVP</t>
        </is>
      </c>
      <c r="D486" s="29" t="inlineStr">
        <is>
          <t>Top</t>
        </is>
      </c>
      <c r="E486" s="29" t="n">
        <v>60</v>
      </c>
      <c r="F486" s="29" t="inlineStr">
        <is>
          <t>Single</t>
        </is>
      </c>
      <c r="G486" s="29" t="inlineStr">
        <is>
          <t>KWIK 7 LVP</t>
        </is>
      </c>
      <c r="H486" s="29" t="inlineStr">
        <is>
          <t>290 X 290</t>
        </is>
      </c>
      <c r="I486" s="29" t="inlineStr">
        <is>
          <t>24 X 24</t>
        </is>
      </c>
      <c r="J486" s="29" t="n">
        <v>4</v>
      </c>
      <c r="K486" s="114" t="n">
        <v>100</v>
      </c>
      <c r="L486" s="31">
        <f>K486/J486</f>
        <v/>
      </c>
      <c r="M486" s="32" t="n">
        <v>1.103988603988604</v>
      </c>
      <c r="N486" s="31">
        <f>LEFT(I486,FIND("X",I486)-1)*RIGHT(I486,LEN(I486)-FIND("X",I486)-1)*M486</f>
        <v/>
      </c>
      <c r="O486" s="103">
        <f>(N486*L486)/1000</f>
        <v/>
      </c>
    </row>
    <row r="487" ht="15" customHeight="1">
      <c r="A487" s="133" t="n"/>
      <c r="B487" s="133" t="n"/>
      <c r="C487" s="136" t="n"/>
      <c r="D487" s="11" t="inlineStr">
        <is>
          <t>Bottom</t>
        </is>
      </c>
      <c r="E487" s="11" t="n">
        <v>40</v>
      </c>
      <c r="F487" s="11" t="inlineStr">
        <is>
          <t>Single</t>
        </is>
      </c>
      <c r="G487" s="29" t="inlineStr">
        <is>
          <t>KWIK 7 LVP</t>
        </is>
      </c>
      <c r="H487" s="29" t="inlineStr">
        <is>
          <t>290 X 290</t>
        </is>
      </c>
      <c r="I487" s="29" t="inlineStr">
        <is>
          <t>24 X 24</t>
        </is>
      </c>
      <c r="J487" s="29" t="n">
        <v>4</v>
      </c>
      <c r="K487" s="34" t="n">
        <v>100</v>
      </c>
      <c r="L487" s="14">
        <f>K487/J487</f>
        <v/>
      </c>
      <c r="M487" s="15" t="n">
        <v>0.6977821913273751</v>
      </c>
      <c r="N487" s="14">
        <f>LEFT(I487,FIND("X",I487)-1)*RIGHT(I487,LEN(I487)-FIND("X",I487)-1)*M487</f>
        <v/>
      </c>
      <c r="O487" s="104">
        <f>(N487*L487)/1000</f>
        <v/>
      </c>
    </row>
    <row r="488" ht="15.75" customHeight="1" thickBot="1">
      <c r="A488" s="135" t="n"/>
      <c r="B488" s="135" t="n"/>
      <c r="C488" s="22" t="inlineStr">
        <is>
          <t>SCFG</t>
        </is>
      </c>
      <c r="D488" s="23" t="inlineStr">
        <is>
          <t>-</t>
        </is>
      </c>
      <c r="E488" s="23" t="n">
        <v>15</v>
      </c>
      <c r="F488" s="23" t="inlineStr">
        <is>
          <t>Single</t>
        </is>
      </c>
      <c r="G488" s="23" t="inlineStr">
        <is>
          <t>KWIK 7 SCFG</t>
        </is>
      </c>
      <c r="H488" s="23" t="inlineStr">
        <is>
          <t>311 X 311</t>
        </is>
      </c>
      <c r="I488" s="23" t="inlineStr">
        <is>
          <t>26 X 26</t>
        </is>
      </c>
      <c r="J488" s="23" t="n">
        <v>4</v>
      </c>
      <c r="K488" s="115" t="n">
        <v>100</v>
      </c>
      <c r="L488" s="25">
        <f>K488/J488</f>
        <v/>
      </c>
      <c r="M488" s="26" t="n">
        <v>0.3381642512077295</v>
      </c>
      <c r="N488" s="25">
        <f>LEFT(I488,FIND("X",I488)-1)*RIGHT(I488,LEN(I488)-FIND("X",I488)-1)*M488</f>
        <v/>
      </c>
      <c r="O488" s="27">
        <f>(N488*L488)/1000</f>
        <v/>
      </c>
    </row>
    <row r="489" ht="15" customHeight="1">
      <c r="A489" s="149" t="n">
        <v>10</v>
      </c>
      <c r="B489" s="150" t="inlineStr">
        <is>
          <t>Kwik 8</t>
        </is>
      </c>
      <c r="C489" s="138" t="inlineStr">
        <is>
          <t>LVP</t>
        </is>
      </c>
      <c r="D489" s="29" t="inlineStr">
        <is>
          <t>Top</t>
        </is>
      </c>
      <c r="E489" s="29" t="n">
        <v>60</v>
      </c>
      <c r="F489" s="29" t="inlineStr">
        <is>
          <t>Single</t>
        </is>
      </c>
      <c r="G489" s="29" t="inlineStr">
        <is>
          <t>KWIK 8 LVP</t>
        </is>
      </c>
      <c r="H489" s="29" t="inlineStr">
        <is>
          <t>340 X 340</t>
        </is>
      </c>
      <c r="I489" s="29" t="inlineStr">
        <is>
          <t>28 X 28</t>
        </is>
      </c>
      <c r="J489" s="29" t="n">
        <v>4</v>
      </c>
      <c r="K489" s="114" t="n">
        <v>100</v>
      </c>
      <c r="L489" s="31">
        <f>K489/J489</f>
        <v/>
      </c>
      <c r="M489" s="32" t="n">
        <v>1.103988603988604</v>
      </c>
      <c r="N489" s="31">
        <f>LEFT(I489,FIND("X",I489)-1)*RIGHT(I489,LEN(I489)-FIND("X",I489)-1)*M489</f>
        <v/>
      </c>
      <c r="O489" s="153">
        <f>(N489*L489)/1000</f>
        <v/>
      </c>
    </row>
    <row r="490" ht="15" customHeight="1">
      <c r="A490" s="133" t="n"/>
      <c r="B490" s="133" t="n"/>
      <c r="C490" s="136" t="n"/>
      <c r="D490" s="11" t="inlineStr">
        <is>
          <t>Bottom</t>
        </is>
      </c>
      <c r="E490" s="11" t="n">
        <v>40</v>
      </c>
      <c r="F490" s="11" t="inlineStr">
        <is>
          <t>Single</t>
        </is>
      </c>
      <c r="G490" s="29" t="inlineStr">
        <is>
          <t>KWIK 8 LVP</t>
        </is>
      </c>
      <c r="H490" s="29" t="inlineStr">
        <is>
          <t>340 X 340</t>
        </is>
      </c>
      <c r="I490" s="29" t="inlineStr">
        <is>
          <t>28 X 28</t>
        </is>
      </c>
      <c r="J490" s="29" t="n">
        <v>4</v>
      </c>
      <c r="K490" s="34" t="n">
        <v>100</v>
      </c>
      <c r="L490" s="14">
        <f>K490/J490</f>
        <v/>
      </c>
      <c r="M490" s="15" t="n">
        <v>0.6977821913273751</v>
      </c>
      <c r="N490" s="14">
        <f>LEFT(I490,FIND("X",I490)-1)*RIGHT(I490,LEN(I490)-FIND("X",I490)-1)*M490</f>
        <v/>
      </c>
      <c r="O490" s="158">
        <f>(N490*L490)/1000</f>
        <v/>
      </c>
    </row>
    <row r="491" ht="15.75" customHeight="1" thickBot="1">
      <c r="A491" s="135" t="n"/>
      <c r="B491" s="135" t="n"/>
      <c r="C491" s="22" t="inlineStr">
        <is>
          <t>SCFG</t>
        </is>
      </c>
      <c r="D491" s="23" t="inlineStr">
        <is>
          <t>-</t>
        </is>
      </c>
      <c r="E491" s="23" t="n">
        <v>15</v>
      </c>
      <c r="F491" s="23" t="inlineStr">
        <is>
          <t>Single</t>
        </is>
      </c>
      <c r="G491" s="23" t="inlineStr">
        <is>
          <t>KWIK 8 SCFG</t>
        </is>
      </c>
      <c r="H491" s="23" t="inlineStr">
        <is>
          <t>363 X 363</t>
        </is>
      </c>
      <c r="I491" s="23" t="inlineStr">
        <is>
          <t>30 X 30</t>
        </is>
      </c>
      <c r="J491" s="23" t="n">
        <v>4</v>
      </c>
      <c r="K491" s="115" t="n">
        <v>100</v>
      </c>
      <c r="L491" s="25">
        <f>K491/J491</f>
        <v/>
      </c>
      <c r="M491" s="26" t="n">
        <v>0.3381642512077295</v>
      </c>
      <c r="N491" s="25">
        <f>LEFT(I491,FIND("X",I491)-1)*RIGHT(I491,LEN(I491)-FIND("X",I491)-1)*M491</f>
        <v/>
      </c>
      <c r="O491" s="27">
        <f>(N491*L491)/1000</f>
        <v/>
      </c>
    </row>
    <row r="492" ht="15" customHeight="1">
      <c r="A492" s="149" t="n">
        <v>11</v>
      </c>
      <c r="B492" s="150" t="inlineStr">
        <is>
          <t>Kwik 9</t>
        </is>
      </c>
      <c r="C492" s="138" t="inlineStr">
        <is>
          <t>LVP</t>
        </is>
      </c>
      <c r="D492" s="29" t="inlineStr">
        <is>
          <t>Top</t>
        </is>
      </c>
      <c r="E492" s="29" t="n">
        <v>60</v>
      </c>
      <c r="F492" s="29" t="inlineStr">
        <is>
          <t>Single</t>
        </is>
      </c>
      <c r="G492" s="29" t="inlineStr">
        <is>
          <t>KWIK 9 LVP</t>
        </is>
      </c>
      <c r="H492" s="29" t="inlineStr">
        <is>
          <t>363 X 363</t>
        </is>
      </c>
      <c r="I492" s="29" t="inlineStr">
        <is>
          <t>15 X 15</t>
        </is>
      </c>
      <c r="J492" s="29" t="n">
        <v>1</v>
      </c>
      <c r="K492" s="114" t="n">
        <v>100</v>
      </c>
      <c r="L492" s="31">
        <f>K492/J492</f>
        <v/>
      </c>
      <c r="M492" s="32" t="n">
        <v>1.103988603988604</v>
      </c>
      <c r="N492" s="31">
        <f>LEFT(I492,FIND("X",I492)-1)*RIGHT(I492,LEN(I492)-FIND("X",I492)-1)*M492</f>
        <v/>
      </c>
      <c r="O492" s="153">
        <f>(N492*L492)/1000</f>
        <v/>
      </c>
    </row>
    <row r="493" ht="15" customHeight="1">
      <c r="A493" s="133" t="n"/>
      <c r="B493" s="133" t="n"/>
      <c r="C493" s="136" t="n"/>
      <c r="D493" s="11" t="inlineStr">
        <is>
          <t>Bottom</t>
        </is>
      </c>
      <c r="E493" s="11" t="n">
        <v>40</v>
      </c>
      <c r="F493" s="11" t="inlineStr">
        <is>
          <t>Single</t>
        </is>
      </c>
      <c r="G493" s="29" t="inlineStr">
        <is>
          <t>KWIK 9 LVP</t>
        </is>
      </c>
      <c r="H493" s="29" t="inlineStr">
        <is>
          <t>363 X 363</t>
        </is>
      </c>
      <c r="I493" s="29" t="inlineStr">
        <is>
          <t>15 X 15</t>
        </is>
      </c>
      <c r="J493" s="29" t="n">
        <v>1</v>
      </c>
      <c r="K493" s="34" t="n">
        <v>100</v>
      </c>
      <c r="L493" s="14">
        <f>K493/J493</f>
        <v/>
      </c>
      <c r="M493" s="15" t="n">
        <v>0.6977821913273751</v>
      </c>
      <c r="N493" s="14">
        <f>LEFT(I493,FIND("X",I493)-1)*RIGHT(I493,LEN(I493)-FIND("X",I493)-1)*M493</f>
        <v/>
      </c>
      <c r="O493" s="158">
        <f>(N493*L493)/1000</f>
        <v/>
      </c>
    </row>
    <row r="494" ht="15.75" customHeight="1" thickBot="1">
      <c r="A494" s="135" t="n"/>
      <c r="B494" s="135" t="n"/>
      <c r="C494" s="22" t="inlineStr">
        <is>
          <t>SCFG</t>
        </is>
      </c>
      <c r="D494" s="23" t="inlineStr">
        <is>
          <t>-</t>
        </is>
      </c>
      <c r="E494" s="23" t="n">
        <v>15</v>
      </c>
      <c r="F494" s="23" t="inlineStr">
        <is>
          <t>Single</t>
        </is>
      </c>
      <c r="G494" s="23" t="inlineStr">
        <is>
          <t>KWIK 9 SCFG</t>
        </is>
      </c>
      <c r="H494" s="23" t="inlineStr">
        <is>
          <t>383 X 383</t>
        </is>
      </c>
      <c r="I494" s="23" t="inlineStr">
        <is>
          <t>32 X 31</t>
        </is>
      </c>
      <c r="J494" s="23" t="n">
        <v>4</v>
      </c>
      <c r="K494" s="115" t="n">
        <v>100</v>
      </c>
      <c r="L494" s="25">
        <f>K494/J494</f>
        <v/>
      </c>
      <c r="M494" s="26" t="n">
        <v>0.3381642512077295</v>
      </c>
      <c r="N494" s="25">
        <f>LEFT(I494,FIND("X",I494)-1)*RIGHT(I494,LEN(I494)-FIND("X",I494)-1)*M494</f>
        <v/>
      </c>
      <c r="O494" s="27">
        <f>(N494*L494)/1000</f>
        <v/>
      </c>
    </row>
    <row r="495" ht="15" customHeight="1">
      <c r="A495" s="149" t="n">
        <v>12</v>
      </c>
      <c r="B495" s="150" t="inlineStr">
        <is>
          <t>Kwik 10</t>
        </is>
      </c>
      <c r="C495" s="138" t="inlineStr">
        <is>
          <t>LVP</t>
        </is>
      </c>
      <c r="D495" s="29" t="inlineStr">
        <is>
          <t>Top</t>
        </is>
      </c>
      <c r="E495" s="29" t="n">
        <v>60</v>
      </c>
      <c r="F495" s="29" t="inlineStr">
        <is>
          <t>Single</t>
        </is>
      </c>
      <c r="G495" s="29" t="inlineStr">
        <is>
          <t>KWIK 10 LVP</t>
        </is>
      </c>
      <c r="H495" s="29" t="inlineStr">
        <is>
          <t>431 X 431</t>
        </is>
      </c>
      <c r="I495" s="29" t="inlineStr">
        <is>
          <t>18 X 18</t>
        </is>
      </c>
      <c r="J495" s="29" t="n">
        <v>1</v>
      </c>
      <c r="K495" s="114" t="n">
        <v>100</v>
      </c>
      <c r="L495" s="31">
        <f>K495/J495</f>
        <v/>
      </c>
      <c r="M495" s="32" t="n">
        <v>1.103988603988604</v>
      </c>
      <c r="N495" s="31">
        <f>LEFT(I495,FIND("X",I495)-1)*RIGHT(I495,LEN(I495)-FIND("X",I495)-1)*M495</f>
        <v/>
      </c>
      <c r="O495" s="153">
        <f>(N495*L495)/1000</f>
        <v/>
      </c>
    </row>
    <row r="496" ht="15" customHeight="1">
      <c r="A496" s="133" t="n"/>
      <c r="B496" s="133" t="n"/>
      <c r="C496" s="136" t="n"/>
      <c r="D496" s="11" t="inlineStr">
        <is>
          <t>Bottom</t>
        </is>
      </c>
      <c r="E496" s="11" t="n">
        <v>40</v>
      </c>
      <c r="F496" s="11" t="inlineStr">
        <is>
          <t>Single</t>
        </is>
      </c>
      <c r="G496" s="29" t="inlineStr">
        <is>
          <t>KWIK 10 LVP</t>
        </is>
      </c>
      <c r="H496" s="29" t="inlineStr">
        <is>
          <t>431 X 431</t>
        </is>
      </c>
      <c r="I496" s="29" t="inlineStr">
        <is>
          <t>18 X 18</t>
        </is>
      </c>
      <c r="J496" s="29" t="n">
        <v>1</v>
      </c>
      <c r="K496" s="34" t="n">
        <v>100</v>
      </c>
      <c r="L496" s="14">
        <f>K496/J496</f>
        <v/>
      </c>
      <c r="M496" s="15" t="n">
        <v>0.6977821913273751</v>
      </c>
      <c r="N496" s="14">
        <f>LEFT(I496,FIND("X",I496)-1)*RIGHT(I496,LEN(I496)-FIND("X",I496)-1)*M496</f>
        <v/>
      </c>
      <c r="O496" s="158">
        <f>(N496*L496)/1000</f>
        <v/>
      </c>
    </row>
    <row r="497" ht="15.75" customHeight="1" thickBot="1">
      <c r="A497" s="135" t="n"/>
      <c r="B497" s="135" t="n"/>
      <c r="C497" s="22" t="inlineStr">
        <is>
          <t>SCFG</t>
        </is>
      </c>
      <c r="D497" s="23" t="inlineStr">
        <is>
          <t>-</t>
        </is>
      </c>
      <c r="E497" s="23" t="n">
        <v>15</v>
      </c>
      <c r="F497" s="23" t="inlineStr">
        <is>
          <t>Single</t>
        </is>
      </c>
      <c r="G497" s="23" t="inlineStr">
        <is>
          <t>KWIK 10 SCFG</t>
        </is>
      </c>
      <c r="H497" s="23" t="inlineStr">
        <is>
          <t>447 X 447</t>
        </is>
      </c>
      <c r="I497" s="23" t="inlineStr">
        <is>
          <t>18.5 X 18.5</t>
        </is>
      </c>
      <c r="J497" s="23" t="n">
        <v>1</v>
      </c>
      <c r="K497" s="115" t="n">
        <v>100</v>
      </c>
      <c r="L497" s="25">
        <f>K497/J497</f>
        <v/>
      </c>
      <c r="M497" s="26" t="n">
        <v>0.3381642512077295</v>
      </c>
      <c r="N497" s="25">
        <f>LEFT(I497,FIND("X",I497)-1)*RIGHT(I497,LEN(I497)-FIND("X",I497)-1)*M497</f>
        <v/>
      </c>
      <c r="O497" s="27">
        <f>(N497*L497)/1000</f>
        <v/>
      </c>
    </row>
    <row r="498" ht="15" customHeight="1">
      <c r="A498" s="149" t="n">
        <v>13</v>
      </c>
      <c r="B498" s="150" t="inlineStr">
        <is>
          <t>UP -1 / Y01</t>
        </is>
      </c>
      <c r="C498" s="138" t="inlineStr">
        <is>
          <t>LVP</t>
        </is>
      </c>
      <c r="D498" s="29" t="inlineStr">
        <is>
          <t>Top</t>
        </is>
      </c>
      <c r="E498" s="29" t="n">
        <v>80</v>
      </c>
      <c r="F498" s="29" t="inlineStr">
        <is>
          <t>Passing</t>
        </is>
      </c>
      <c r="G498" s="29" t="inlineStr">
        <is>
          <t>PRC UP 1 LVP</t>
        </is>
      </c>
      <c r="H498" s="29" t="inlineStr">
        <is>
          <t>34 X 34</t>
        </is>
      </c>
      <c r="I498" s="29" t="inlineStr">
        <is>
          <t>20.5 X 23.5</t>
        </is>
      </c>
      <c r="J498" s="29" t="n">
        <v>195</v>
      </c>
      <c r="K498" s="114" t="n">
        <v>55000</v>
      </c>
      <c r="L498" s="31">
        <f>K498/J498</f>
        <v/>
      </c>
      <c r="M498" s="32" t="n">
        <v>1.494824016563147</v>
      </c>
      <c r="N498" s="31">
        <f>LEFT(I498,FIND("X",I498)-1)*RIGHT(I498,LEN(I498)-FIND("X",I498)-1)*M498</f>
        <v/>
      </c>
      <c r="O498" s="33">
        <f>(N498*L498)/1000</f>
        <v/>
      </c>
    </row>
    <row r="499" ht="15" customHeight="1">
      <c r="A499" s="133" t="n"/>
      <c r="B499" s="133" t="n"/>
      <c r="C499" s="136" t="n"/>
      <c r="D499" s="11" t="inlineStr">
        <is>
          <t>Bottom</t>
        </is>
      </c>
      <c r="E499" s="11" t="n"/>
      <c r="F499" s="11" t="n"/>
      <c r="G499" s="11" t="n"/>
      <c r="H499" s="11" t="n"/>
      <c r="I499" s="11" t="n"/>
      <c r="J499" s="11" t="n"/>
      <c r="K499" s="34" t="n"/>
      <c r="L499" s="14">
        <f>K499/J499</f>
        <v/>
      </c>
      <c r="M499" s="15" t="e">
        <v>#N/A</v>
      </c>
      <c r="N499" s="14">
        <f>LEFT(I499,FIND("X",I499)-1)*RIGHT(I499,LEN(I499)-FIND("X",I499)-1)*M499</f>
        <v/>
      </c>
      <c r="O499" s="16">
        <f>(N499*L499)/1000</f>
        <v/>
      </c>
    </row>
    <row r="500" ht="15.75" customHeight="1" thickBot="1">
      <c r="A500" s="135" t="n"/>
      <c r="B500" s="135" t="n"/>
      <c r="C500" s="22" t="inlineStr">
        <is>
          <t>SCFG</t>
        </is>
      </c>
      <c r="D500" s="23" t="inlineStr">
        <is>
          <t>-</t>
        </is>
      </c>
      <c r="E500" s="23" t="n">
        <v>15</v>
      </c>
      <c r="F500" s="23" t="inlineStr">
        <is>
          <t>Single</t>
        </is>
      </c>
      <c r="G500" s="23" t="inlineStr">
        <is>
          <t>PRC UP 1 SCFG</t>
        </is>
      </c>
      <c r="H500" s="23" t="inlineStr">
        <is>
          <t>47.6 X 47.6</t>
        </is>
      </c>
      <c r="I500" s="23" t="inlineStr">
        <is>
          <t>26.6 X 26.6</t>
        </is>
      </c>
      <c r="J500" s="23" t="n">
        <v>100</v>
      </c>
      <c r="K500" s="115" t="n">
        <v>55000</v>
      </c>
      <c r="L500" s="25">
        <f>K500/J500</f>
        <v/>
      </c>
      <c r="M500" s="26" t="n">
        <v>0.3381642512077295</v>
      </c>
      <c r="N500" s="25">
        <f>LEFT(I500,FIND("X",I500)-1)*RIGHT(I500,LEN(I500)-FIND("X",I500)-1)*M500</f>
        <v/>
      </c>
      <c r="O500" s="27">
        <f>(N500*L500)/1000</f>
        <v/>
      </c>
    </row>
    <row r="501" ht="15" customHeight="1">
      <c r="A501" s="149" t="n">
        <v>13</v>
      </c>
      <c r="B501" s="150" t="inlineStr">
        <is>
          <t>UP -2 / Y02</t>
        </is>
      </c>
      <c r="C501" s="138" t="inlineStr">
        <is>
          <t>LVP</t>
        </is>
      </c>
      <c r="D501" s="29" t="inlineStr">
        <is>
          <t>Top</t>
        </is>
      </c>
      <c r="E501" s="29" t="n">
        <v>80</v>
      </c>
      <c r="F501" s="29" t="inlineStr">
        <is>
          <t>Passing</t>
        </is>
      </c>
      <c r="G501" s="29" t="inlineStr">
        <is>
          <t>PRC UP 2 LVP</t>
        </is>
      </c>
      <c r="H501" s="29" t="inlineStr">
        <is>
          <t>41 X 41</t>
        </is>
      </c>
      <c r="I501" s="29" t="inlineStr">
        <is>
          <t>20.5 X 22.5</t>
        </is>
      </c>
      <c r="J501" s="29" t="n">
        <v>132</v>
      </c>
      <c r="K501" s="114">
        <f>1600+16000</f>
        <v/>
      </c>
      <c r="L501" s="31">
        <f>K501/J501</f>
        <v/>
      </c>
      <c r="M501" s="32" t="n">
        <v>1.494824016563147</v>
      </c>
      <c r="N501" s="31">
        <f>LEFT(I501,FIND("X",I501)-1)*RIGHT(I501,LEN(I501)-FIND("X",I501)-1)*M501</f>
        <v/>
      </c>
      <c r="O501" s="33">
        <f>(N501*L501)/1000</f>
        <v/>
      </c>
    </row>
    <row r="502" ht="15" customHeight="1">
      <c r="A502" s="133" t="n"/>
      <c r="B502" s="133" t="n"/>
      <c r="C502" s="136" t="n"/>
      <c r="D502" s="11" t="inlineStr">
        <is>
          <t>Bottom</t>
        </is>
      </c>
      <c r="E502" s="11" t="n"/>
      <c r="F502" s="11" t="n"/>
      <c r="G502" s="11" t="n"/>
      <c r="H502" s="11" t="n"/>
      <c r="I502" s="11" t="n"/>
      <c r="J502" s="11" t="n"/>
      <c r="K502" s="34" t="n"/>
      <c r="L502" s="14">
        <f>K502/J502</f>
        <v/>
      </c>
      <c r="M502" s="15" t="e">
        <v>#N/A</v>
      </c>
      <c r="N502" s="14">
        <f>LEFT(I502,FIND("X",I502)-1)*RIGHT(I502,LEN(I502)-FIND("X",I502)-1)*M502</f>
        <v/>
      </c>
      <c r="O502" s="16">
        <f>(N502*L502)/1000</f>
        <v/>
      </c>
    </row>
    <row r="503" ht="15.75" customHeight="1" thickBot="1">
      <c r="A503" s="135" t="n"/>
      <c r="B503" s="135" t="n"/>
      <c r="C503" s="22" t="inlineStr">
        <is>
          <t>SCFG</t>
        </is>
      </c>
      <c r="D503" s="23" t="inlineStr">
        <is>
          <t>-</t>
        </is>
      </c>
      <c r="E503" s="23" t="n">
        <v>15</v>
      </c>
      <c r="F503" s="23" t="inlineStr">
        <is>
          <t>Single</t>
        </is>
      </c>
      <c r="G503" s="23" t="inlineStr">
        <is>
          <t>PRC UP 2 SCFG</t>
        </is>
      </c>
      <c r="H503" s="23" t="inlineStr">
        <is>
          <t>54 X 54</t>
        </is>
      </c>
      <c r="I503" s="23" t="inlineStr">
        <is>
          <t>29 X 29</t>
        </is>
      </c>
      <c r="J503" s="23" t="n">
        <v>100</v>
      </c>
      <c r="K503" s="115" t="n">
        <v>17600</v>
      </c>
      <c r="L503" s="25">
        <f>K503/J503</f>
        <v/>
      </c>
      <c r="M503" s="26" t="n">
        <v>0.3381642512077295</v>
      </c>
      <c r="N503" s="25">
        <f>LEFT(I503,FIND("X",I503)-1)*RIGHT(I503,LEN(I503)-FIND("X",I503)-1)*M503</f>
        <v/>
      </c>
      <c r="O503" s="27">
        <f>(N503*L503)/1000</f>
        <v/>
      </c>
    </row>
    <row r="504" ht="15" customHeight="1">
      <c r="A504" s="149" t="n">
        <v>14</v>
      </c>
      <c r="B504" s="150" t="inlineStr">
        <is>
          <t>Gav Y -45</t>
        </is>
      </c>
      <c r="C504" s="138" t="inlineStr">
        <is>
          <t>LVP</t>
        </is>
      </c>
      <c r="D504" s="29" t="inlineStr">
        <is>
          <t>Top</t>
        </is>
      </c>
      <c r="E504" s="29" t="n">
        <v>60</v>
      </c>
      <c r="F504" s="29" t="inlineStr">
        <is>
          <t>Single</t>
        </is>
      </c>
      <c r="G504" s="29" t="inlineStr">
        <is>
          <t>MCX 45 LVP,
MSX 45 LVP</t>
        </is>
      </c>
      <c r="H504" s="29" t="inlineStr">
        <is>
          <t>158 X 209</t>
        </is>
      </c>
      <c r="I504" s="29" t="inlineStr">
        <is>
          <t>20 X 26</t>
        </is>
      </c>
      <c r="J504" s="29" t="n">
        <v>9</v>
      </c>
      <c r="K504" s="114" t="n">
        <v>1000</v>
      </c>
      <c r="L504" s="31">
        <f>K504/J504</f>
        <v/>
      </c>
      <c r="M504" s="32" t="n">
        <v>1.103988603988604</v>
      </c>
      <c r="N504" s="31">
        <f>LEFT(I504,FIND("X",I504)-1)*RIGHT(I504,LEN(I504)-FIND("X",I504)-1)*M504</f>
        <v/>
      </c>
      <c r="O504" s="33">
        <f>(N504*L504)/1000</f>
        <v/>
      </c>
    </row>
    <row r="505" ht="15" customHeight="1">
      <c r="A505" s="133" t="n"/>
      <c r="B505" s="133" t="n"/>
      <c r="C505" s="136" t="n"/>
      <c r="D505" s="11" t="inlineStr">
        <is>
          <t>Bottom</t>
        </is>
      </c>
      <c r="E505" s="11" t="n">
        <v>40</v>
      </c>
      <c r="F505" s="11" t="inlineStr">
        <is>
          <t>Single</t>
        </is>
      </c>
      <c r="G505" s="29" t="inlineStr">
        <is>
          <t>MCX 45 LVP,
MSX 45 LVP</t>
        </is>
      </c>
      <c r="H505" s="29" t="inlineStr">
        <is>
          <t>158 X 209</t>
        </is>
      </c>
      <c r="I505" s="29" t="inlineStr">
        <is>
          <t>20 X 26</t>
        </is>
      </c>
      <c r="J505" s="29" t="n">
        <v>9</v>
      </c>
      <c r="K505" s="34" t="n"/>
      <c r="L505" s="14">
        <f>K505/J505</f>
        <v/>
      </c>
      <c r="M505" s="15" t="n">
        <v>0.6977821913273751</v>
      </c>
      <c r="N505" s="14">
        <f>LEFT(I505,FIND("X",I505)-1)*RIGHT(I505,LEN(I505)-FIND("X",I505)-1)*M505</f>
        <v/>
      </c>
      <c r="O505" s="16">
        <f>(N505*L505)/1000</f>
        <v/>
      </c>
    </row>
    <row r="506" ht="15.75" customHeight="1" thickBot="1">
      <c r="A506" s="135" t="n"/>
      <c r="B506" s="135" t="n"/>
      <c r="C506" s="22" t="inlineStr">
        <is>
          <t>SCFG</t>
        </is>
      </c>
      <c r="D506" s="23" t="inlineStr">
        <is>
          <t>-</t>
        </is>
      </c>
      <c r="E506" s="23" t="n">
        <v>15</v>
      </c>
      <c r="F506" s="23" t="inlineStr">
        <is>
          <t>Single</t>
        </is>
      </c>
      <c r="G506" s="23" t="inlineStr">
        <is>
          <t>MSX 45 SCFG</t>
        </is>
      </c>
      <c r="H506" s="23" t="inlineStr">
        <is>
          <t>175 X 226</t>
        </is>
      </c>
      <c r="I506" s="23" t="inlineStr">
        <is>
          <t>38.5 X 48.5</t>
        </is>
      </c>
      <c r="J506" s="23" t="n">
        <v>25</v>
      </c>
      <c r="K506" s="115" t="n">
        <v>1000</v>
      </c>
      <c r="L506" s="25">
        <f>K506/J506</f>
        <v/>
      </c>
      <c r="M506" s="26" t="n">
        <v>0.3381642512077295</v>
      </c>
      <c r="N506" s="25">
        <f>LEFT(I506,FIND("X",I506)-1)*RIGHT(I506,LEN(I506)-FIND("X",I506)-1)*M506</f>
        <v/>
      </c>
      <c r="O506" s="27">
        <f>(N506*L506)/1000</f>
        <v/>
      </c>
    </row>
    <row r="507" ht="15" customHeight="1">
      <c r="A507" s="149" t="n">
        <v>15</v>
      </c>
      <c r="B507" s="150" t="inlineStr">
        <is>
          <t>T-29</t>
        </is>
      </c>
      <c r="C507" s="138" t="inlineStr">
        <is>
          <t>LVP</t>
        </is>
      </c>
      <c r="D507" s="29" t="inlineStr">
        <is>
          <t>Top</t>
        </is>
      </c>
      <c r="E507" s="29" t="n">
        <v>50</v>
      </c>
      <c r="F507" s="29" t="inlineStr">
        <is>
          <t>Passing</t>
        </is>
      </c>
      <c r="G507" s="29" t="inlineStr">
        <is>
          <t>T 29 LVP</t>
        </is>
      </c>
      <c r="H507" s="29" t="n">
        <v>22</v>
      </c>
      <c r="I507" s="29" t="inlineStr">
        <is>
          <t>15.5 X 19</t>
        </is>
      </c>
      <c r="J507" s="29" t="n">
        <v>298</v>
      </c>
      <c r="K507" s="114">
        <f>80000+8000</f>
        <v/>
      </c>
      <c r="L507" s="31">
        <f>K507/J507</f>
        <v/>
      </c>
      <c r="M507" s="32" t="n">
        <v>0.9182530795072789</v>
      </c>
      <c r="N507" s="31">
        <f>LEFT(I507,FIND("X",I507)-1)*RIGHT(I507,LEN(I507)-FIND("X",I507)-1)*M507</f>
        <v/>
      </c>
      <c r="O507" s="33">
        <f>(N507*L507)/1000</f>
        <v/>
      </c>
    </row>
    <row r="508" ht="15" customHeight="1">
      <c r="A508" s="133" t="n"/>
      <c r="B508" s="133" t="n"/>
      <c r="C508" s="136" t="n"/>
      <c r="D508" s="11" t="inlineStr">
        <is>
          <t>Bottom</t>
        </is>
      </c>
      <c r="E508" s="11" t="n"/>
      <c r="F508" s="11" t="n"/>
      <c r="G508" s="29" t="n"/>
      <c r="H508" s="29" t="n"/>
      <c r="I508" s="29" t="n"/>
      <c r="J508" s="29" t="n"/>
      <c r="K508" s="114">
        <f>80000+8000</f>
        <v/>
      </c>
      <c r="L508" s="14">
        <f>K508/J508</f>
        <v/>
      </c>
      <c r="M508" s="15" t="e">
        <v>#N/A</v>
      </c>
      <c r="N508" s="14">
        <f>LEFT(I508,FIND("X",I508)-1)*RIGHT(I508,LEN(I508)-FIND("X",I508)-1)*M508</f>
        <v/>
      </c>
      <c r="O508" s="16">
        <f>(N508*L508)/1000</f>
        <v/>
      </c>
    </row>
    <row r="509" ht="15.75" customHeight="1" thickBot="1">
      <c r="A509" s="135" t="n"/>
      <c r="B509" s="135" t="n"/>
      <c r="C509" s="22" t="inlineStr">
        <is>
          <t>SCFG</t>
        </is>
      </c>
      <c r="D509" s="23" t="inlineStr">
        <is>
          <t>-</t>
        </is>
      </c>
      <c r="E509" s="23" t="n">
        <v>15</v>
      </c>
      <c r="F509" s="23" t="inlineStr">
        <is>
          <t>Single</t>
        </is>
      </c>
      <c r="G509" s="23" t="inlineStr">
        <is>
          <t>T 29 SCFG</t>
        </is>
      </c>
      <c r="H509" s="23" t="n">
        <v>35</v>
      </c>
      <c r="I509" s="23" t="inlineStr">
        <is>
          <t>24 X 25</t>
        </is>
      </c>
      <c r="J509" s="23" t="n">
        <v>149</v>
      </c>
      <c r="K509" s="114">
        <f>80000+8000</f>
        <v/>
      </c>
      <c r="L509" s="25">
        <f>K509/J509</f>
        <v/>
      </c>
      <c r="M509" s="26" t="n">
        <v>0.3381642512077295</v>
      </c>
      <c r="N509" s="25">
        <f>LEFT(I509,FIND("X",I509)-1)*RIGHT(I509,LEN(I509)-FIND("X",I509)-1)*M509</f>
        <v/>
      </c>
      <c r="O509" s="27">
        <f>(N509*L509)/1000</f>
        <v/>
      </c>
    </row>
    <row r="510" ht="15" customHeight="1">
      <c r="A510" s="149" t="n">
        <v>16</v>
      </c>
      <c r="B510" s="150" t="inlineStr">
        <is>
          <t>T-30</t>
        </is>
      </c>
      <c r="C510" s="138" t="inlineStr">
        <is>
          <t>LVP</t>
        </is>
      </c>
      <c r="D510" s="29" t="inlineStr">
        <is>
          <t>Top</t>
        </is>
      </c>
      <c r="E510" s="29" t="n">
        <v>50</v>
      </c>
      <c r="F510" s="29" t="inlineStr">
        <is>
          <t>Passing</t>
        </is>
      </c>
      <c r="G510" s="29" t="inlineStr">
        <is>
          <t>T 30 LVP</t>
        </is>
      </c>
      <c r="H510" s="29" t="n">
        <v>31</v>
      </c>
      <c r="I510" s="29" t="inlineStr">
        <is>
          <t>16.5 X 21</t>
        </is>
      </c>
      <c r="J510" s="29" t="n">
        <v>189</v>
      </c>
      <c r="K510" s="114">
        <f>67200+6720</f>
        <v/>
      </c>
      <c r="L510" s="31">
        <f>K510/J510</f>
        <v/>
      </c>
      <c r="M510" s="32" t="n">
        <v>0.9182530795072789</v>
      </c>
      <c r="N510" s="31">
        <f>LEFT(I510,FIND("X",I510)-1)*RIGHT(I510,LEN(I510)-FIND("X",I510)-1)*M510</f>
        <v/>
      </c>
      <c r="O510" s="33">
        <f>(N510*L510)/1000</f>
        <v/>
      </c>
    </row>
    <row r="511" ht="15" customHeight="1">
      <c r="A511" s="133" t="n"/>
      <c r="B511" s="133" t="n"/>
      <c r="C511" s="136" t="n"/>
      <c r="D511" s="11" t="inlineStr">
        <is>
          <t>Bottom</t>
        </is>
      </c>
      <c r="E511" s="11" t="n"/>
      <c r="F511" s="11" t="n"/>
      <c r="G511" s="29" t="n"/>
      <c r="H511" s="29" t="n"/>
      <c r="I511" s="29" t="n"/>
      <c r="J511" s="29" t="n"/>
      <c r="K511" s="114">
        <f>67200+6720</f>
        <v/>
      </c>
      <c r="L511" s="14">
        <f>K511/J511</f>
        <v/>
      </c>
      <c r="M511" s="15" t="e">
        <v>#N/A</v>
      </c>
      <c r="N511" s="14">
        <f>LEFT(I511,FIND("X",I511)-1)*RIGHT(I511,LEN(I511)-FIND("X",I511)-1)*M511</f>
        <v/>
      </c>
      <c r="O511" s="16">
        <f>(N511*L511)/1000</f>
        <v/>
      </c>
    </row>
    <row r="512" ht="15.75" customHeight="1" thickBot="1">
      <c r="A512" s="135" t="n"/>
      <c r="B512" s="135" t="n"/>
      <c r="C512" s="22" t="inlineStr">
        <is>
          <t>SCFG</t>
        </is>
      </c>
      <c r="D512" s="23" t="inlineStr">
        <is>
          <t>-</t>
        </is>
      </c>
      <c r="E512" s="23" t="n">
        <v>15</v>
      </c>
      <c r="F512" s="23" t="inlineStr">
        <is>
          <t>Single</t>
        </is>
      </c>
      <c r="G512" s="23" t="inlineStr">
        <is>
          <t>T 30 SCFG</t>
        </is>
      </c>
      <c r="H512" s="23" t="n">
        <v>44.5</v>
      </c>
      <c r="I512" s="23" t="inlineStr">
        <is>
          <t>24 X 25</t>
        </is>
      </c>
      <c r="J512" s="23" t="n">
        <v>137</v>
      </c>
      <c r="K512" s="114">
        <f>67200+6720</f>
        <v/>
      </c>
      <c r="L512" s="25">
        <f>K512/J512</f>
        <v/>
      </c>
      <c r="M512" s="26" t="n">
        <v>0.3381642512077295</v>
      </c>
      <c r="N512" s="25">
        <f>LEFT(I512,FIND("X",I512)-1)*RIGHT(I512,LEN(I512)-FIND("X",I512)-1)*M512</f>
        <v/>
      </c>
      <c r="O512" s="27">
        <f>(N512*L512)/1000</f>
        <v/>
      </c>
    </row>
    <row r="513" ht="15" customHeight="1">
      <c r="A513" s="149" t="n">
        <v>17</v>
      </c>
      <c r="B513" s="150" t="inlineStr">
        <is>
          <t>T-31</t>
        </is>
      </c>
      <c r="C513" s="138" t="inlineStr">
        <is>
          <t>LVP</t>
        </is>
      </c>
      <c r="D513" s="29" t="inlineStr">
        <is>
          <t>Top</t>
        </is>
      </c>
      <c r="E513" s="29" t="n">
        <v>50</v>
      </c>
      <c r="F513" s="29" t="inlineStr">
        <is>
          <t>Passing</t>
        </is>
      </c>
      <c r="G513" s="29" t="inlineStr">
        <is>
          <t>PRC RMR New,
 T 31 LVP</t>
        </is>
      </c>
      <c r="H513" s="29" t="n">
        <v>44</v>
      </c>
      <c r="I513" s="29" t="inlineStr">
        <is>
          <t>16.5 X 20.5</t>
        </is>
      </c>
      <c r="J513" s="29" t="n">
        <v>96</v>
      </c>
      <c r="K513" s="114">
        <f>34560+3456</f>
        <v/>
      </c>
      <c r="L513" s="31">
        <f>K513/J513</f>
        <v/>
      </c>
      <c r="M513" s="32" t="n">
        <v>0.9182530795072789</v>
      </c>
      <c r="N513" s="31">
        <f>LEFT(I513,FIND("X",I513)-1)*RIGHT(I513,LEN(I513)-FIND("X",I513)-1)*M513</f>
        <v/>
      </c>
      <c r="O513" s="33">
        <f>(N513*L513)/1000</f>
        <v/>
      </c>
    </row>
    <row r="514" ht="15" customHeight="1">
      <c r="A514" s="133" t="n"/>
      <c r="B514" s="133" t="n"/>
      <c r="C514" s="136" t="n"/>
      <c r="D514" s="11" t="inlineStr">
        <is>
          <t>Bottom</t>
        </is>
      </c>
      <c r="E514" s="11" t="n"/>
      <c r="F514" s="11" t="n"/>
      <c r="G514" s="29" t="n"/>
      <c r="H514" s="29" t="n"/>
      <c r="I514" s="29" t="n"/>
      <c r="J514" s="29" t="n"/>
      <c r="K514" s="114">
        <f>34560+3456</f>
        <v/>
      </c>
      <c r="L514" s="14">
        <f>K514/J514</f>
        <v/>
      </c>
      <c r="M514" s="15" t="e">
        <v>#N/A</v>
      </c>
      <c r="N514" s="14">
        <f>LEFT(I514,FIND("X",I514)-1)*RIGHT(I514,LEN(I514)-FIND("X",I514)-1)*M514</f>
        <v/>
      </c>
      <c r="O514" s="16">
        <f>(N514*L514)/1000</f>
        <v/>
      </c>
    </row>
    <row r="515" ht="15.75" customHeight="1" thickBot="1">
      <c r="A515" s="135" t="n"/>
      <c r="B515" s="135" t="n"/>
      <c r="C515" s="22" t="inlineStr">
        <is>
          <t>SCFG</t>
        </is>
      </c>
      <c r="D515" s="23" t="inlineStr">
        <is>
          <t>-</t>
        </is>
      </c>
      <c r="E515" s="23" t="n">
        <v>15</v>
      </c>
      <c r="F515" s="23" t="inlineStr">
        <is>
          <t>Single</t>
        </is>
      </c>
      <c r="G515" s="23" t="n"/>
      <c r="H515" s="23" t="n">
        <v>57.2</v>
      </c>
      <c r="I515" s="23" t="inlineStr">
        <is>
          <t>24 X 25</t>
        </is>
      </c>
      <c r="J515" s="23" t="n">
        <v>86</v>
      </c>
      <c r="K515" s="114">
        <f>34560+3456</f>
        <v/>
      </c>
      <c r="L515" s="25">
        <f>K515/J515</f>
        <v/>
      </c>
      <c r="M515" s="26" t="n">
        <v>0.3381642512077295</v>
      </c>
      <c r="N515" s="25">
        <f>LEFT(I515,FIND("X",I515)-1)*RIGHT(I515,LEN(I515)-FIND("X",I515)-1)*M515</f>
        <v/>
      </c>
      <c r="O515" s="27">
        <f>(N515*L515)/1000</f>
        <v/>
      </c>
    </row>
    <row r="516" ht="15" customHeight="1">
      <c r="A516" s="149" t="n">
        <v>17</v>
      </c>
      <c r="B516" s="150" t="inlineStr">
        <is>
          <t>T-32</t>
        </is>
      </c>
      <c r="C516" s="138" t="inlineStr">
        <is>
          <t>LVP</t>
        </is>
      </c>
      <c r="D516" s="29" t="inlineStr">
        <is>
          <t>Top</t>
        </is>
      </c>
      <c r="E516" s="29" t="n">
        <v>50</v>
      </c>
      <c r="F516" s="29" t="inlineStr">
        <is>
          <t>Passing</t>
        </is>
      </c>
      <c r="G516" s="29" t="inlineStr">
        <is>
          <t>PRC CX 3 Sq FABRIC,
PRC RLR,
 T32 LVP</t>
        </is>
      </c>
      <c r="H516" s="29" t="n">
        <v>67</v>
      </c>
      <c r="I516" s="29" t="inlineStr">
        <is>
          <t>11.5 X 20.5</t>
        </is>
      </c>
      <c r="J516" s="29" t="n">
        <v>24</v>
      </c>
      <c r="K516" s="114">
        <f>3200+320</f>
        <v/>
      </c>
      <c r="L516" s="31">
        <f>K516/J516</f>
        <v/>
      </c>
      <c r="M516" s="32" t="n">
        <v>0.9182530795072789</v>
      </c>
      <c r="N516" s="31">
        <f>LEFT(I516,FIND("X",I516)-1)*RIGHT(I516,LEN(I516)-FIND("X",I516)-1)*M516</f>
        <v/>
      </c>
      <c r="O516" s="33">
        <f>(N516*L516)/1000</f>
        <v/>
      </c>
    </row>
    <row r="517" ht="15" customHeight="1">
      <c r="A517" s="133" t="n"/>
      <c r="B517" s="133" t="n"/>
      <c r="C517" s="136" t="n"/>
      <c r="D517" s="11" t="inlineStr">
        <is>
          <t>Bottom</t>
        </is>
      </c>
      <c r="E517" s="11" t="n"/>
      <c r="F517" s="11" t="n"/>
      <c r="G517" s="29" t="n"/>
      <c r="H517" s="29" t="n"/>
      <c r="I517" s="29" t="n"/>
      <c r="J517" s="29" t="n"/>
      <c r="K517" s="114">
        <f>3200+320</f>
        <v/>
      </c>
      <c r="L517" s="14">
        <f>K517/J517</f>
        <v/>
      </c>
      <c r="M517" s="15" t="e">
        <v>#N/A</v>
      </c>
      <c r="N517" s="14">
        <f>LEFT(I517,FIND("X",I517)-1)*RIGHT(I517,LEN(I517)-FIND("X",I517)-1)*M517</f>
        <v/>
      </c>
      <c r="O517" s="16">
        <f>(N517*L517)/1000</f>
        <v/>
      </c>
    </row>
    <row r="518" ht="15.75" customHeight="1" thickBot="1">
      <c r="A518" s="135" t="n"/>
      <c r="B518" s="135" t="n"/>
      <c r="C518" s="22" t="inlineStr">
        <is>
          <t>SCFG</t>
        </is>
      </c>
      <c r="D518" s="23" t="inlineStr">
        <is>
          <t>-</t>
        </is>
      </c>
      <c r="E518" s="23" t="n">
        <v>15</v>
      </c>
      <c r="F518" s="23" t="inlineStr">
        <is>
          <t>Single</t>
        </is>
      </c>
      <c r="G518" s="23" t="n"/>
      <c r="H518" s="23" t="n">
        <v>79</v>
      </c>
      <c r="I518" s="23" t="inlineStr">
        <is>
          <t>24 X 25</t>
        </is>
      </c>
      <c r="J518" s="23" t="n">
        <v>36</v>
      </c>
      <c r="K518" s="114">
        <f>3200+320</f>
        <v/>
      </c>
      <c r="L518" s="25">
        <f>K518/J518</f>
        <v/>
      </c>
      <c r="M518" s="26" t="n">
        <v>0.3381642512077295</v>
      </c>
      <c r="N518" s="25">
        <f>LEFT(I518,FIND("X",I518)-1)*RIGHT(I518,LEN(I518)-FIND("X",I518)-1)*M518</f>
        <v/>
      </c>
      <c r="O518" s="27">
        <f>(N518*L518)/1000</f>
        <v/>
      </c>
    </row>
    <row r="519" ht="15" customHeight="1">
      <c r="A519" s="149" t="n">
        <v>17</v>
      </c>
      <c r="B519" s="150" t="inlineStr">
        <is>
          <t>UP-3</t>
        </is>
      </c>
      <c r="C519" s="138" t="inlineStr">
        <is>
          <t>LVP</t>
        </is>
      </c>
      <c r="D519" s="29" t="inlineStr">
        <is>
          <t>Top</t>
        </is>
      </c>
      <c r="E519" s="29" t="n">
        <v>80</v>
      </c>
      <c r="F519" s="29" t="inlineStr">
        <is>
          <t>Passing</t>
        </is>
      </c>
      <c r="G519" s="29" t="inlineStr">
        <is>
          <t>PRC UP 3 LVP</t>
        </is>
      </c>
      <c r="H519" s="29" t="inlineStr">
        <is>
          <t>53 X 53</t>
        </is>
      </c>
      <c r="I519" s="29" t="inlineStr">
        <is>
          <t>19 X 21.5</t>
        </is>
      </c>
      <c r="J519" s="29" t="n">
        <v>72</v>
      </c>
      <c r="K519" s="114" t="n">
        <v>17500</v>
      </c>
      <c r="L519" s="31">
        <f>K519/J519</f>
        <v/>
      </c>
      <c r="M519" s="32" t="n">
        <v>1.494824016563147</v>
      </c>
      <c r="N519" s="31">
        <f>LEFT(I519,FIND("X",I519)-1)*RIGHT(I519,LEN(I519)-FIND("X",I519)-1)*M519</f>
        <v/>
      </c>
      <c r="O519" s="33">
        <f>(N519*L519)/1000</f>
        <v/>
      </c>
    </row>
    <row r="520" ht="15" customHeight="1">
      <c r="A520" s="133" t="n"/>
      <c r="B520" s="133" t="n"/>
      <c r="C520" s="136" t="n"/>
      <c r="D520" s="11" t="inlineStr">
        <is>
          <t>Bottom</t>
        </is>
      </c>
      <c r="E520" s="11" t="n"/>
      <c r="F520" s="11" t="n"/>
      <c r="G520" s="29" t="n"/>
      <c r="H520" s="29" t="n"/>
      <c r="I520" s="29" t="n"/>
      <c r="J520" s="29" t="n"/>
      <c r="K520" s="34" t="n"/>
      <c r="L520" s="14">
        <f>K520/J520</f>
        <v/>
      </c>
      <c r="M520" s="15" t="e">
        <v>#N/A</v>
      </c>
      <c r="N520" s="14">
        <f>LEFT(I520,FIND("X",I520)-1)*RIGHT(I520,LEN(I520)-FIND("X",I520)-1)*M520</f>
        <v/>
      </c>
      <c r="O520" s="16">
        <f>(N520*L520)/1000</f>
        <v/>
      </c>
    </row>
    <row r="521" ht="15.75" customHeight="1" thickBot="1">
      <c r="A521" s="135" t="n"/>
      <c r="B521" s="135" t="n"/>
      <c r="C521" s="22" t="inlineStr">
        <is>
          <t>SCFG</t>
        </is>
      </c>
      <c r="D521" s="23" t="inlineStr">
        <is>
          <t>-</t>
        </is>
      </c>
      <c r="E521" s="23" t="n">
        <v>15</v>
      </c>
      <c r="F521" s="23" t="inlineStr">
        <is>
          <t>Single</t>
        </is>
      </c>
      <c r="G521" s="29" t="inlineStr">
        <is>
          <t>PRC UP 3 SCFG</t>
        </is>
      </c>
      <c r="H521" s="23" t="inlineStr">
        <is>
          <t>66.7 X 66.7</t>
        </is>
      </c>
      <c r="I521" s="23" t="inlineStr">
        <is>
          <t>10 X 17</t>
        </is>
      </c>
      <c r="J521" s="23" t="n">
        <v>15</v>
      </c>
      <c r="K521" s="115" t="n">
        <v>17500</v>
      </c>
      <c r="L521" s="25">
        <f>K521/J521</f>
        <v/>
      </c>
      <c r="M521" s="26" t="n">
        <v>0.3381642512077295</v>
      </c>
      <c r="N521" s="25">
        <f>LEFT(I521,FIND("X",I521)-1)*RIGHT(I521,LEN(I521)-FIND("X",I521)-1)*M521</f>
        <v/>
      </c>
      <c r="O521" s="27">
        <f>(N521*L521)/1000</f>
        <v/>
      </c>
    </row>
    <row r="522" ht="15" customHeight="1">
      <c r="A522" s="149" t="n">
        <v>18</v>
      </c>
      <c r="B522" s="150" t="inlineStr">
        <is>
          <t>S-42 /
Kwik 4 MSRTC</t>
        </is>
      </c>
      <c r="C522" s="138" t="inlineStr">
        <is>
          <t>LVP</t>
        </is>
      </c>
      <c r="D522" s="29" t="inlineStr">
        <is>
          <t>Top</t>
        </is>
      </c>
      <c r="E522" s="29" t="n">
        <v>40</v>
      </c>
      <c r="F522" s="29" t="inlineStr">
        <is>
          <t>Single</t>
        </is>
      </c>
      <c r="G522" s="29" t="inlineStr">
        <is>
          <t>KWIK 4 MSRTC LVP</t>
        </is>
      </c>
      <c r="H522" s="29" t="inlineStr">
        <is>
          <t>102 X 102</t>
        </is>
      </c>
      <c r="I522" s="29" t="inlineStr">
        <is>
          <t>18 X 23</t>
        </is>
      </c>
      <c r="J522" s="29" t="n">
        <v>20</v>
      </c>
      <c r="K522" s="114" t="n">
        <v>2000</v>
      </c>
      <c r="L522" s="31">
        <f>K522/J522</f>
        <v/>
      </c>
      <c r="M522" s="32" t="n">
        <v>0.6977821913273751</v>
      </c>
      <c r="N522" s="31">
        <f>LEFT(I522,FIND("X",I522)-1)*RIGHT(I522,LEN(I522)-FIND("X",I522)-1)*M522</f>
        <v/>
      </c>
      <c r="O522" s="33">
        <f>(N522*L522)/1000</f>
        <v/>
      </c>
    </row>
    <row r="523" ht="15" customHeight="1">
      <c r="A523" s="133" t="n"/>
      <c r="B523" s="133" t="n"/>
      <c r="C523" s="136" t="n"/>
      <c r="D523" s="11" t="inlineStr">
        <is>
          <t>Bottom</t>
        </is>
      </c>
      <c r="E523" s="11" t="n">
        <v>40</v>
      </c>
      <c r="F523" s="11" t="inlineStr">
        <is>
          <t>Single</t>
        </is>
      </c>
      <c r="G523" s="29" t="inlineStr">
        <is>
          <t>KWIK 4 MSRTC LVP</t>
        </is>
      </c>
      <c r="H523" s="29" t="inlineStr">
        <is>
          <t>102 X 102</t>
        </is>
      </c>
      <c r="I523" s="29" t="inlineStr">
        <is>
          <t>18 X 23</t>
        </is>
      </c>
      <c r="J523" s="29" t="n">
        <v>20</v>
      </c>
      <c r="K523" s="114" t="n">
        <v>2000</v>
      </c>
      <c r="L523" s="14">
        <f>K523/J523</f>
        <v/>
      </c>
      <c r="M523" s="15" t="n">
        <v>0.6977821913273751</v>
      </c>
      <c r="N523" s="14">
        <f>LEFT(I523,FIND("X",I523)-1)*RIGHT(I523,LEN(I523)-FIND("X",I523)-1)*M523</f>
        <v/>
      </c>
      <c r="O523" s="16">
        <f>(N523*L523)/1000</f>
        <v/>
      </c>
    </row>
    <row r="524" ht="15.75" customHeight="1" thickBot="1">
      <c r="A524" s="135" t="n"/>
      <c r="B524" s="135" t="n"/>
      <c r="C524" s="22" t="inlineStr">
        <is>
          <t>SCFG</t>
        </is>
      </c>
      <c r="D524" s="23" t="inlineStr">
        <is>
          <t>-</t>
        </is>
      </c>
      <c r="E524" s="23" t="n">
        <v>15</v>
      </c>
      <c r="F524" s="23" t="inlineStr">
        <is>
          <t>Single</t>
        </is>
      </c>
      <c r="G524" s="23" t="inlineStr">
        <is>
          <t>KWIK 4 MSRTC SCFG</t>
        </is>
      </c>
      <c r="H524" s="23" t="inlineStr">
        <is>
          <t>124 X 124</t>
        </is>
      </c>
      <c r="I524" s="23" t="inlineStr">
        <is>
          <t>17 X 28</t>
        </is>
      </c>
      <c r="J524" s="23" t="n">
        <v>15</v>
      </c>
      <c r="K524" s="114" t="n">
        <v>2000</v>
      </c>
      <c r="L524" s="25">
        <f>K524/J524</f>
        <v/>
      </c>
      <c r="M524" s="26" t="n">
        <v>0.3381642512077295</v>
      </c>
      <c r="N524" s="25">
        <f>LEFT(I524,FIND("X",I524)-1)*RIGHT(I524,LEN(I524)-FIND("X",I524)-1)*M524</f>
        <v/>
      </c>
      <c r="O524" s="27">
        <f>(N524*L524)/1000</f>
        <v/>
      </c>
    </row>
    <row r="525" ht="15" customHeight="1">
      <c r="A525" s="149" t="n">
        <v>18</v>
      </c>
      <c r="B525" s="150" t="inlineStr">
        <is>
          <t>Kwik 5 MSRTC</t>
        </is>
      </c>
      <c r="C525" s="138" t="inlineStr">
        <is>
          <t>LVP</t>
        </is>
      </c>
      <c r="D525" s="29" t="inlineStr">
        <is>
          <t>Top</t>
        </is>
      </c>
      <c r="E525" s="29" t="n">
        <v>60</v>
      </c>
      <c r="F525" s="29" t="inlineStr">
        <is>
          <t>Single</t>
        </is>
      </c>
      <c r="G525" s="29" t="inlineStr">
        <is>
          <t>KWIK 5 MSRTC LVP</t>
        </is>
      </c>
      <c r="H525" s="29" t="inlineStr">
        <is>
          <t>155 X 155</t>
        </is>
      </c>
      <c r="I525" s="29" t="inlineStr">
        <is>
          <t xml:space="preserve">20 X 20 </t>
        </is>
      </c>
      <c r="J525" s="29" t="n">
        <v>9</v>
      </c>
      <c r="K525" s="114" t="n">
        <v>160</v>
      </c>
      <c r="L525" s="31">
        <f>K525/J525</f>
        <v/>
      </c>
      <c r="M525" s="32" t="n">
        <v>1.103988603988604</v>
      </c>
      <c r="N525" s="31">
        <f>LEFT(I525,FIND("X",I525)-1)*RIGHT(I525,LEN(I525)-FIND("X",I525)-1)*M525</f>
        <v/>
      </c>
      <c r="O525" s="33">
        <f>(N525*L525)/1000</f>
        <v/>
      </c>
    </row>
    <row r="526" ht="15" customHeight="1">
      <c r="A526" s="133" t="n"/>
      <c r="B526" s="133" t="n"/>
      <c r="C526" s="136" t="n"/>
      <c r="D526" s="11" t="inlineStr">
        <is>
          <t>Bottom</t>
        </is>
      </c>
      <c r="E526" s="11" t="n">
        <v>40</v>
      </c>
      <c r="F526" s="11" t="inlineStr">
        <is>
          <t>Single</t>
        </is>
      </c>
      <c r="G526" s="29" t="inlineStr">
        <is>
          <t>KWIK 5 MSRTC LVP</t>
        </is>
      </c>
      <c r="H526" s="29" t="inlineStr">
        <is>
          <t>155 X 155</t>
        </is>
      </c>
      <c r="I526" s="29" t="inlineStr">
        <is>
          <t xml:space="preserve">20 X 20 </t>
        </is>
      </c>
      <c r="J526" s="29" t="n">
        <v>9</v>
      </c>
      <c r="K526" s="34" t="n">
        <v>160</v>
      </c>
      <c r="L526" s="14">
        <f>K526/J526</f>
        <v/>
      </c>
      <c r="M526" s="15" t="n">
        <v>0.6977821913273751</v>
      </c>
      <c r="N526" s="14">
        <f>LEFT(I526,FIND("X",I526)-1)*RIGHT(I526,LEN(I526)-FIND("X",I526)-1)*M526</f>
        <v/>
      </c>
      <c r="O526" s="16">
        <f>(N526*L526)/1000</f>
        <v/>
      </c>
    </row>
    <row r="527" ht="15.75" customHeight="1" thickBot="1">
      <c r="A527" s="135" t="n"/>
      <c r="B527" s="135" t="n"/>
      <c r="C527" s="22" t="inlineStr">
        <is>
          <t>SCFG</t>
        </is>
      </c>
      <c r="D527" s="23" t="inlineStr">
        <is>
          <t>-</t>
        </is>
      </c>
      <c r="E527" s="23" t="n">
        <v>15</v>
      </c>
      <c r="F527" s="23" t="inlineStr">
        <is>
          <t>Single</t>
        </is>
      </c>
      <c r="G527" s="23" t="inlineStr">
        <is>
          <t>KWIK 5 MSRTC SCFG</t>
        </is>
      </c>
      <c r="H527" s="23" t="inlineStr">
        <is>
          <t>175 X 175</t>
        </is>
      </c>
      <c r="I527" s="23" t="inlineStr">
        <is>
          <t>23 X 38</t>
        </is>
      </c>
      <c r="J527" s="23" t="n">
        <v>15</v>
      </c>
      <c r="K527" s="115" t="n">
        <v>160</v>
      </c>
      <c r="L527" s="25">
        <f>K527/J527</f>
        <v/>
      </c>
      <c r="M527" s="26" t="n">
        <v>0.3381642512077295</v>
      </c>
      <c r="N527" s="25">
        <f>LEFT(I527,FIND("X",I527)-1)*RIGHT(I527,LEN(I527)-FIND("X",I527)-1)*M527</f>
        <v/>
      </c>
      <c r="O527" s="27">
        <f>(N527*L527)/1000</f>
        <v/>
      </c>
    </row>
    <row r="528" ht="15" customHeight="1">
      <c r="A528" s="149" t="n">
        <v>18</v>
      </c>
      <c r="B528" s="150" t="inlineStr">
        <is>
          <t>T1</t>
        </is>
      </c>
      <c r="C528" s="138" t="inlineStr">
        <is>
          <t>LVP</t>
        </is>
      </c>
      <c r="D528" s="29" t="inlineStr">
        <is>
          <t>Top</t>
        </is>
      </c>
      <c r="E528" s="29" t="n">
        <v>70</v>
      </c>
      <c r="F528" s="29" t="n"/>
      <c r="G528" s="29" t="inlineStr">
        <is>
          <t>R1 LVP</t>
        </is>
      </c>
      <c r="H528" s="29" t="n">
        <v>27</v>
      </c>
      <c r="I528" s="29" t="inlineStr">
        <is>
          <t>12 X 18.5</t>
        </is>
      </c>
      <c r="J528" s="29" t="n">
        <v>160</v>
      </c>
      <c r="K528" s="114" t="n">
        <v>950</v>
      </c>
      <c r="L528" s="31">
        <f>K528/J528</f>
        <v/>
      </c>
      <c r="M528" s="32" t="n">
        <v>1.269736842105263</v>
      </c>
      <c r="N528" s="31">
        <f>LEFT(I528,FIND("X",I528)-1)*RIGHT(I528,LEN(I528)-FIND("X",I528)-1)*M528</f>
        <v/>
      </c>
      <c r="O528" s="33">
        <f>(N528*L528)/1000</f>
        <v/>
      </c>
    </row>
    <row r="529" ht="15" customHeight="1">
      <c r="A529" s="133" t="n"/>
      <c r="B529" s="133" t="n"/>
      <c r="C529" s="136" t="n"/>
      <c r="D529" s="11" t="inlineStr">
        <is>
          <t>Bottom</t>
        </is>
      </c>
      <c r="E529" s="11" t="n"/>
      <c r="F529" s="11" t="n"/>
      <c r="G529" s="29" t="n"/>
      <c r="H529" s="29" t="n"/>
      <c r="I529" s="29" t="n"/>
      <c r="J529" s="29" t="n"/>
      <c r="K529" s="34" t="n"/>
      <c r="L529" s="14">
        <f>K529/J529</f>
        <v/>
      </c>
      <c r="M529" s="15" t="e">
        <v>#N/A</v>
      </c>
      <c r="N529" s="14">
        <f>LEFT(I529,FIND("X",I529)-1)*RIGHT(I529,LEN(I529)-FIND("X",I529)-1)*M529</f>
        <v/>
      </c>
      <c r="O529" s="16">
        <f>(N529*L529)/1000</f>
        <v/>
      </c>
    </row>
    <row r="530" ht="15.75" customHeight="1" thickBot="1">
      <c r="A530" s="135" t="n"/>
      <c r="B530" s="135" t="n"/>
      <c r="C530" s="22" t="inlineStr">
        <is>
          <t>SCFG</t>
        </is>
      </c>
      <c r="D530" s="23" t="inlineStr">
        <is>
          <t>-</t>
        </is>
      </c>
      <c r="E530" s="23" t="n">
        <v>15</v>
      </c>
      <c r="F530" s="23" t="n"/>
      <c r="G530" s="23" t="inlineStr">
        <is>
          <t xml:space="preserve">SCFG </t>
        </is>
      </c>
      <c r="H530" s="23" t="n">
        <v>40</v>
      </c>
      <c r="I530" s="23" t="inlineStr">
        <is>
          <t>31 X 23</t>
        </is>
      </c>
      <c r="J530" s="23" t="n">
        <v>130</v>
      </c>
      <c r="K530" s="115" t="n">
        <v>950</v>
      </c>
      <c r="L530" s="25">
        <f>K530/J530</f>
        <v/>
      </c>
      <c r="M530" s="26" t="n">
        <v>0.3381642512077295</v>
      </c>
      <c r="N530" s="25">
        <f>LEFT(I530,FIND("X",I530)-1)*RIGHT(I530,LEN(I530)-FIND("X",I530)-1)*M530</f>
        <v/>
      </c>
      <c r="O530" s="27">
        <f>(N530*L530)/1000</f>
        <v/>
      </c>
    </row>
    <row r="531" ht="15" customHeight="1">
      <c r="A531" s="149" t="n">
        <v>18</v>
      </c>
      <c r="B531" s="150" t="inlineStr">
        <is>
          <t>MP 1</t>
        </is>
      </c>
      <c r="C531" s="138" t="inlineStr">
        <is>
          <t>LVP</t>
        </is>
      </c>
      <c r="D531" s="29" t="inlineStr">
        <is>
          <t>Top</t>
        </is>
      </c>
      <c r="E531" s="29" t="n">
        <v>40</v>
      </c>
      <c r="F531" s="37" t="inlineStr">
        <is>
          <t>Passing</t>
        </is>
      </c>
      <c r="G531" s="37" t="inlineStr">
        <is>
          <t>C2 SVG</t>
        </is>
      </c>
      <c r="H531" s="37" t="n">
        <v>56</v>
      </c>
      <c r="I531" s="37" t="inlineStr">
        <is>
          <t>17.5 X 24</t>
        </is>
      </c>
      <c r="J531" s="37" t="n">
        <v>72</v>
      </c>
      <c r="K531" s="114" t="n">
        <v>8000</v>
      </c>
      <c r="L531" s="31">
        <f>K531/J531</f>
        <v/>
      </c>
      <c r="M531" s="32" t="n">
        <v>0.6977821913273751</v>
      </c>
      <c r="N531" s="31">
        <f>LEFT(I531,FIND("X",I531)-1)*RIGHT(I531,LEN(I531)-FIND("X",I531)-1)*M531</f>
        <v/>
      </c>
      <c r="O531" s="33">
        <f>(N531*L531)/1000</f>
        <v/>
      </c>
    </row>
    <row r="532" ht="15" customHeight="1">
      <c r="A532" s="133" t="n"/>
      <c r="B532" s="133" t="n"/>
      <c r="C532" s="136" t="n"/>
      <c r="D532" s="11" t="inlineStr">
        <is>
          <t>Bottom</t>
        </is>
      </c>
      <c r="E532" s="11" t="n"/>
      <c r="F532" s="29" t="n"/>
      <c r="G532" s="29" t="n"/>
      <c r="H532" s="29" t="n"/>
      <c r="I532" s="29" t="n"/>
      <c r="J532" s="29" t="n"/>
      <c r="K532" s="34" t="n"/>
      <c r="L532" s="14">
        <f>K532/J532</f>
        <v/>
      </c>
      <c r="M532" s="15" t="e">
        <v>#N/A</v>
      </c>
      <c r="N532" s="14">
        <f>LEFT(I532,FIND("X",I532)-1)*RIGHT(I532,LEN(I532)-FIND("X",I532)-1)*M532</f>
        <v/>
      </c>
      <c r="O532" s="16">
        <f>(N532*L532)/1000</f>
        <v/>
      </c>
    </row>
    <row r="533" ht="15.75" customHeight="1" thickBot="1">
      <c r="A533" s="135" t="n"/>
      <c r="B533" s="135" t="n"/>
      <c r="C533" s="22" t="inlineStr">
        <is>
          <t>SCFG</t>
        </is>
      </c>
      <c r="D533" s="23" t="inlineStr">
        <is>
          <t>-</t>
        </is>
      </c>
      <c r="E533" s="23" t="n">
        <v>15</v>
      </c>
      <c r="F533" s="23" t="n"/>
      <c r="G533" s="23" t="inlineStr">
        <is>
          <t xml:space="preserve">SCFG </t>
        </is>
      </c>
      <c r="H533" s="23" t="n">
        <v>75</v>
      </c>
      <c r="I533" s="23" t="inlineStr">
        <is>
          <t>19 X 19</t>
        </is>
      </c>
      <c r="J533" s="23" t="n">
        <v>25</v>
      </c>
      <c r="K533" s="115" t="n">
        <v>8000</v>
      </c>
      <c r="L533" s="25">
        <f>K533/J533</f>
        <v/>
      </c>
      <c r="M533" s="26" t="n">
        <v>0.3381642512077295</v>
      </c>
      <c r="N533" s="25">
        <f>LEFT(I533,FIND("X",I533)-1)*RIGHT(I533,LEN(I533)-FIND("X",I533)-1)*M533</f>
        <v/>
      </c>
      <c r="O533" s="27">
        <f>(N533*L533)/1000</f>
        <v/>
      </c>
    </row>
    <row r="534" ht="15" customHeight="1">
      <c r="A534" s="149" t="n">
        <v>18</v>
      </c>
      <c r="B534" s="150" t="inlineStr">
        <is>
          <t>MP 2</t>
        </is>
      </c>
      <c r="C534" s="138" t="inlineStr">
        <is>
          <t>LVP</t>
        </is>
      </c>
      <c r="D534" s="29" t="inlineStr">
        <is>
          <t>Top</t>
        </is>
      </c>
      <c r="E534" s="29" t="n">
        <v>40</v>
      </c>
      <c r="F534" s="29" t="inlineStr">
        <is>
          <t>Passing</t>
        </is>
      </c>
      <c r="G534" s="29" t="inlineStr">
        <is>
          <t>KWIK 2 LVP</t>
        </is>
      </c>
      <c r="H534" s="29" t="n">
        <v>70</v>
      </c>
      <c r="I534" s="29" t="inlineStr">
        <is>
          <t>23 X 23</t>
        </is>
      </c>
      <c r="J534" s="29" t="n">
        <v>49</v>
      </c>
      <c r="K534" s="114" t="n">
        <v>4000</v>
      </c>
      <c r="L534" s="31">
        <f>K534/J534</f>
        <v/>
      </c>
      <c r="M534" s="32" t="n">
        <v>0.6977821913273751</v>
      </c>
      <c r="N534" s="31">
        <f>LEFT(I534,FIND("X",I534)-1)*RIGHT(I534,LEN(I534)-FIND("X",I534)-1)*M534</f>
        <v/>
      </c>
      <c r="O534" s="33">
        <f>(N534*L534)/1000</f>
        <v/>
      </c>
    </row>
    <row r="535" ht="15" customHeight="1">
      <c r="A535" s="133" t="n"/>
      <c r="B535" s="133" t="n"/>
      <c r="C535" s="136" t="n"/>
      <c r="D535" s="11" t="inlineStr">
        <is>
          <t>Bottom</t>
        </is>
      </c>
      <c r="E535" s="11" t="n"/>
      <c r="F535" s="11" t="n"/>
      <c r="G535" s="11" t="n"/>
      <c r="H535" s="11" t="n"/>
      <c r="I535" s="11" t="n"/>
      <c r="J535" s="11" t="n"/>
      <c r="K535" s="34" t="n"/>
      <c r="L535" s="14">
        <f>K535/J535</f>
        <v/>
      </c>
      <c r="M535" s="15" t="e">
        <v>#N/A</v>
      </c>
      <c r="N535" s="14">
        <f>LEFT(I535,FIND("X",I535)-1)*RIGHT(I535,LEN(I535)-FIND("X",I535)-1)*M535</f>
        <v/>
      </c>
      <c r="O535" s="16">
        <f>(N535*L535)/1000</f>
        <v/>
      </c>
    </row>
    <row r="536" ht="15.75" customHeight="1" thickBot="1">
      <c r="A536" s="135" t="n"/>
      <c r="B536" s="135" t="n"/>
      <c r="C536" s="22" t="inlineStr">
        <is>
          <t>SCFG</t>
        </is>
      </c>
      <c r="D536" s="23" t="inlineStr">
        <is>
          <t>-</t>
        </is>
      </c>
      <c r="E536" s="23" t="n">
        <v>15</v>
      </c>
      <c r="F536" s="23" t="inlineStr">
        <is>
          <t>Single</t>
        </is>
      </c>
      <c r="G536" s="23" t="inlineStr">
        <is>
          <t>KWIK 2 SCFG</t>
        </is>
      </c>
      <c r="H536" s="23" t="n">
        <v>89</v>
      </c>
      <c r="I536" s="23" t="inlineStr">
        <is>
          <t>21.5 X 21.5</t>
        </is>
      </c>
      <c r="J536" s="23" t="n">
        <v>25</v>
      </c>
      <c r="K536" s="115" t="n">
        <v>4000</v>
      </c>
      <c r="L536" s="25">
        <f>K536/J536</f>
        <v/>
      </c>
      <c r="M536" s="26" t="n">
        <v>0.3381642512077295</v>
      </c>
      <c r="N536" s="25">
        <f>LEFT(I536,FIND("X",I536)-1)*RIGHT(I536,LEN(I536)-FIND("X",I536)-1)*M536</f>
        <v/>
      </c>
      <c r="O536" s="27">
        <f>(N536*L536)/1000</f>
        <v/>
      </c>
    </row>
    <row r="537" ht="15" customHeight="1">
      <c r="A537" s="149" t="n">
        <v>18</v>
      </c>
      <c r="B537" s="150" t="inlineStr">
        <is>
          <t>HR 10 HD</t>
        </is>
      </c>
      <c r="C537" s="138" t="inlineStr">
        <is>
          <t>LVP</t>
        </is>
      </c>
      <c r="D537" s="29" t="inlineStr">
        <is>
          <t>Top</t>
        </is>
      </c>
      <c r="E537" s="29" t="n">
        <v>60</v>
      </c>
      <c r="F537" s="29" t="inlineStr">
        <is>
          <t>Single</t>
        </is>
      </c>
      <c r="G537" s="29" t="inlineStr">
        <is>
          <t>MSX 10 HD LVP</t>
        </is>
      </c>
      <c r="H537" s="29" t="inlineStr">
        <is>
          <t>47 X 64</t>
        </is>
      </c>
      <c r="I537" s="29" t="inlineStr">
        <is>
          <t>24 X 24</t>
        </is>
      </c>
      <c r="J537" s="29" t="n">
        <v>80</v>
      </c>
      <c r="K537" s="114" t="n">
        <v>4000</v>
      </c>
      <c r="L537" s="31">
        <f>K537/J537</f>
        <v/>
      </c>
      <c r="M537" s="32" t="n">
        <v>1.103988603988604</v>
      </c>
      <c r="N537" s="31">
        <f>LEFT(I537,FIND("X",I537)-1)*RIGHT(I537,LEN(I537)-FIND("X",I537)-1)*M537</f>
        <v/>
      </c>
      <c r="O537" s="33">
        <f>(N537*L537)/1000</f>
        <v/>
      </c>
    </row>
    <row r="538" ht="15" customHeight="1">
      <c r="A538" s="133" t="n"/>
      <c r="B538" s="133" t="n"/>
      <c r="C538" s="136" t="n"/>
      <c r="D538" s="11" t="inlineStr">
        <is>
          <t>Bottom</t>
        </is>
      </c>
      <c r="E538" s="11" t="n"/>
      <c r="F538" s="11" t="n"/>
      <c r="G538" s="11" t="n"/>
      <c r="H538" s="11" t="n"/>
      <c r="I538" s="11" t="n"/>
      <c r="J538" s="11" t="n"/>
      <c r="K538" s="34" t="n">
        <v>4000</v>
      </c>
      <c r="L538" s="14">
        <f>K538/J538</f>
        <v/>
      </c>
      <c r="M538" s="15" t="e">
        <v>#N/A</v>
      </c>
      <c r="N538" s="14">
        <f>LEFT(I538,FIND("X",I538)-1)*RIGHT(I538,LEN(I538)-FIND("X",I538)-1)*M538</f>
        <v/>
      </c>
      <c r="O538" s="16">
        <f>(N538*L538)/1000</f>
        <v/>
      </c>
    </row>
    <row r="539" ht="15.75" customHeight="1" thickBot="1">
      <c r="A539" s="135" t="n"/>
      <c r="B539" s="135" t="n"/>
      <c r="C539" s="22" t="inlineStr">
        <is>
          <t>SCFG</t>
        </is>
      </c>
      <c r="D539" s="23" t="inlineStr">
        <is>
          <t>-</t>
        </is>
      </c>
      <c r="E539" s="23" t="n">
        <v>15</v>
      </c>
      <c r="F539" s="23" t="inlineStr">
        <is>
          <t>Single</t>
        </is>
      </c>
      <c r="G539" s="11" t="inlineStr">
        <is>
          <t>MSX 10 HD SCFG</t>
        </is>
      </c>
      <c r="H539" s="11" t="inlineStr">
        <is>
          <t>63 X 81</t>
        </is>
      </c>
      <c r="I539" s="23" t="inlineStr">
        <is>
          <t>16 X 20</t>
        </is>
      </c>
      <c r="J539" s="23" t="n">
        <v>25</v>
      </c>
      <c r="K539" s="115" t="n">
        <v>4000</v>
      </c>
      <c r="L539" s="25">
        <f>K539/J539</f>
        <v/>
      </c>
      <c r="M539" s="26" t="n">
        <v>0.3381642512077295</v>
      </c>
      <c r="N539" s="25">
        <f>LEFT(I539,FIND("X",I539)-1)*RIGHT(I539,LEN(I539)-FIND("X",I539)-1)*M539</f>
        <v/>
      </c>
      <c r="O539" s="27">
        <f>(N539*L539)/1000</f>
        <v/>
      </c>
    </row>
    <row r="540" ht="15" customHeight="1">
      <c r="A540" s="149" t="n">
        <v>18</v>
      </c>
      <c r="B540" s="150" t="inlineStr">
        <is>
          <t>HR 12 HD</t>
        </is>
      </c>
      <c r="C540" s="138" t="inlineStr">
        <is>
          <t>LVP</t>
        </is>
      </c>
      <c r="D540" s="29" t="inlineStr">
        <is>
          <t>Top</t>
        </is>
      </c>
      <c r="E540" s="29" t="n">
        <v>60</v>
      </c>
      <c r="F540" s="29" t="inlineStr">
        <is>
          <t>Single</t>
        </is>
      </c>
      <c r="G540" s="29" t="inlineStr">
        <is>
          <t>MSX 12 HD LVP</t>
        </is>
      </c>
      <c r="H540" s="29" t="inlineStr">
        <is>
          <t>55 X 100</t>
        </is>
      </c>
      <c r="I540" s="29" t="inlineStr">
        <is>
          <t>22 X 24</t>
        </is>
      </c>
      <c r="J540" s="29" t="n">
        <v>45</v>
      </c>
      <c r="K540" s="114" t="n">
        <v>4000</v>
      </c>
      <c r="L540" s="31">
        <f>K540/J540</f>
        <v/>
      </c>
      <c r="M540" s="32" t="n">
        <v>1.103988603988604</v>
      </c>
      <c r="N540" s="31">
        <f>LEFT(I540,FIND("X",I540)-1)*RIGHT(I540,LEN(I540)-FIND("X",I540)-1)*M540</f>
        <v/>
      </c>
      <c r="O540" s="33">
        <f>(N540*L540)/1000</f>
        <v/>
      </c>
    </row>
    <row r="541" ht="15" customHeight="1">
      <c r="A541" s="133" t="n"/>
      <c r="B541" s="133" t="n"/>
      <c r="C541" s="136" t="n"/>
      <c r="D541" s="11" t="inlineStr">
        <is>
          <t>Bottom</t>
        </is>
      </c>
      <c r="E541" s="11" t="n"/>
      <c r="F541" s="11" t="n"/>
      <c r="G541" s="11" t="n"/>
      <c r="H541" s="11" t="n"/>
      <c r="I541" s="11" t="n"/>
      <c r="J541" s="11" t="n"/>
      <c r="K541" s="34" t="n"/>
      <c r="L541" s="14">
        <f>K541/J541</f>
        <v/>
      </c>
      <c r="M541" s="15" t="e">
        <v>#N/A</v>
      </c>
      <c r="N541" s="14">
        <f>LEFT(I541,FIND("X",I541)-1)*RIGHT(I541,LEN(I541)-FIND("X",I541)-1)*M541</f>
        <v/>
      </c>
      <c r="O541" s="16">
        <f>(N541*L541)/1000</f>
        <v/>
      </c>
    </row>
    <row r="542" ht="15.75" customHeight="1" thickBot="1">
      <c r="A542" s="135" t="n"/>
      <c r="B542" s="135" t="n"/>
      <c r="C542" s="22" t="inlineStr">
        <is>
          <t>SCFG</t>
        </is>
      </c>
      <c r="D542" s="23" t="inlineStr">
        <is>
          <t>-</t>
        </is>
      </c>
      <c r="E542" s="23" t="n">
        <v>15</v>
      </c>
      <c r="F542" s="23" t="inlineStr">
        <is>
          <t>Single</t>
        </is>
      </c>
      <c r="G542" s="11" t="inlineStr">
        <is>
          <t>MSX 12 HD SCFG</t>
        </is>
      </c>
      <c r="H542" s="11" t="inlineStr">
        <is>
          <t>70 X 115</t>
        </is>
      </c>
      <c r="I542" s="23" t="inlineStr">
        <is>
          <t>18 X 21</t>
        </is>
      </c>
      <c r="J542" s="23" t="n">
        <v>20</v>
      </c>
      <c r="K542" s="115" t="n">
        <v>4000</v>
      </c>
      <c r="L542" s="25">
        <f>K542/J542</f>
        <v/>
      </c>
      <c r="M542" s="26" t="n">
        <v>0.3381642512077295</v>
      </c>
      <c r="N542" s="25">
        <f>LEFT(I542,FIND("X",I542)-1)*RIGHT(I542,LEN(I542)-FIND("X",I542)-1)*M542</f>
        <v/>
      </c>
      <c r="O542" s="27">
        <f>(N542*L542)/1000</f>
        <v/>
      </c>
    </row>
    <row r="543" ht="15" customHeight="1">
      <c r="A543" s="149" t="n">
        <v>18</v>
      </c>
      <c r="B543" s="150" t="inlineStr">
        <is>
          <t>HR 14 HD</t>
        </is>
      </c>
      <c r="C543" s="138" t="inlineStr">
        <is>
          <t>LVP</t>
        </is>
      </c>
      <c r="D543" s="29" t="inlineStr">
        <is>
          <t>Top</t>
        </is>
      </c>
      <c r="E543" s="29" t="n">
        <v>60</v>
      </c>
      <c r="F543" s="29" t="inlineStr">
        <is>
          <t>Single</t>
        </is>
      </c>
      <c r="G543" s="29" t="inlineStr">
        <is>
          <t>MSX 14 HD LVP</t>
        </is>
      </c>
      <c r="H543" s="29" t="inlineStr">
        <is>
          <t>62 X 132</t>
        </is>
      </c>
      <c r="I543" s="29" t="inlineStr">
        <is>
          <t>21 X 23</t>
        </is>
      </c>
      <c r="J543" s="29" t="n">
        <v>28</v>
      </c>
      <c r="K543" s="114" t="n"/>
      <c r="L543" s="31">
        <f>K543/J543</f>
        <v/>
      </c>
      <c r="M543" s="32" t="n">
        <v>1.103988603988604</v>
      </c>
      <c r="N543" s="31">
        <f>LEFT(I543,FIND("X",I543)-1)*RIGHT(I543,LEN(I543)-FIND("X",I543)-1)*M543</f>
        <v/>
      </c>
      <c r="O543" s="33">
        <f>(N543*L543)/1000</f>
        <v/>
      </c>
    </row>
    <row r="544" ht="15" customHeight="1">
      <c r="A544" s="133" t="n"/>
      <c r="B544" s="133" t="n"/>
      <c r="C544" s="136" t="n"/>
      <c r="D544" s="11" t="inlineStr">
        <is>
          <t>Bottom</t>
        </is>
      </c>
      <c r="E544" s="11" t="n"/>
      <c r="F544" s="11" t="n"/>
      <c r="G544" s="11" t="n"/>
      <c r="H544" s="11" t="n"/>
      <c r="I544" s="11" t="n"/>
      <c r="J544" s="11" t="n"/>
      <c r="K544" s="34" t="n"/>
      <c r="L544" s="14">
        <f>K544/J544</f>
        <v/>
      </c>
      <c r="M544" s="15" t="e">
        <v>#N/A</v>
      </c>
      <c r="N544" s="14">
        <f>LEFT(I544,FIND("X",I544)-1)*RIGHT(I544,LEN(I544)-FIND("X",I544)-1)*M544</f>
        <v/>
      </c>
      <c r="O544" s="16">
        <f>(N544*L544)/1000</f>
        <v/>
      </c>
    </row>
    <row r="545" ht="15.75" customHeight="1" thickBot="1">
      <c r="A545" s="135" t="n"/>
      <c r="B545" s="135" t="n"/>
      <c r="C545" s="22" t="inlineStr">
        <is>
          <t>SCFG</t>
        </is>
      </c>
      <c r="D545" s="23" t="inlineStr">
        <is>
          <t>-</t>
        </is>
      </c>
      <c r="E545" s="23" t="n">
        <v>15</v>
      </c>
      <c r="F545" s="23" t="inlineStr">
        <is>
          <t>Single</t>
        </is>
      </c>
      <c r="G545" s="11" t="inlineStr">
        <is>
          <t>MSX 14 HD SCFG</t>
        </is>
      </c>
      <c r="H545" s="11" t="inlineStr">
        <is>
          <t>81 X 150</t>
        </is>
      </c>
      <c r="I545" s="23" t="inlineStr">
        <is>
          <t>21 X 23</t>
        </is>
      </c>
      <c r="J545" s="23" t="n">
        <v>28</v>
      </c>
      <c r="K545" s="115" t="n"/>
      <c r="L545" s="25">
        <f>K545/J545</f>
        <v/>
      </c>
      <c r="M545" s="26" t="n">
        <v>0.3381642512077295</v>
      </c>
      <c r="N545" s="25">
        <f>LEFT(I545,FIND("X",I545)-1)*RIGHT(I545,LEN(I545)-FIND("X",I545)-1)*M545</f>
        <v/>
      </c>
      <c r="O545" s="27">
        <f>(N545*L545)/1000</f>
        <v/>
      </c>
    </row>
    <row r="546" ht="15" customHeight="1">
      <c r="A546" s="149" t="n">
        <v>18</v>
      </c>
      <c r="B546" s="150" t="inlineStr">
        <is>
          <t>HR 20 HD</t>
        </is>
      </c>
      <c r="C546" s="138" t="inlineStr">
        <is>
          <t>LVP</t>
        </is>
      </c>
      <c r="D546" s="29" t="inlineStr">
        <is>
          <t>Top</t>
        </is>
      </c>
      <c r="E546" s="29" t="n">
        <v>40</v>
      </c>
      <c r="F546" s="29" t="inlineStr">
        <is>
          <t>Single</t>
        </is>
      </c>
      <c r="G546" s="29" t="inlineStr">
        <is>
          <t>MSX 20 HD LVP,
R 120 LVP,
Volga 20 LVP</t>
        </is>
      </c>
      <c r="H546" s="29" t="inlineStr">
        <is>
          <t>67 X 117</t>
        </is>
      </c>
      <c r="I546" s="29" t="inlineStr">
        <is>
          <t>20.5 X 22</t>
        </is>
      </c>
      <c r="J546" s="29" t="n">
        <v>28</v>
      </c>
      <c r="K546" s="114" t="n">
        <v>2000</v>
      </c>
      <c r="L546" s="31">
        <f>K546/J546</f>
        <v/>
      </c>
      <c r="M546" s="32" t="n">
        <v>0.6977821913273751</v>
      </c>
      <c r="N546" s="31">
        <f>LEFT(I546,FIND("X",I546)-1)*RIGHT(I546,LEN(I546)-FIND("X",I546)-1)*M546</f>
        <v/>
      </c>
      <c r="O546" s="33">
        <f>(N546*L546)/1000</f>
        <v/>
      </c>
    </row>
    <row r="547" ht="15" customHeight="1">
      <c r="A547" s="133" t="n"/>
      <c r="B547" s="133" t="n"/>
      <c r="C547" s="136" t="n"/>
      <c r="D547" s="11" t="inlineStr">
        <is>
          <t>Bottom</t>
        </is>
      </c>
      <c r="E547" s="11" t="n">
        <v>40</v>
      </c>
      <c r="F547" s="29" t="inlineStr">
        <is>
          <t>Single</t>
        </is>
      </c>
      <c r="G547" s="29" t="inlineStr">
        <is>
          <t>MSX 20 HD LVP,
R 120 LVP,
Volga 20 LVP</t>
        </is>
      </c>
      <c r="H547" s="29" t="inlineStr">
        <is>
          <t>67 X 117</t>
        </is>
      </c>
      <c r="I547" s="29" t="inlineStr">
        <is>
          <t>20.5 X 22</t>
        </is>
      </c>
      <c r="J547" s="29" t="n">
        <v>28</v>
      </c>
      <c r="K547" s="34" t="n">
        <v>2000</v>
      </c>
      <c r="L547" s="14">
        <f>K547/J547</f>
        <v/>
      </c>
      <c r="M547" s="15" t="n">
        <v>0.6977821913273751</v>
      </c>
      <c r="N547" s="14">
        <f>LEFT(I547,FIND("X",I547)-1)*RIGHT(I547,LEN(I547)-FIND("X",I547)-1)*M547</f>
        <v/>
      </c>
      <c r="O547" s="16">
        <f>(N547*L547)/1000</f>
        <v/>
      </c>
    </row>
    <row r="548" ht="15.75" customHeight="1" thickBot="1">
      <c r="A548" s="135" t="n"/>
      <c r="B548" s="135" t="n"/>
      <c r="C548" s="22" t="inlineStr">
        <is>
          <t>SCFG</t>
        </is>
      </c>
      <c r="D548" s="23" t="inlineStr">
        <is>
          <t>-</t>
        </is>
      </c>
      <c r="E548" s="23" t="n">
        <v>15</v>
      </c>
      <c r="F548" s="23" t="inlineStr">
        <is>
          <t>Single</t>
        </is>
      </c>
      <c r="G548" s="11" t="inlineStr">
        <is>
          <t>MSX 20 HD SCFG,
Volga 20 SCFG</t>
        </is>
      </c>
      <c r="H548" s="11" t="inlineStr">
        <is>
          <t>85 X 135</t>
        </is>
      </c>
      <c r="I548" s="23" t="inlineStr">
        <is>
          <t>21 X 24</t>
        </is>
      </c>
      <c r="J548" s="23" t="n">
        <v>20</v>
      </c>
      <c r="K548" s="115" t="n">
        <v>2000</v>
      </c>
      <c r="L548" s="25">
        <f>K548/J548</f>
        <v/>
      </c>
      <c r="M548" s="26" t="n">
        <v>0.3381642512077295</v>
      </c>
      <c r="N548" s="25">
        <f>LEFT(I548,FIND("X",I548)-1)*RIGHT(I548,LEN(I548)-FIND("X",I548)-1)*M548</f>
        <v/>
      </c>
      <c r="O548" s="27">
        <f>(N548*L548)/1000</f>
        <v/>
      </c>
    </row>
    <row r="549" ht="15" customHeight="1">
      <c r="A549" s="149" t="n"/>
      <c r="B549" s="150" t="inlineStr">
        <is>
          <t>R 2</t>
        </is>
      </c>
      <c r="C549" s="138" t="inlineStr">
        <is>
          <t>LVP</t>
        </is>
      </c>
      <c r="D549" s="29" t="inlineStr">
        <is>
          <t>Top</t>
        </is>
      </c>
      <c r="E549" s="29" t="n">
        <v>60</v>
      </c>
      <c r="F549" s="29" t="inlineStr">
        <is>
          <t>Passing</t>
        </is>
      </c>
      <c r="G549" s="29" t="inlineStr">
        <is>
          <t>C4 Sq on fabric (off bal.), 
CKHD 1 LVP,
 kwik 1 Off Bal fabric</t>
        </is>
      </c>
      <c r="H549" s="29" t="inlineStr">
        <is>
          <t>61 X 61</t>
        </is>
      </c>
      <c r="I549" s="29" t="inlineStr">
        <is>
          <t>12 X 20</t>
        </is>
      </c>
      <c r="J549" s="29" t="n">
        <v>35</v>
      </c>
      <c r="K549" s="114" t="n">
        <v>90000</v>
      </c>
      <c r="L549" s="31">
        <f>K549/J549</f>
        <v/>
      </c>
      <c r="M549" s="32" t="n">
        <v>1.103988603988604</v>
      </c>
      <c r="N549" s="31">
        <f>LEFT(I549,FIND("X",I549)-1)*RIGHT(I549,LEN(I549)-FIND("X",I549)-1)*M549</f>
        <v/>
      </c>
      <c r="O549" s="33">
        <f>(N549*L549)/1000</f>
        <v/>
      </c>
    </row>
    <row r="550" ht="15" customHeight="1">
      <c r="A550" s="133" t="n"/>
      <c r="B550" s="133" t="n"/>
      <c r="C550" s="136" t="n"/>
      <c r="D550" s="11" t="inlineStr">
        <is>
          <t>Bottom</t>
        </is>
      </c>
      <c r="E550" s="11" t="n">
        <v>40</v>
      </c>
      <c r="F550" s="29" t="inlineStr">
        <is>
          <t>Single</t>
        </is>
      </c>
      <c r="G550" s="29" t="inlineStr">
        <is>
          <t>C4 Sq on fabric (off bal.), 
CKHD 1 LVP,
 kwik 1 Off Bal fabric</t>
        </is>
      </c>
      <c r="H550" s="29" t="inlineStr">
        <is>
          <t>61 X 61</t>
        </is>
      </c>
      <c r="I550" s="29" t="inlineStr">
        <is>
          <t>12 X 20</t>
        </is>
      </c>
      <c r="J550" s="29" t="n">
        <v>35</v>
      </c>
      <c r="K550" s="34" t="n">
        <v>90000</v>
      </c>
      <c r="L550" s="14">
        <f>K550/J550</f>
        <v/>
      </c>
      <c r="M550" s="15" t="n">
        <v>0.6977821913273751</v>
      </c>
      <c r="N550" s="14">
        <f>LEFT(I550,FIND("X",I550)-1)*RIGHT(I550,LEN(I550)-FIND("X",I550)-1)*M550</f>
        <v/>
      </c>
      <c r="O550" s="16">
        <f>(N550*L550)/1000</f>
        <v/>
      </c>
    </row>
    <row r="551" ht="15.75" customHeight="1" thickBot="1">
      <c r="A551" s="135" t="n"/>
      <c r="B551" s="135" t="n"/>
      <c r="C551" s="22" t="inlineStr">
        <is>
          <t>SCFG</t>
        </is>
      </c>
      <c r="D551" s="23" t="inlineStr">
        <is>
          <t>-</t>
        </is>
      </c>
      <c r="E551" s="23" t="n">
        <v>15</v>
      </c>
      <c r="F551" s="23" t="inlineStr">
        <is>
          <t>Single</t>
        </is>
      </c>
      <c r="G551" s="23" t="inlineStr">
        <is>
          <t>RLR</t>
        </is>
      </c>
      <c r="H551" s="23" t="inlineStr">
        <is>
          <t>79.4 X 79.4</t>
        </is>
      </c>
      <c r="I551" s="23" t="inlineStr">
        <is>
          <t>23.5 X 16</t>
        </is>
      </c>
      <c r="J551" s="23" t="n">
        <v>24</v>
      </c>
      <c r="K551" s="115" t="n">
        <v>90000</v>
      </c>
      <c r="L551" s="25">
        <f>K551/J551</f>
        <v/>
      </c>
      <c r="M551" s="26" t="n">
        <v>0.3381642512077295</v>
      </c>
      <c r="N551" s="25">
        <f>LEFT(I551,FIND("X",I551)-1)*RIGHT(I551,LEN(I551)-FIND("X",I551)-1)*M551</f>
        <v/>
      </c>
      <c r="O551" s="27">
        <f>(N551*L551)/1000</f>
        <v/>
      </c>
    </row>
    <row r="552" ht="15" customHeight="1">
      <c r="A552" s="149" t="n"/>
      <c r="B552" s="150" t="inlineStr">
        <is>
          <t>R 3</t>
        </is>
      </c>
      <c r="C552" s="138" t="inlineStr">
        <is>
          <t>LVP</t>
        </is>
      </c>
      <c r="D552" s="29" t="inlineStr">
        <is>
          <t>Top</t>
        </is>
      </c>
      <c r="E552" s="29" t="n">
        <v>60</v>
      </c>
      <c r="F552" s="29" t="inlineStr">
        <is>
          <t>Single</t>
        </is>
      </c>
      <c r="G552" s="29" t="inlineStr">
        <is>
          <t>RLR</t>
        </is>
      </c>
      <c r="H552" s="29" t="inlineStr">
        <is>
          <t>79.4 X 79.4</t>
        </is>
      </c>
      <c r="I552" s="29" t="inlineStr">
        <is>
          <t>22 X 22</t>
        </is>
      </c>
      <c r="J552" s="29" t="n">
        <v>36</v>
      </c>
      <c r="K552" s="114" t="n">
        <v>22500</v>
      </c>
      <c r="L552" s="31">
        <f>K552/J552</f>
        <v/>
      </c>
      <c r="M552" s="32" t="n">
        <v>1.103988603988604</v>
      </c>
      <c r="N552" s="31">
        <f>LEFT(I552,FIND("X",I552)-1)*RIGHT(I552,LEN(I552)-FIND("X",I552)-1)*M552</f>
        <v/>
      </c>
      <c r="O552" s="33">
        <f>(N552*L552)/1000</f>
        <v/>
      </c>
    </row>
    <row r="553" ht="15" customHeight="1">
      <c r="A553" s="133" t="n"/>
      <c r="B553" s="133" t="n"/>
      <c r="C553" s="136" t="n"/>
      <c r="D553" s="11" t="inlineStr">
        <is>
          <t>Bottom</t>
        </is>
      </c>
      <c r="E553" s="11" t="n">
        <v>60</v>
      </c>
      <c r="F553" s="29" t="inlineStr">
        <is>
          <t>Single</t>
        </is>
      </c>
      <c r="G553" s="29" t="inlineStr">
        <is>
          <t>RLR</t>
        </is>
      </c>
      <c r="H553" s="29" t="inlineStr">
        <is>
          <t>79.4 X 79.4</t>
        </is>
      </c>
      <c r="I553" s="29" t="inlineStr">
        <is>
          <t>22 X 22</t>
        </is>
      </c>
      <c r="J553" s="29" t="n">
        <v>36</v>
      </c>
      <c r="K553" s="34" t="n">
        <v>22500</v>
      </c>
      <c r="L553" s="14">
        <f>K553/J553</f>
        <v/>
      </c>
      <c r="M553" s="15" t="n">
        <v>1.103988603988604</v>
      </c>
      <c r="N553" s="14">
        <f>LEFT(I553,FIND("X",I553)-1)*RIGHT(I553,LEN(I553)-FIND("X",I553)-1)*M553</f>
        <v/>
      </c>
      <c r="O553" s="16">
        <f>(N553*L553)/1000</f>
        <v/>
      </c>
    </row>
    <row r="554" ht="15.75" customHeight="1" thickBot="1">
      <c r="A554" s="135" t="n"/>
      <c r="B554" s="135" t="n"/>
      <c r="C554" s="22" t="inlineStr">
        <is>
          <t>SCFG</t>
        </is>
      </c>
      <c r="D554" s="23" t="inlineStr">
        <is>
          <t>-</t>
        </is>
      </c>
      <c r="E554" s="23" t="n">
        <v>15</v>
      </c>
      <c r="F554" s="23" t="inlineStr">
        <is>
          <t>Single</t>
        </is>
      </c>
      <c r="G554" s="23" t="inlineStr">
        <is>
          <t>R 3</t>
        </is>
      </c>
      <c r="H554" s="23" t="inlineStr">
        <is>
          <t>100 X 100</t>
        </is>
      </c>
      <c r="I554" s="23" t="inlineStr">
        <is>
          <t>28 X 19</t>
        </is>
      </c>
      <c r="J554" s="23" t="n">
        <v>24</v>
      </c>
      <c r="K554" s="115" t="n">
        <v>22500</v>
      </c>
      <c r="L554" s="25">
        <f>K554/J554</f>
        <v/>
      </c>
      <c r="M554" s="26" t="n">
        <v>0.3381642512077295</v>
      </c>
      <c r="N554" s="25">
        <f>LEFT(I554,FIND("X",I554)-1)*RIGHT(I554,LEN(I554)-FIND("X",I554)-1)*M554</f>
        <v/>
      </c>
      <c r="O554" s="27">
        <f>(N554*L554)/1000</f>
        <v/>
      </c>
    </row>
    <row r="555" ht="15" customHeight="1">
      <c r="A555" s="149" t="n"/>
      <c r="B555" s="150" t="inlineStr">
        <is>
          <t>R 4</t>
        </is>
      </c>
      <c r="C555" s="138" t="inlineStr">
        <is>
          <t>LVP</t>
        </is>
      </c>
      <c r="D555" s="29" t="inlineStr">
        <is>
          <t>Top</t>
        </is>
      </c>
      <c r="E555" s="29" t="n">
        <v>60</v>
      </c>
      <c r="F555" s="29" t="inlineStr">
        <is>
          <t>Single</t>
        </is>
      </c>
      <c r="G555" s="29" t="inlineStr">
        <is>
          <t>Indoflex 4 LVP</t>
        </is>
      </c>
      <c r="H555" s="29" t="inlineStr">
        <is>
          <t>130 X 130</t>
        </is>
      </c>
      <c r="I555" s="29" t="inlineStr">
        <is>
          <t>23 X 23</t>
        </is>
      </c>
      <c r="J555" s="29" t="n">
        <v>16</v>
      </c>
      <c r="K555" s="114" t="n">
        <v>3000</v>
      </c>
      <c r="L555" s="31">
        <f>K555/J555</f>
        <v/>
      </c>
      <c r="M555" s="32" t="n">
        <v>1.103988603988604</v>
      </c>
      <c r="N555" s="31">
        <f>LEFT(I555,FIND("X",I555)-1)*RIGHT(I555,LEN(I555)-FIND("X",I555)-1)*M555</f>
        <v/>
      </c>
      <c r="O555" s="33">
        <f>(N555*L555)/1000</f>
        <v/>
      </c>
    </row>
    <row r="556" ht="15" customHeight="1">
      <c r="A556" s="133" t="n"/>
      <c r="B556" s="133" t="n"/>
      <c r="C556" s="136" t="n"/>
      <c r="D556" s="11" t="inlineStr">
        <is>
          <t>Bottom</t>
        </is>
      </c>
      <c r="E556" s="11" t="n">
        <v>40</v>
      </c>
      <c r="F556" s="29" t="inlineStr">
        <is>
          <t>Single</t>
        </is>
      </c>
      <c r="G556" s="29" t="inlineStr">
        <is>
          <t>Indoflex 4 LVP</t>
        </is>
      </c>
      <c r="H556" s="29" t="inlineStr">
        <is>
          <t>130 X 130</t>
        </is>
      </c>
      <c r="I556" s="29" t="inlineStr">
        <is>
          <t>23 X 23</t>
        </is>
      </c>
      <c r="J556" s="29" t="n">
        <v>16</v>
      </c>
      <c r="K556" s="34" t="n">
        <v>3000</v>
      </c>
      <c r="L556" s="14">
        <f>K556/J556</f>
        <v/>
      </c>
      <c r="M556" s="15" t="n">
        <v>0.6977821913273751</v>
      </c>
      <c r="N556" s="14">
        <f>LEFT(I556,FIND("X",I556)-1)*RIGHT(I556,LEN(I556)-FIND("X",I556)-1)*M556</f>
        <v/>
      </c>
      <c r="O556" s="16">
        <f>(N556*L556)/1000</f>
        <v/>
      </c>
    </row>
    <row r="557" ht="15.75" customHeight="1" thickBot="1">
      <c r="A557" s="135" t="n"/>
      <c r="B557" s="135" t="n"/>
      <c r="C557" s="22" t="inlineStr">
        <is>
          <t>SCFG</t>
        </is>
      </c>
      <c r="D557" s="23" t="inlineStr">
        <is>
          <t>-</t>
        </is>
      </c>
      <c r="E557" s="23" t="n">
        <v>15</v>
      </c>
      <c r="F557" s="23" t="inlineStr">
        <is>
          <t>Single</t>
        </is>
      </c>
      <c r="G557" s="23" t="inlineStr">
        <is>
          <t>Indoflex 4 SCFG</t>
        </is>
      </c>
      <c r="H557" s="23" t="inlineStr">
        <is>
          <t>150 X 150</t>
        </is>
      </c>
      <c r="I557" s="23" t="inlineStr">
        <is>
          <t>40 X 27</t>
        </is>
      </c>
      <c r="J557" s="23" t="n">
        <v>24</v>
      </c>
      <c r="K557" s="115" t="n">
        <v>3000</v>
      </c>
      <c r="L557" s="25">
        <f>K557/J557</f>
        <v/>
      </c>
      <c r="M557" s="26" t="n">
        <v>0.3381642512077295</v>
      </c>
      <c r="N557" s="25">
        <f>LEFT(I557,FIND("X",I557)-1)*RIGHT(I557,LEN(I557)-FIND("X",I557)-1)*M557</f>
        <v/>
      </c>
      <c r="O557" s="27">
        <f>(N557*L557)/1000</f>
        <v/>
      </c>
    </row>
    <row r="558" ht="15" customHeight="1">
      <c r="A558" s="149" t="n"/>
      <c r="B558" s="150" t="inlineStr">
        <is>
          <t>R 5</t>
        </is>
      </c>
      <c r="C558" s="138" t="inlineStr">
        <is>
          <t>LVP</t>
        </is>
      </c>
      <c r="D558" s="29" t="inlineStr">
        <is>
          <t>Top</t>
        </is>
      </c>
      <c r="E558" s="29" t="n">
        <v>80</v>
      </c>
      <c r="F558" s="29" t="inlineStr">
        <is>
          <t>Single</t>
        </is>
      </c>
      <c r="G558" s="29" t="inlineStr">
        <is>
          <t>KWIK 5 LVP</t>
        </is>
      </c>
      <c r="H558" s="29" t="inlineStr">
        <is>
          <t>165 X 165</t>
        </is>
      </c>
      <c r="I558" s="29" t="inlineStr">
        <is>
          <t>21 X 21</t>
        </is>
      </c>
      <c r="J558" s="29" t="n">
        <v>9</v>
      </c>
      <c r="K558" s="114" t="n">
        <v>1500</v>
      </c>
      <c r="L558" s="31">
        <f>K558/J558</f>
        <v/>
      </c>
      <c r="M558" s="32" t="n">
        <v>1.494824016563147</v>
      </c>
      <c r="N558" s="31">
        <f>LEFT(I558,FIND("X",I558)-1)*RIGHT(I558,LEN(I558)-FIND("X",I558)-1)*M558</f>
        <v/>
      </c>
      <c r="O558" s="33">
        <f>(N558*L558)/1000</f>
        <v/>
      </c>
    </row>
    <row r="559" ht="15" customHeight="1">
      <c r="A559" s="133" t="n"/>
      <c r="B559" s="133" t="n"/>
      <c r="C559" s="136" t="n"/>
      <c r="D559" s="11" t="inlineStr">
        <is>
          <t>Bottom</t>
        </is>
      </c>
      <c r="E559" s="11" t="n">
        <v>40</v>
      </c>
      <c r="F559" s="29" t="inlineStr">
        <is>
          <t>Single</t>
        </is>
      </c>
      <c r="G559" s="29" t="inlineStr">
        <is>
          <t>KWIK 5 LVP</t>
        </is>
      </c>
      <c r="H559" s="29" t="inlineStr">
        <is>
          <t>165 X 165</t>
        </is>
      </c>
      <c r="I559" s="29" t="inlineStr">
        <is>
          <t>21 X 21</t>
        </is>
      </c>
      <c r="J559" s="29" t="n">
        <v>9</v>
      </c>
      <c r="K559" s="34" t="n">
        <v>1500</v>
      </c>
      <c r="L559" s="14">
        <f>K559/J559</f>
        <v/>
      </c>
      <c r="M559" s="15" t="n">
        <v>0.6977821913273751</v>
      </c>
      <c r="N559" s="14">
        <f>LEFT(I559,FIND("X",I559)-1)*RIGHT(I559,LEN(I559)-FIND("X",I559)-1)*M559</f>
        <v/>
      </c>
      <c r="O559" s="16">
        <f>(N559*L559)/1000</f>
        <v/>
      </c>
    </row>
    <row r="560" ht="15.75" customHeight="1" thickBot="1">
      <c r="A560" s="135" t="n"/>
      <c r="B560" s="135" t="n"/>
      <c r="C560" s="22" t="inlineStr">
        <is>
          <t>SCFG</t>
        </is>
      </c>
      <c r="D560" s="23" t="inlineStr">
        <is>
          <t>-</t>
        </is>
      </c>
      <c r="E560" s="23" t="n">
        <v>15</v>
      </c>
      <c r="F560" s="23" t="inlineStr">
        <is>
          <t>Single</t>
        </is>
      </c>
      <c r="G560" s="23" t="inlineStr">
        <is>
          <t>KWIK 5 SCFG</t>
        </is>
      </c>
      <c r="H560" s="23" t="inlineStr">
        <is>
          <t>188 x 188</t>
        </is>
      </c>
      <c r="I560" s="23" t="inlineStr">
        <is>
          <t>24.5 X 24.5</t>
        </is>
      </c>
      <c r="J560" s="23" t="n">
        <v>9</v>
      </c>
      <c r="K560" s="115" t="n">
        <v>1500</v>
      </c>
      <c r="L560" s="25">
        <f>K560/J560</f>
        <v/>
      </c>
      <c r="M560" s="26" t="n">
        <v>0.3381642512077295</v>
      </c>
      <c r="N560" s="25">
        <f>LEFT(I560,FIND("X",I560)-1)*RIGHT(I560,LEN(I560)-FIND("X",I560)-1)*M560</f>
        <v/>
      </c>
      <c r="O560" s="27">
        <f>(N560*L560)/1000</f>
        <v/>
      </c>
    </row>
    <row r="561" ht="15" customHeight="1">
      <c r="A561" s="149" t="n"/>
      <c r="B561" s="150" t="inlineStr">
        <is>
          <t>R 120</t>
        </is>
      </c>
      <c r="C561" s="138" t="inlineStr">
        <is>
          <t>LVP</t>
        </is>
      </c>
      <c r="D561" s="29" t="inlineStr">
        <is>
          <t>Top</t>
        </is>
      </c>
      <c r="E561" s="29" t="n">
        <v>60</v>
      </c>
      <c r="F561" s="29" t="inlineStr">
        <is>
          <t>Single</t>
        </is>
      </c>
      <c r="G561" s="29" t="inlineStr">
        <is>
          <t>MSX 20 HD LVP</t>
        </is>
      </c>
      <c r="H561" s="29" t="inlineStr">
        <is>
          <t>67 X 117</t>
        </is>
      </c>
      <c r="I561" s="29" t="inlineStr">
        <is>
          <t>20.5 X 22</t>
        </is>
      </c>
      <c r="J561" s="29" t="n">
        <v>28</v>
      </c>
      <c r="K561" s="114" t="n">
        <v>1200</v>
      </c>
      <c r="L561" s="31">
        <f>K561/J561</f>
        <v/>
      </c>
      <c r="M561" s="32" t="n">
        <v>1.103988603988604</v>
      </c>
      <c r="N561" s="31">
        <f>LEFT(I561,FIND("X",I561)-1)*RIGHT(I561,LEN(I561)-FIND("X",I561)-1)*M561</f>
        <v/>
      </c>
      <c r="O561" s="33">
        <f>(N561*L561)/1000</f>
        <v/>
      </c>
    </row>
    <row r="562" ht="15" customHeight="1">
      <c r="A562" s="133" t="n"/>
      <c r="B562" s="133" t="n"/>
      <c r="C562" s="136" t="n"/>
      <c r="D562" s="11" t="inlineStr">
        <is>
          <t>Bottom</t>
        </is>
      </c>
      <c r="E562" s="11" t="n">
        <v>40</v>
      </c>
      <c r="F562" s="29" t="inlineStr">
        <is>
          <t>Single</t>
        </is>
      </c>
      <c r="G562" s="29" t="inlineStr">
        <is>
          <t>MSX 20 HD LVP</t>
        </is>
      </c>
      <c r="H562" s="29" t="inlineStr">
        <is>
          <t>67 X 117</t>
        </is>
      </c>
      <c r="I562" s="29" t="inlineStr">
        <is>
          <t>20.5 X 22</t>
        </is>
      </c>
      <c r="J562" s="29" t="n">
        <v>28</v>
      </c>
      <c r="K562" s="34" t="n">
        <v>1200</v>
      </c>
      <c r="L562" s="14">
        <f>K562/J562</f>
        <v/>
      </c>
      <c r="M562" s="15" t="n">
        <v>0.6977821913273751</v>
      </c>
      <c r="N562" s="14">
        <f>LEFT(I562,FIND("X",I562)-1)*RIGHT(I562,LEN(I562)-FIND("X",I562)-1)*M562</f>
        <v/>
      </c>
      <c r="O562" s="16">
        <f>(N562*L562)/1000</f>
        <v/>
      </c>
    </row>
    <row r="563" ht="15.75" customHeight="1" thickBot="1">
      <c r="A563" s="135" t="n"/>
      <c r="B563" s="135" t="n"/>
      <c r="C563" s="22" t="inlineStr">
        <is>
          <t>SCFG</t>
        </is>
      </c>
      <c r="D563" s="23" t="inlineStr">
        <is>
          <t>-</t>
        </is>
      </c>
      <c r="E563" s="23" t="n">
        <v>15</v>
      </c>
      <c r="F563" s="23" t="inlineStr">
        <is>
          <t>Single</t>
        </is>
      </c>
      <c r="G563" s="23" t="inlineStr">
        <is>
          <t>MSX 20 HD SCFG</t>
        </is>
      </c>
      <c r="H563" s="23" t="inlineStr">
        <is>
          <t>85 X 135</t>
        </is>
      </c>
      <c r="I563" s="23" t="inlineStr">
        <is>
          <t>21 X 24</t>
        </is>
      </c>
      <c r="J563" s="23" t="n">
        <v>20</v>
      </c>
      <c r="K563" s="115" t="n">
        <v>100</v>
      </c>
      <c r="L563" s="25">
        <f>K563/J563</f>
        <v/>
      </c>
      <c r="M563" s="15" t="n">
        <v>0.3381642512077295</v>
      </c>
      <c r="N563" s="25">
        <f>LEFT(I563,FIND("X",I563)-1)*RIGHT(I563,LEN(I563)-FIND("X",I563)-1)*M563</f>
        <v/>
      </c>
      <c r="O563" s="154">
        <f>(N563*L563)/1000</f>
        <v/>
      </c>
    </row>
    <row r="564" ht="15" customHeight="1">
      <c r="A564" s="149" t="n"/>
      <c r="B564" s="150" t="inlineStr">
        <is>
          <t>R 122</t>
        </is>
      </c>
      <c r="C564" s="138" t="inlineStr">
        <is>
          <t>LVP</t>
        </is>
      </c>
      <c r="D564" s="29" t="inlineStr">
        <is>
          <t>Top</t>
        </is>
      </c>
      <c r="E564" s="29" t="n">
        <v>60</v>
      </c>
      <c r="F564" s="29" t="inlineStr">
        <is>
          <t>Single</t>
        </is>
      </c>
      <c r="G564" s="29" t="inlineStr">
        <is>
          <t>MSX 22 HD LVP</t>
        </is>
      </c>
      <c r="H564" s="29" t="inlineStr">
        <is>
          <t>70 X 155</t>
        </is>
      </c>
      <c r="I564" s="29" t="inlineStr">
        <is>
          <t>20 X 23</t>
        </is>
      </c>
      <c r="J564" s="29" t="n">
        <v>21</v>
      </c>
      <c r="K564" s="114" t="n">
        <v>800</v>
      </c>
      <c r="L564" s="31">
        <f>K564/J564</f>
        <v/>
      </c>
      <c r="M564" s="32" t="n">
        <v>1.103988603988604</v>
      </c>
      <c r="N564" s="31">
        <f>LEFT(I564,FIND("X",I564)-1)*RIGHT(I564,LEN(I564)-FIND("X",I564)-1)*M564</f>
        <v/>
      </c>
      <c r="O564" s="33">
        <f>(N564*L564)/1000</f>
        <v/>
      </c>
    </row>
    <row r="565" ht="15" customHeight="1">
      <c r="A565" s="133" t="n"/>
      <c r="B565" s="133" t="n"/>
      <c r="C565" s="136" t="n"/>
      <c r="D565" s="11" t="inlineStr">
        <is>
          <t>Bottom</t>
        </is>
      </c>
      <c r="E565" s="11" t="n">
        <v>40</v>
      </c>
      <c r="F565" s="29" t="inlineStr">
        <is>
          <t>Single</t>
        </is>
      </c>
      <c r="G565" s="29" t="inlineStr">
        <is>
          <t>MSX 22 HD LVP</t>
        </is>
      </c>
      <c r="H565" s="29" t="inlineStr">
        <is>
          <t>70 X 155</t>
        </is>
      </c>
      <c r="I565" s="29" t="inlineStr">
        <is>
          <t>20 X 23</t>
        </is>
      </c>
      <c r="J565" s="29" t="n">
        <v>21</v>
      </c>
      <c r="K565" s="34" t="n">
        <v>800</v>
      </c>
      <c r="L565" s="14">
        <f>K565/J565</f>
        <v/>
      </c>
      <c r="M565" s="15" t="n">
        <v>0.6977821913273751</v>
      </c>
      <c r="N565" s="14">
        <f>LEFT(I565,FIND("X",I565)-1)*RIGHT(I565,LEN(I565)-FIND("X",I565)-1)*M565</f>
        <v/>
      </c>
      <c r="O565" s="16">
        <f>(N565*L565)/1000</f>
        <v/>
      </c>
    </row>
    <row r="566" ht="15.75" customHeight="1" thickBot="1">
      <c r="A566" s="135" t="n"/>
      <c r="B566" s="135" t="n"/>
      <c r="C566" s="22" t="inlineStr">
        <is>
          <t>SCFG</t>
        </is>
      </c>
      <c r="D566" s="23" t="inlineStr">
        <is>
          <t>-</t>
        </is>
      </c>
      <c r="E566" s="23" t="n">
        <v>15</v>
      </c>
      <c r="F566" s="23" t="inlineStr">
        <is>
          <t>Single</t>
        </is>
      </c>
      <c r="G566" s="23" t="inlineStr">
        <is>
          <t>MSX 22 HD SCFG</t>
        </is>
      </c>
      <c r="H566" s="23" t="inlineStr">
        <is>
          <t>90 X 175</t>
        </is>
      </c>
      <c r="I566" s="23" t="inlineStr">
        <is>
          <t>23 X 23</t>
        </is>
      </c>
      <c r="J566" s="23" t="n">
        <v>15</v>
      </c>
      <c r="K566" s="115" t="n">
        <v>800</v>
      </c>
      <c r="L566" s="25">
        <f>K566/J566</f>
        <v/>
      </c>
      <c r="M566" s="26" t="n">
        <v>0.3381642512077295</v>
      </c>
      <c r="N566" s="25">
        <f>LEFT(I566,FIND("X",I566)-1)*RIGHT(I566,LEN(I566)-FIND("X",I566)-1)*M566</f>
        <v/>
      </c>
      <c r="O566" s="27">
        <f>(N566*L566)/1000</f>
        <v/>
      </c>
    </row>
    <row r="567" ht="15" customHeight="1">
      <c r="A567" s="149" t="n"/>
      <c r="B567" s="150" t="inlineStr">
        <is>
          <t>R 140</t>
        </is>
      </c>
      <c r="C567" s="138" t="inlineStr">
        <is>
          <t>LVP</t>
        </is>
      </c>
      <c r="D567" s="29" t="inlineStr">
        <is>
          <t>Top</t>
        </is>
      </c>
      <c r="E567" s="29" t="n">
        <v>60</v>
      </c>
      <c r="F567" s="29" t="inlineStr">
        <is>
          <t>Single</t>
        </is>
      </c>
      <c r="G567" s="29" t="inlineStr">
        <is>
          <t>MSX 40 TOP LVP</t>
        </is>
      </c>
      <c r="H567" s="29" t="inlineStr">
        <is>
          <t>76 X 168</t>
        </is>
      </c>
      <c r="I567" s="29" t="inlineStr">
        <is>
          <t>21 X 24</t>
        </is>
      </c>
      <c r="J567" s="29" t="n">
        <v>21</v>
      </c>
      <c r="K567" s="114" t="n">
        <v>10000</v>
      </c>
      <c r="L567" s="31">
        <f>K567/J567</f>
        <v/>
      </c>
      <c r="M567" s="32" t="n">
        <v>1.103988603988604</v>
      </c>
      <c r="N567" s="31">
        <f>LEFT(I567,FIND("X",I567)-1)*RIGHT(I567,LEN(I567)-FIND("X",I567)-1)*M567</f>
        <v/>
      </c>
      <c r="O567" s="33">
        <f>(N567*L567)/1000</f>
        <v/>
      </c>
    </row>
    <row r="568" ht="15" customHeight="1">
      <c r="A568" s="133" t="n"/>
      <c r="B568" s="133" t="n"/>
      <c r="C568" s="136" t="n"/>
      <c r="D568" s="11" t="inlineStr">
        <is>
          <t>Bottom</t>
        </is>
      </c>
      <c r="E568" s="11" t="n">
        <v>40</v>
      </c>
      <c r="F568" s="29" t="inlineStr">
        <is>
          <t>Single</t>
        </is>
      </c>
      <c r="G568" s="29" t="inlineStr">
        <is>
          <t>MSX 40 BOT LVP</t>
        </is>
      </c>
      <c r="H568" s="29" t="inlineStr">
        <is>
          <t>88 X 178</t>
        </is>
      </c>
      <c r="I568" s="29" t="inlineStr">
        <is>
          <t>20 X 23</t>
        </is>
      </c>
      <c r="J568" s="29" t="n">
        <v>15</v>
      </c>
      <c r="K568" s="34" t="n">
        <v>10000</v>
      </c>
      <c r="L568" s="14">
        <f>K568/J568</f>
        <v/>
      </c>
      <c r="M568" s="15" t="n">
        <v>0.6977821913273751</v>
      </c>
      <c r="N568" s="14">
        <f>LEFT(I568,FIND("X",I568)-1)*RIGHT(I568,LEN(I568)-FIND("X",I568)-1)*M568</f>
        <v/>
      </c>
      <c r="O568" s="16">
        <f>(N568*L568)/1000</f>
        <v/>
      </c>
    </row>
    <row r="569" ht="15.75" customHeight="1" thickBot="1">
      <c r="A569" s="135" t="n"/>
      <c r="B569" s="135" t="n"/>
      <c r="C569" s="22" t="inlineStr">
        <is>
          <t>SCFG</t>
        </is>
      </c>
      <c r="D569" s="23" t="inlineStr">
        <is>
          <t>-</t>
        </is>
      </c>
      <c r="E569" s="23" t="n">
        <v>15</v>
      </c>
      <c r="F569" s="23" t="inlineStr">
        <is>
          <t>Single</t>
        </is>
      </c>
      <c r="G569" s="23" t="inlineStr">
        <is>
          <t>MSX 40 SCFG</t>
        </is>
      </c>
      <c r="H569" s="23" t="inlineStr">
        <is>
          <t>110 X 198</t>
        </is>
      </c>
      <c r="I569" s="23" t="inlineStr">
        <is>
          <t>25.5 X 43</t>
        </is>
      </c>
      <c r="J569" s="23" t="n">
        <v>25</v>
      </c>
      <c r="K569" s="115" t="n">
        <v>10000</v>
      </c>
      <c r="L569" s="25">
        <f>K569/J569</f>
        <v/>
      </c>
      <c r="M569" s="26" t="n">
        <v>0.3381642512077295</v>
      </c>
      <c r="N569" s="25">
        <f>LEFT(I569,FIND("X",I569)-1)*RIGHT(I569,LEN(I569)-FIND("X",I569)-1)*M569</f>
        <v/>
      </c>
      <c r="O569" s="27">
        <f>(N569*L569)/1000</f>
        <v/>
      </c>
    </row>
    <row r="570" ht="15" customHeight="1">
      <c r="A570" s="149" t="n"/>
      <c r="B570" s="150" t="inlineStr">
        <is>
          <t>R 142</t>
        </is>
      </c>
      <c r="C570" s="138" t="inlineStr">
        <is>
          <t>LVP</t>
        </is>
      </c>
      <c r="D570" s="29" t="inlineStr">
        <is>
          <t>Top</t>
        </is>
      </c>
      <c r="E570" s="29" t="n">
        <v>60</v>
      </c>
      <c r="F570" s="29" t="inlineStr">
        <is>
          <t>Single</t>
        </is>
      </c>
      <c r="G570" s="29" t="inlineStr">
        <is>
          <t>MSX 42 TOP LVP</t>
        </is>
      </c>
      <c r="H570" s="29" t="inlineStr">
        <is>
          <t>100 X 230</t>
        </is>
      </c>
      <c r="I570" s="29" t="inlineStr">
        <is>
          <t>19 X 22</t>
        </is>
      </c>
      <c r="J570" s="29" t="n">
        <v>10</v>
      </c>
      <c r="K570" s="114" t="n">
        <v>3600</v>
      </c>
      <c r="L570" s="31">
        <f>K570/J570</f>
        <v/>
      </c>
      <c r="M570" s="32" t="n">
        <v>1.103988603988604</v>
      </c>
      <c r="N570" s="31">
        <f>LEFT(I570,FIND("X",I570)-1)*RIGHT(I570,LEN(I570)-FIND("X",I570)-1)*M570</f>
        <v/>
      </c>
      <c r="O570" s="33">
        <f>(N570*L570)/1000</f>
        <v/>
      </c>
    </row>
    <row r="571" ht="15" customHeight="1">
      <c r="A571" s="133" t="n"/>
      <c r="B571" s="133" t="n"/>
      <c r="C571" s="136" t="n"/>
      <c r="D571" s="11" t="inlineStr">
        <is>
          <t>Bottom</t>
        </is>
      </c>
      <c r="E571" s="11" t="n">
        <v>40</v>
      </c>
      <c r="F571" s="29" t="inlineStr">
        <is>
          <t>Single</t>
        </is>
      </c>
      <c r="G571" s="29" t="inlineStr">
        <is>
          <t>MSX 42 BOT LVP</t>
        </is>
      </c>
      <c r="H571" s="29" t="inlineStr">
        <is>
          <t>108 X 240</t>
        </is>
      </c>
      <c r="I571" s="29" t="inlineStr">
        <is>
          <t>20 X 24</t>
        </is>
      </c>
      <c r="J571" s="29" t="n">
        <v>10</v>
      </c>
      <c r="K571" s="34" t="n">
        <v>3600</v>
      </c>
      <c r="L571" s="14">
        <f>K571/J571</f>
        <v/>
      </c>
      <c r="M571" s="15" t="n">
        <v>0.6977821913273751</v>
      </c>
      <c r="N571" s="14">
        <f>LEFT(I571,FIND("X",I571)-1)*RIGHT(I571,LEN(I571)-FIND("X",I571)-1)*M571</f>
        <v/>
      </c>
      <c r="O571" s="16">
        <f>(N571*L571)/1000</f>
        <v/>
      </c>
    </row>
    <row r="572" ht="15.75" customHeight="1" thickBot="1">
      <c r="A572" s="135" t="n"/>
      <c r="B572" s="135" t="n"/>
      <c r="C572" s="22" t="inlineStr">
        <is>
          <t>SCFG</t>
        </is>
      </c>
      <c r="D572" s="23" t="inlineStr">
        <is>
          <t>-</t>
        </is>
      </c>
      <c r="E572" s="23" t="n">
        <v>15</v>
      </c>
      <c r="F572" s="23" t="inlineStr">
        <is>
          <t>Single</t>
        </is>
      </c>
      <c r="G572" s="23" t="inlineStr">
        <is>
          <t>MSX 42 SCFG</t>
        </is>
      </c>
      <c r="H572" s="23" t="inlineStr">
        <is>
          <t>126 X 260</t>
        </is>
      </c>
      <c r="I572" s="23" t="inlineStr">
        <is>
          <t>29 X 55</t>
        </is>
      </c>
      <c r="J572" s="23" t="n">
        <v>25</v>
      </c>
      <c r="K572" s="115" t="n">
        <v>3600</v>
      </c>
      <c r="L572" s="25">
        <f>K572/J572</f>
        <v/>
      </c>
      <c r="M572" s="26" t="n">
        <v>0.3381642512077295</v>
      </c>
      <c r="N572" s="25">
        <f>LEFT(I572,FIND("X",I572)-1)*RIGHT(I572,LEN(I572)-FIND("X",I572)-1)*M572</f>
        <v/>
      </c>
      <c r="O572" s="27">
        <f>(N572*L572)/1000</f>
        <v/>
      </c>
    </row>
    <row r="573" ht="15" customHeight="1">
      <c r="A573" s="149" t="n"/>
      <c r="B573" s="150" t="inlineStr">
        <is>
          <t>R 2</t>
        </is>
      </c>
      <c r="C573" s="138" t="inlineStr">
        <is>
          <t>LVP</t>
        </is>
      </c>
      <c r="D573" s="29" t="inlineStr">
        <is>
          <t>Top</t>
        </is>
      </c>
      <c r="E573" s="29" t="n">
        <v>60</v>
      </c>
      <c r="F573" s="29" t="inlineStr">
        <is>
          <t>Single</t>
        </is>
      </c>
      <c r="G573" s="29" t="inlineStr">
        <is>
          <t>R2 LVP</t>
        </is>
      </c>
      <c r="H573" s="29" t="n">
        <v>67</v>
      </c>
      <c r="I573" s="29" t="inlineStr">
        <is>
          <t>23.5 X 23.5</t>
        </is>
      </c>
      <c r="J573" s="29" t="n">
        <v>36</v>
      </c>
      <c r="K573" s="114" t="n">
        <v>5100</v>
      </c>
      <c r="L573" s="31">
        <f>K573/J573</f>
        <v/>
      </c>
      <c r="M573" s="32" t="n">
        <v>1.103988603988604</v>
      </c>
      <c r="N573" s="31">
        <f>LEFT(I573,FIND("X",I573)-1)*RIGHT(I573,LEN(I573)-FIND("X",I573)-1)*M573</f>
        <v/>
      </c>
      <c r="O573" s="33">
        <f>(N573*L573)/1000</f>
        <v/>
      </c>
    </row>
    <row r="574" ht="15" customHeight="1">
      <c r="A574" s="133" t="n"/>
      <c r="B574" s="133" t="n"/>
      <c r="C574" s="136" t="n"/>
      <c r="D574" s="11" t="inlineStr">
        <is>
          <t>Bottom</t>
        </is>
      </c>
      <c r="E574" s="11" t="n">
        <v>40</v>
      </c>
      <c r="F574" s="29" t="n"/>
      <c r="G574" s="29" t="n"/>
      <c r="H574" s="29" t="n"/>
      <c r="I574" s="29" t="n"/>
      <c r="J574" s="29" t="n"/>
      <c r="K574" s="34" t="n">
        <v>3600</v>
      </c>
      <c r="L574" s="14">
        <f>K574/J574</f>
        <v/>
      </c>
      <c r="M574" s="15" t="n">
        <v>0.6977821913273751</v>
      </c>
      <c r="N574" s="14">
        <f>LEFT(I574,FIND("X",I574)-1)*RIGHT(I574,LEN(I574)-FIND("X",I574)-1)*M574</f>
        <v/>
      </c>
      <c r="O574" s="16">
        <f>(N574*L574)/1000</f>
        <v/>
      </c>
    </row>
    <row r="575" ht="15.75" customHeight="1" thickBot="1">
      <c r="A575" s="135" t="n"/>
      <c r="B575" s="135" t="n"/>
      <c r="C575" s="22" t="inlineStr">
        <is>
          <t>SCFG</t>
        </is>
      </c>
      <c r="D575" s="23" t="inlineStr">
        <is>
          <t>-</t>
        </is>
      </c>
      <c r="E575" s="23" t="n">
        <v>15</v>
      </c>
      <c r="F575" s="23" t="n"/>
      <c r="G575" s="23" t="n"/>
      <c r="H575" s="23" t="n"/>
      <c r="I575" s="23" t="n"/>
      <c r="J575" s="23" t="n"/>
      <c r="K575" s="115" t="n">
        <v>3600</v>
      </c>
      <c r="L575" s="25">
        <f>K575/J575</f>
        <v/>
      </c>
      <c r="M575" s="26" t="n">
        <v>0.3381642512077295</v>
      </c>
      <c r="N575" s="25">
        <f>LEFT(I575,FIND("X",I575)-1)*RIGHT(I575,LEN(I575)-FIND("X",I575)-1)*M575</f>
        <v/>
      </c>
      <c r="O575" s="27">
        <f>(N575*L575)/1000</f>
        <v/>
      </c>
    </row>
    <row r="576" ht="15" customHeight="1">
      <c r="A576" s="149" t="n"/>
      <c r="B576" s="150" t="inlineStr">
        <is>
          <t>HK 1</t>
        </is>
      </c>
      <c r="C576" s="138" t="inlineStr">
        <is>
          <t>LVP</t>
        </is>
      </c>
      <c r="D576" s="29" t="inlineStr">
        <is>
          <t>Top</t>
        </is>
      </c>
      <c r="E576" s="29" t="n"/>
      <c r="F576" s="29" t="n"/>
      <c r="G576" s="29" t="n"/>
      <c r="H576" s="29" t="n">
        <v>21</v>
      </c>
      <c r="I576" s="29" t="inlineStr">
        <is>
          <t>10.5 X 16</t>
        </is>
      </c>
      <c r="J576" s="29" t="n">
        <v>96</v>
      </c>
      <c r="K576" s="114" t="n">
        <v>420000</v>
      </c>
      <c r="L576" s="31">
        <f>K576/J576</f>
        <v/>
      </c>
      <c r="M576" s="32" t="e">
        <v>#N/A</v>
      </c>
      <c r="N576" s="31">
        <f>LEFT(I576,FIND("X",I576)-1)*RIGHT(I576,LEN(I576)-FIND("X",I576)-1)*M576</f>
        <v/>
      </c>
      <c r="O576" s="33">
        <f>(N576*L576)/1000</f>
        <v/>
      </c>
    </row>
    <row r="577" ht="15" customHeight="1">
      <c r="A577" s="133" t="n"/>
      <c r="B577" s="133" t="n"/>
      <c r="C577" s="136" t="n"/>
      <c r="D577" s="11" t="inlineStr">
        <is>
          <t>Bottom</t>
        </is>
      </c>
      <c r="E577" s="11" t="n"/>
      <c r="F577" s="29" t="n"/>
      <c r="G577" s="29" t="n"/>
      <c r="H577" s="29" t="n"/>
      <c r="I577" s="29" t="n"/>
      <c r="J577" s="29" t="n"/>
      <c r="K577" s="34" t="n">
        <v>3600</v>
      </c>
      <c r="L577" s="14">
        <f>K577/J577</f>
        <v/>
      </c>
      <c r="M577" s="15" t="e">
        <v>#N/A</v>
      </c>
      <c r="N577" s="14">
        <f>LEFT(I577,FIND("X",I577)-1)*RIGHT(I577,LEN(I577)-FIND("X",I577)-1)*M577</f>
        <v/>
      </c>
      <c r="O577" s="16">
        <f>(N577*L577)/1000</f>
        <v/>
      </c>
    </row>
    <row r="578" ht="15.75" customHeight="1" thickBot="1">
      <c r="A578" s="135" t="n"/>
      <c r="B578" s="135" t="n"/>
      <c r="C578" s="22" t="inlineStr">
        <is>
          <t>SCFG</t>
        </is>
      </c>
      <c r="D578" s="23" t="inlineStr">
        <is>
          <t>-</t>
        </is>
      </c>
      <c r="E578" s="23" t="n"/>
      <c r="F578" s="23" t="n"/>
      <c r="G578" s="23" t="n"/>
      <c r="H578" s="23" t="n"/>
      <c r="I578" s="23" t="n"/>
      <c r="J578" s="23" t="n"/>
      <c r="K578" s="115" t="n">
        <v>3600</v>
      </c>
      <c r="L578" s="25">
        <f>K578/J578</f>
        <v/>
      </c>
      <c r="M578" s="26" t="e">
        <v>#N/A</v>
      </c>
      <c r="N578" s="25">
        <f>LEFT(I578,FIND("X",I578)-1)*RIGHT(I578,LEN(I578)-FIND("X",I578)-1)*M578</f>
        <v/>
      </c>
      <c r="O578" s="27">
        <f>(N578*L578)/1000</f>
        <v/>
      </c>
    </row>
    <row r="579" ht="15" customHeight="1">
      <c r="A579" s="159" t="inlineStr">
        <is>
          <t>Premium</t>
        </is>
      </c>
      <c r="B579" s="150" t="inlineStr">
        <is>
          <t>Tiny Round</t>
        </is>
      </c>
      <c r="C579" s="138" t="inlineStr">
        <is>
          <t>LVP</t>
        </is>
      </c>
      <c r="D579" s="29" t="inlineStr">
        <is>
          <t>Top</t>
        </is>
      </c>
      <c r="E579" s="29" t="n">
        <v>20</v>
      </c>
      <c r="F579" s="29" t="inlineStr">
        <is>
          <t>Passing</t>
        </is>
      </c>
      <c r="G579" s="29" t="inlineStr">
        <is>
          <t>Tiny Round LVP</t>
        </is>
      </c>
      <c r="H579" s="29" t="inlineStr">
        <is>
          <t>20 MM</t>
        </is>
      </c>
      <c r="I579" s="29" t="inlineStr">
        <is>
          <t>17 X 17</t>
        </is>
      </c>
      <c r="J579" s="29" t="n">
        <v>378</v>
      </c>
      <c r="K579" s="114" t="n">
        <v>2500</v>
      </c>
      <c r="L579" s="31">
        <f>K579/J579</f>
        <v/>
      </c>
      <c r="M579" s="32" t="n">
        <v>0.3697478991596639</v>
      </c>
      <c r="N579" s="31">
        <f>LEFT(I579,FIND("X",I579)-1)*RIGHT(I579,LEN(I579)-FIND("X",I579)-1)*M579</f>
        <v/>
      </c>
      <c r="O579" s="33">
        <f>(N579*L579)/1000</f>
        <v/>
      </c>
    </row>
    <row r="580" ht="15" customHeight="1">
      <c r="A580" s="133" t="n"/>
      <c r="B580" s="133" t="n"/>
      <c r="C580" s="136" t="n"/>
      <c r="D580" s="11" t="inlineStr">
        <is>
          <t>Bottom</t>
        </is>
      </c>
      <c r="E580" s="11" t="n"/>
      <c r="F580" s="29" t="n"/>
      <c r="G580" s="29" t="n"/>
      <c r="H580" s="29" t="n"/>
      <c r="I580" s="29" t="n"/>
      <c r="J580" s="29" t="n"/>
      <c r="K580" s="34" t="n"/>
      <c r="L580" s="14">
        <f>K580/J580</f>
        <v/>
      </c>
      <c r="M580" s="15" t="e">
        <v>#N/A</v>
      </c>
      <c r="N580" s="14">
        <f>LEFT(I580,FIND("X",I580)-1)*RIGHT(I580,LEN(I580)-FIND("X",I580)-1)*M580</f>
        <v/>
      </c>
      <c r="O580" s="16">
        <f>(N580*L580)/1000</f>
        <v/>
      </c>
    </row>
    <row r="581" ht="15.75" customHeight="1" thickBot="1">
      <c r="A581" s="133" t="n"/>
      <c r="B581" s="135" t="n"/>
      <c r="C581" s="22" t="inlineStr">
        <is>
          <t>SCFG</t>
        </is>
      </c>
      <c r="D581" s="23" t="inlineStr">
        <is>
          <t>-</t>
        </is>
      </c>
      <c r="E581" s="23" t="n">
        <v>15</v>
      </c>
      <c r="F581" s="23" t="inlineStr">
        <is>
          <t>Single</t>
        </is>
      </c>
      <c r="G581" s="23" t="inlineStr">
        <is>
          <t>Tiny Round SCFG</t>
        </is>
      </c>
      <c r="H581" s="23" t="inlineStr">
        <is>
          <t>28 MM</t>
        </is>
      </c>
      <c r="I581" s="23" t="inlineStr">
        <is>
          <t>24.6 X 24.6</t>
        </is>
      </c>
      <c r="J581" s="23" t="n">
        <v>169</v>
      </c>
      <c r="K581" s="115" t="n">
        <v>2500</v>
      </c>
      <c r="L581" s="25">
        <f>K581/J581</f>
        <v/>
      </c>
      <c r="M581" s="26" t="n">
        <v>0.3381642512077295</v>
      </c>
      <c r="N581" s="25">
        <f>LEFT(I581,FIND("X",I581)-1)*RIGHT(I581,LEN(I581)-FIND("X",I581)-1)*M581</f>
        <v/>
      </c>
      <c r="O581" s="27">
        <f>(N581*L581)/1000</f>
        <v/>
      </c>
    </row>
    <row r="582" ht="15" customHeight="1">
      <c r="A582" s="133" t="n"/>
      <c r="B582" s="150" t="inlineStr">
        <is>
          <t>Mini Round</t>
        </is>
      </c>
      <c r="C582" s="138" t="inlineStr">
        <is>
          <t>LVP</t>
        </is>
      </c>
      <c r="D582" s="29" t="inlineStr">
        <is>
          <t>Top</t>
        </is>
      </c>
      <c r="E582" s="29" t="n">
        <v>40</v>
      </c>
      <c r="F582" s="29" t="inlineStr">
        <is>
          <t>Passing</t>
        </is>
      </c>
      <c r="G582" s="29" t="inlineStr">
        <is>
          <t>T 29 LVP</t>
        </is>
      </c>
      <c r="H582" s="29" t="inlineStr">
        <is>
          <t>22 MM</t>
        </is>
      </c>
      <c r="I582" s="29" t="inlineStr">
        <is>
          <t>15.5 X 18.5</t>
        </is>
      </c>
      <c r="J582" s="29" t="n">
        <v>298</v>
      </c>
      <c r="K582" s="114" t="n">
        <v>2500</v>
      </c>
      <c r="L582" s="31">
        <f>K582/J582</f>
        <v/>
      </c>
      <c r="M582" s="32" t="n">
        <v>0.6977821913273751</v>
      </c>
      <c r="N582" s="31">
        <f>LEFT(I582,FIND("X",I582)-1)*RIGHT(I582,LEN(I582)-FIND("X",I582)-1)*M582</f>
        <v/>
      </c>
      <c r="O582" s="33">
        <f>(N582*L582)/1000</f>
        <v/>
      </c>
    </row>
    <row r="583" ht="15" customHeight="1">
      <c r="A583" s="133" t="n"/>
      <c r="B583" s="133" t="n"/>
      <c r="C583" s="136" t="n"/>
      <c r="D583" s="11" t="inlineStr">
        <is>
          <t>Bottom</t>
        </is>
      </c>
      <c r="E583" s="11" t="n"/>
      <c r="F583" s="29" t="n"/>
      <c r="G583" s="29" t="n"/>
      <c r="H583" s="29" t="n"/>
      <c r="I583" s="29" t="n"/>
      <c r="J583" s="29" t="n"/>
      <c r="K583" s="34" t="n"/>
      <c r="L583" s="14">
        <f>K583/J583</f>
        <v/>
      </c>
      <c r="M583" s="15" t="e">
        <v>#N/A</v>
      </c>
      <c r="N583" s="14">
        <f>LEFT(I583,FIND("X",I583)-1)*RIGHT(I583,LEN(I583)-FIND("X",I583)-1)*M583</f>
        <v/>
      </c>
      <c r="O583" s="16">
        <f>(N583*L583)/1000</f>
        <v/>
      </c>
    </row>
    <row r="584" ht="15.75" customHeight="1" thickBot="1">
      <c r="A584" s="133" t="n"/>
      <c r="B584" s="135" t="n"/>
      <c r="C584" s="22" t="inlineStr">
        <is>
          <t>SCFG</t>
        </is>
      </c>
      <c r="D584" s="23" t="inlineStr">
        <is>
          <t>-</t>
        </is>
      </c>
      <c r="E584" s="23" t="n">
        <v>15</v>
      </c>
      <c r="F584" s="23" t="inlineStr">
        <is>
          <t>Single</t>
        </is>
      </c>
      <c r="G584" s="23" t="inlineStr">
        <is>
          <t>T 29 SCFG</t>
        </is>
      </c>
      <c r="H584" s="23" t="inlineStr">
        <is>
          <t>35 MM</t>
        </is>
      </c>
      <c r="I584" s="23" t="inlineStr">
        <is>
          <t>11 X 11</t>
        </is>
      </c>
      <c r="J584" s="23" t="n">
        <v>25</v>
      </c>
      <c r="K584" s="115" t="n">
        <v>2500</v>
      </c>
      <c r="L584" s="25">
        <f>K584/J584</f>
        <v/>
      </c>
      <c r="M584" s="26" t="n">
        <v>0.3381642512077295</v>
      </c>
      <c r="N584" s="25">
        <f>LEFT(I584,FIND("X",I584)-1)*RIGHT(I584,LEN(I584)-FIND("X",I584)-1)*M584</f>
        <v/>
      </c>
      <c r="O584" s="27">
        <f>(N584*L584)/1000</f>
        <v/>
      </c>
    </row>
    <row r="585" ht="15" customHeight="1">
      <c r="A585" s="133" t="n"/>
      <c r="B585" s="150" t="inlineStr">
        <is>
          <t>Small Round</t>
        </is>
      </c>
      <c r="C585" s="138" t="inlineStr">
        <is>
          <t>LVP</t>
        </is>
      </c>
      <c r="D585" s="29" t="inlineStr">
        <is>
          <t>Top</t>
        </is>
      </c>
      <c r="E585" s="29" t="n">
        <v>50</v>
      </c>
      <c r="F585" s="29" t="inlineStr">
        <is>
          <t>Passing</t>
        </is>
      </c>
      <c r="G585" s="29" t="inlineStr">
        <is>
          <t>PRC RSR New,
T 30 LVP,
C 1 (Sq on Fabric + LVP)</t>
        </is>
      </c>
      <c r="H585" s="29" t="inlineStr">
        <is>
          <t>31 MM</t>
        </is>
      </c>
      <c r="I585" s="29" t="inlineStr">
        <is>
          <t>16.5 X 21</t>
        </is>
      </c>
      <c r="J585" s="29" t="n">
        <v>189</v>
      </c>
      <c r="K585" s="114" t="n">
        <v>1250</v>
      </c>
      <c r="L585" s="31">
        <f>K585/J585</f>
        <v/>
      </c>
      <c r="M585" s="32" t="n">
        <v>0.9182530795072789</v>
      </c>
      <c r="N585" s="31">
        <f>LEFT(I585,FIND("X",I585)-1)*RIGHT(I585,LEN(I585)-FIND("X",I585)-1)*M585</f>
        <v/>
      </c>
      <c r="O585" s="33">
        <f>(N585*L585)/1000</f>
        <v/>
      </c>
    </row>
    <row r="586" ht="15" customHeight="1">
      <c r="A586" s="133" t="n"/>
      <c r="B586" s="133" t="n"/>
      <c r="C586" s="136" t="n"/>
      <c r="D586" s="11" t="inlineStr">
        <is>
          <t>Bottom</t>
        </is>
      </c>
      <c r="E586" s="11" t="n"/>
      <c r="F586" s="29" t="n"/>
      <c r="G586" s="29" t="n"/>
      <c r="H586" s="29" t="n"/>
      <c r="I586" s="29" t="n"/>
      <c r="J586" s="29" t="n"/>
      <c r="K586" s="34" t="n"/>
      <c r="L586" s="14">
        <f>K586/J586</f>
        <v/>
      </c>
      <c r="M586" s="15" t="e">
        <v>#N/A</v>
      </c>
      <c r="N586" s="14">
        <f>LEFT(I586,FIND("X",I586)-1)*RIGHT(I586,LEN(I586)-FIND("X",I586)-1)*M586</f>
        <v/>
      </c>
      <c r="O586" s="16">
        <f>(N586*L586)/1000</f>
        <v/>
      </c>
    </row>
    <row r="587" ht="15.75" customHeight="1" thickBot="1">
      <c r="A587" s="133" t="n"/>
      <c r="B587" s="135" t="n"/>
      <c r="C587" s="22" t="inlineStr">
        <is>
          <t>SCFG</t>
        </is>
      </c>
      <c r="D587" s="23" t="inlineStr">
        <is>
          <t>-</t>
        </is>
      </c>
      <c r="E587" s="23" t="n">
        <v>15</v>
      </c>
      <c r="F587" s="23" t="inlineStr">
        <is>
          <t>Single</t>
        </is>
      </c>
      <c r="G587" s="23" t="inlineStr">
        <is>
          <t>PRC RSR New,
T 30 SCFG</t>
        </is>
      </c>
      <c r="H587" s="23" t="inlineStr">
        <is>
          <t>44.5 MM</t>
        </is>
      </c>
      <c r="I587" s="23" t="inlineStr">
        <is>
          <t>23 X 23</t>
        </is>
      </c>
      <c r="J587" s="23" t="n">
        <v>81</v>
      </c>
      <c r="K587" s="114" t="n">
        <v>1250</v>
      </c>
      <c r="L587" s="25">
        <f>K587/J587</f>
        <v/>
      </c>
      <c r="M587" s="26" t="n">
        <v>0.3381642512077295</v>
      </c>
      <c r="N587" s="25">
        <f>LEFT(I587,FIND("X",I587)-1)*RIGHT(I587,LEN(I587)-FIND("X",I587)-1)*M587</f>
        <v/>
      </c>
      <c r="O587" s="27">
        <f>(N587*L587)/1000</f>
        <v/>
      </c>
    </row>
    <row r="588" ht="15" customHeight="1">
      <c r="A588" s="133" t="n"/>
      <c r="B588" s="150" t="inlineStr">
        <is>
          <t>Medium Round</t>
        </is>
      </c>
      <c r="C588" s="138" t="inlineStr">
        <is>
          <t>LVP</t>
        </is>
      </c>
      <c r="D588" s="29" t="inlineStr">
        <is>
          <t>Top</t>
        </is>
      </c>
      <c r="E588" s="29" t="n">
        <v>50</v>
      </c>
      <c r="F588" s="29" t="inlineStr">
        <is>
          <t>Passing</t>
        </is>
      </c>
      <c r="G588" s="29" t="inlineStr">
        <is>
          <t>PRC CX 2 Sq FABRIC,
KWIK 0 Off Bal fabric,
C2 (Off Bal Fabric),
M 10 LVP,
HK 1 LVP</t>
        </is>
      </c>
      <c r="H588" s="29" t="inlineStr">
        <is>
          <t>46 MM</t>
        </is>
      </c>
      <c r="I588" s="29" t="inlineStr">
        <is>
          <t>17 X 27</t>
        </is>
      </c>
      <c r="J588" s="29" t="n">
        <v>96</v>
      </c>
      <c r="K588" s="114" t="n">
        <v>1250</v>
      </c>
      <c r="L588" s="31">
        <f>K588/J588</f>
        <v/>
      </c>
      <c r="M588" s="32" t="n">
        <v>0.9182530795072789</v>
      </c>
      <c r="N588" s="31">
        <f>LEFT(I588,FIND("X",I588)-1)*RIGHT(I588,LEN(I588)-FIND("X",I588)-1)*M588</f>
        <v/>
      </c>
      <c r="O588" s="33">
        <f>(N588*L588)/1000</f>
        <v/>
      </c>
    </row>
    <row r="589" ht="15" customHeight="1">
      <c r="A589" s="133" t="n"/>
      <c r="B589" s="133" t="n"/>
      <c r="C589" s="136" t="n"/>
      <c r="D589" s="11" t="inlineStr">
        <is>
          <t>Bottom</t>
        </is>
      </c>
      <c r="E589" s="11" t="n"/>
      <c r="F589" s="29" t="n"/>
      <c r="G589" s="29" t="n"/>
      <c r="H589" s="29" t="n"/>
      <c r="I589" s="29" t="n"/>
      <c r="J589" s="29" t="n"/>
      <c r="K589" s="34" t="n"/>
      <c r="L589" s="14">
        <f>K589/J589</f>
        <v/>
      </c>
      <c r="M589" s="15" t="e">
        <v>#N/A</v>
      </c>
      <c r="N589" s="14">
        <f>LEFT(I589,FIND("X",I589)-1)*RIGHT(I589,LEN(I589)-FIND("X",I589)-1)*M589</f>
        <v/>
      </c>
      <c r="O589" s="16">
        <f>(N589*L589)/1000</f>
        <v/>
      </c>
    </row>
    <row r="590" ht="15.75" customHeight="1" thickBot="1">
      <c r="A590" s="133" t="n"/>
      <c r="B590" s="135" t="n"/>
      <c r="C590" s="22" t="inlineStr">
        <is>
          <t>SCFG</t>
        </is>
      </c>
      <c r="D590" s="23" t="inlineStr">
        <is>
          <t>-</t>
        </is>
      </c>
      <c r="E590" s="23" t="n">
        <v>15</v>
      </c>
      <c r="F590" s="23" t="inlineStr">
        <is>
          <t>Single</t>
        </is>
      </c>
      <c r="G590" s="23" t="inlineStr">
        <is>
          <t>KWIK 0 SCFG</t>
        </is>
      </c>
      <c r="H590" s="23" t="inlineStr">
        <is>
          <t>60 MM</t>
        </is>
      </c>
      <c r="I590" s="23" t="inlineStr">
        <is>
          <t>25 X 25</t>
        </is>
      </c>
      <c r="J590" s="23" t="n">
        <v>64</v>
      </c>
      <c r="K590" s="115" t="n">
        <v>1250</v>
      </c>
      <c r="L590" s="25">
        <f>K590/J590</f>
        <v/>
      </c>
      <c r="M590" s="26" t="n">
        <v>0.3381642512077295</v>
      </c>
      <c r="N590" s="25">
        <f>LEFT(I590,FIND("X",I590)-1)*RIGHT(I590,LEN(I590)-FIND("X",I590)-1)*M590</f>
        <v/>
      </c>
      <c r="O590" s="27">
        <f>(N590*L590)/1000</f>
        <v/>
      </c>
    </row>
    <row r="591" ht="15" customHeight="1">
      <c r="A591" s="133" t="n"/>
      <c r="B591" s="150" t="inlineStr">
        <is>
          <t>Large Round</t>
        </is>
      </c>
      <c r="C591" s="138" t="inlineStr">
        <is>
          <t>LVP</t>
        </is>
      </c>
      <c r="D591" s="29" t="inlineStr">
        <is>
          <t>Top</t>
        </is>
      </c>
      <c r="E591" s="29" t="n">
        <v>50</v>
      </c>
      <c r="F591" s="29" t="inlineStr">
        <is>
          <t>Passing</t>
        </is>
      </c>
      <c r="G591" s="29" t="inlineStr">
        <is>
          <t>PRC CX 3 Sq FABRIC,
PRC RLR,
 T32 LVP</t>
        </is>
      </c>
      <c r="H591" s="29" t="inlineStr">
        <is>
          <t>67 MM</t>
        </is>
      </c>
      <c r="I591" s="29" t="inlineStr">
        <is>
          <t>11.5 X 20.5</t>
        </is>
      </c>
      <c r="J591" s="29" t="n">
        <v>24</v>
      </c>
      <c r="K591" s="114" t="n">
        <v>1250</v>
      </c>
      <c r="L591" s="31">
        <f>K591/J591</f>
        <v/>
      </c>
      <c r="M591" s="32" t="n">
        <v>0.9182530795072789</v>
      </c>
      <c r="N591" s="31">
        <f>LEFT(I591,FIND("X",I591)-1)*RIGHT(I591,LEN(I591)-FIND("X",I591)-1)*M591</f>
        <v/>
      </c>
      <c r="O591" s="33">
        <f>(N591*L591)/1000</f>
        <v/>
      </c>
    </row>
    <row r="592" ht="15" customHeight="1">
      <c r="A592" s="133" t="n"/>
      <c r="B592" s="133" t="n"/>
      <c r="C592" s="136" t="n"/>
      <c r="D592" s="11" t="inlineStr">
        <is>
          <t>Bottom</t>
        </is>
      </c>
      <c r="E592" s="11" t="n"/>
      <c r="F592" s="29" t="n"/>
      <c r="G592" s="29" t="n"/>
      <c r="H592" s="29" t="n"/>
      <c r="I592" s="29" t="n"/>
      <c r="J592" s="29" t="n"/>
      <c r="K592" s="34" t="n"/>
      <c r="L592" s="14">
        <f>K592/J592</f>
        <v/>
      </c>
      <c r="M592" s="15" t="e">
        <v>#N/A</v>
      </c>
      <c r="N592" s="14">
        <f>LEFT(I592,FIND("X",I592)-1)*RIGHT(I592,LEN(I592)-FIND("X",I592)-1)*M592</f>
        <v/>
      </c>
      <c r="O592" s="16">
        <f>(N592*L592)/1000</f>
        <v/>
      </c>
    </row>
    <row r="593" ht="15.75" customHeight="1" thickBot="1">
      <c r="A593" s="135" t="n"/>
      <c r="B593" s="135" t="n"/>
      <c r="C593" s="22" t="inlineStr">
        <is>
          <t>SCFG</t>
        </is>
      </c>
      <c r="D593" s="23" t="inlineStr">
        <is>
          <t>-</t>
        </is>
      </c>
      <c r="E593" s="23" t="n">
        <v>15</v>
      </c>
      <c r="F593" s="23" t="inlineStr">
        <is>
          <t>Single</t>
        </is>
      </c>
      <c r="G593" s="23" t="inlineStr">
        <is>
          <t>PRC RLR,
 T 32 SCFG</t>
        </is>
      </c>
      <c r="H593" s="23" t="inlineStr">
        <is>
          <t>79.4 MM</t>
        </is>
      </c>
      <c r="I593" s="23" t="inlineStr">
        <is>
          <t>23.6 X 23.6</t>
        </is>
      </c>
      <c r="J593" s="23" t="n">
        <v>36</v>
      </c>
      <c r="K593" s="114" t="n">
        <v>1250</v>
      </c>
      <c r="L593" s="25">
        <f>K593/J593</f>
        <v/>
      </c>
      <c r="M593" s="26" t="n">
        <v>0.3381642512077295</v>
      </c>
      <c r="N593" s="25">
        <f>LEFT(I593,FIND("X",I593)-1)*RIGHT(I593,LEN(I593)-FIND("X",I593)-1)*M593</f>
        <v/>
      </c>
      <c r="O593" s="27">
        <f>(N593*L593)/1000</f>
        <v/>
      </c>
    </row>
    <row r="594" ht="15" customHeight="1">
      <c r="A594" s="160" t="inlineStr">
        <is>
          <t>King Point</t>
        </is>
      </c>
      <c r="B594" s="161" t="inlineStr">
        <is>
          <t>Little Round</t>
        </is>
      </c>
      <c r="C594" s="138" t="inlineStr">
        <is>
          <t>LVP</t>
        </is>
      </c>
      <c r="D594" s="29" t="inlineStr">
        <is>
          <t>Top</t>
        </is>
      </c>
      <c r="E594" s="29" t="n">
        <v>50</v>
      </c>
      <c r="F594" s="29" t="inlineStr">
        <is>
          <t>Passing</t>
        </is>
      </c>
      <c r="G594" s="29" t="inlineStr">
        <is>
          <t>R2 LVP</t>
        </is>
      </c>
      <c r="H594" s="29" t="inlineStr">
        <is>
          <t>40 MM</t>
        </is>
      </c>
      <c r="I594" s="29" t="inlineStr">
        <is>
          <t>14 X 19.5</t>
        </is>
      </c>
      <c r="J594" s="29" t="n">
        <v>95</v>
      </c>
      <c r="K594" s="114" t="n">
        <v>31360</v>
      </c>
      <c r="L594" s="31">
        <f>K594/J594</f>
        <v/>
      </c>
      <c r="M594" s="32" t="n">
        <v>0.9182530795072789</v>
      </c>
      <c r="N594" s="31">
        <f>LEFT(I594,FIND("X",I594)-1)*RIGHT(I594,LEN(I594)-FIND("X",I594)-1)*M594</f>
        <v/>
      </c>
      <c r="O594" s="33">
        <f>(N594*L594)/1000</f>
        <v/>
      </c>
    </row>
    <row r="595" ht="15" customHeight="1">
      <c r="A595" s="162" t="n"/>
      <c r="B595" s="145" t="n"/>
      <c r="C595" s="136" t="n"/>
      <c r="D595" s="11" t="inlineStr">
        <is>
          <t>Bottom</t>
        </is>
      </c>
      <c r="E595" s="11" t="n"/>
      <c r="F595" s="29" t="n"/>
      <c r="G595" s="29" t="n"/>
      <c r="H595" s="29" t="n"/>
      <c r="I595" s="29" t="n"/>
      <c r="J595" s="29" t="n"/>
      <c r="K595" s="34" t="n"/>
      <c r="L595" s="14">
        <f>K595/J595</f>
        <v/>
      </c>
      <c r="M595" s="15" t="e">
        <v>#N/A</v>
      </c>
      <c r="N595" s="14">
        <f>LEFT(I595,FIND("X",I595)-1)*RIGHT(I595,LEN(I595)-FIND("X",I595)-1)*M595</f>
        <v/>
      </c>
      <c r="O595" s="16">
        <f>(N595*L595)/1000</f>
        <v/>
      </c>
    </row>
    <row r="596" ht="15.75" customHeight="1" thickBot="1">
      <c r="A596" s="162" t="n"/>
      <c r="B596" s="148" t="n"/>
      <c r="C596" s="22" t="inlineStr">
        <is>
          <t>SCFG</t>
        </is>
      </c>
      <c r="D596" s="23" t="inlineStr">
        <is>
          <t>-</t>
        </is>
      </c>
      <c r="E596" s="23" t="n">
        <v>15</v>
      </c>
      <c r="F596" s="23" t="inlineStr">
        <is>
          <t>Single</t>
        </is>
      </c>
      <c r="G596" s="23" t="inlineStr">
        <is>
          <t>Little Round (King point) SCFG</t>
        </is>
      </c>
      <c r="H596" s="23" t="inlineStr">
        <is>
          <t>53 MM</t>
        </is>
      </c>
      <c r="I596" s="23" t="inlineStr">
        <is>
          <t>20 X 20</t>
        </is>
      </c>
      <c r="J596" s="23" t="n">
        <v>49</v>
      </c>
      <c r="K596" s="114" t="n">
        <v>31360</v>
      </c>
      <c r="L596" s="25">
        <f>K596/J596</f>
        <v/>
      </c>
      <c r="M596" s="26" t="n">
        <v>0.3381642512077295</v>
      </c>
      <c r="N596" s="25">
        <f>LEFT(I596,FIND("X",I596)-1)*RIGHT(I596,LEN(I596)-FIND("X",I596)-1)*M596</f>
        <v/>
      </c>
      <c r="O596" s="27">
        <f>(N596*L596)/1000</f>
        <v/>
      </c>
    </row>
    <row r="597" ht="15" customHeight="1">
      <c r="A597" s="162" t="n"/>
      <c r="B597" s="161" t="inlineStr">
        <is>
          <t>Medium Round</t>
        </is>
      </c>
      <c r="C597" s="138" t="inlineStr">
        <is>
          <t>LVP</t>
        </is>
      </c>
      <c r="D597" s="29" t="inlineStr">
        <is>
          <t>Top</t>
        </is>
      </c>
      <c r="E597" s="29" t="n">
        <v>50</v>
      </c>
      <c r="F597" s="29" t="inlineStr">
        <is>
          <t>Passing</t>
        </is>
      </c>
      <c r="G597" s="29" t="inlineStr">
        <is>
          <t>PRC CX 2 Sq FABRIC,
KWIK 0 Off Bal fabric,
C2 (Off Bal Fabric),
M 10 LVP,
HK 1 LVP</t>
        </is>
      </c>
      <c r="H597" s="29" t="inlineStr">
        <is>
          <t>46 MM</t>
        </is>
      </c>
      <c r="I597" s="29" t="inlineStr">
        <is>
          <t>17 X 27</t>
        </is>
      </c>
      <c r="J597" s="29" t="n">
        <v>96</v>
      </c>
      <c r="K597" s="114" t="n">
        <v>32400</v>
      </c>
      <c r="L597" s="31">
        <f>K597/J597</f>
        <v/>
      </c>
      <c r="M597" s="32" t="n">
        <v>0.9182530795072789</v>
      </c>
      <c r="N597" s="31">
        <f>LEFT(I597,FIND("X",I597)-1)*RIGHT(I597,LEN(I597)-FIND("X",I597)-1)*M597</f>
        <v/>
      </c>
      <c r="O597" s="33">
        <f>(N597*L597)/1000</f>
        <v/>
      </c>
    </row>
    <row r="598" ht="15" customHeight="1">
      <c r="A598" s="162" t="n"/>
      <c r="B598" s="145" t="n"/>
      <c r="C598" s="136" t="n"/>
      <c r="D598" s="11" t="inlineStr">
        <is>
          <t>Bottom</t>
        </is>
      </c>
      <c r="E598" s="11" t="n"/>
      <c r="F598" s="29" t="n"/>
      <c r="G598" s="29" t="n"/>
      <c r="H598" s="29" t="n"/>
      <c r="I598" s="29" t="n"/>
      <c r="J598" s="29" t="n"/>
      <c r="K598" s="34" t="n"/>
      <c r="L598" s="14">
        <f>K598/J598</f>
        <v/>
      </c>
      <c r="M598" s="15" t="e">
        <v>#N/A</v>
      </c>
      <c r="N598" s="14">
        <f>LEFT(I598,FIND("X",I598)-1)*RIGHT(I598,LEN(I598)-FIND("X",I598)-1)*M598</f>
        <v/>
      </c>
      <c r="O598" s="16">
        <f>(N598*L598)/1000</f>
        <v/>
      </c>
    </row>
    <row r="599" ht="15.75" customHeight="1" thickBot="1">
      <c r="A599" s="162" t="n"/>
      <c r="B599" s="148" t="n"/>
      <c r="C599" s="22" t="inlineStr">
        <is>
          <t>SCFG</t>
        </is>
      </c>
      <c r="D599" s="23" t="inlineStr">
        <is>
          <t>-</t>
        </is>
      </c>
      <c r="E599" s="23" t="n">
        <v>15</v>
      </c>
      <c r="F599" s="23" t="inlineStr">
        <is>
          <t>Single</t>
        </is>
      </c>
      <c r="G599" s="23" t="inlineStr">
        <is>
          <t>KWIK 0 SCFG</t>
        </is>
      </c>
      <c r="H599" s="23" t="inlineStr">
        <is>
          <t>60 MM</t>
        </is>
      </c>
      <c r="I599" s="23" t="inlineStr">
        <is>
          <t>25 X 25</t>
        </is>
      </c>
      <c r="J599" s="23" t="n">
        <v>64</v>
      </c>
      <c r="K599" s="115" t="n">
        <v>32400</v>
      </c>
      <c r="L599" s="25">
        <f>K599/J599</f>
        <v/>
      </c>
      <c r="M599" s="26" t="n">
        <v>0.3381642512077295</v>
      </c>
      <c r="N599" s="25">
        <f>LEFT(I599,FIND("X",I599)-1)*RIGHT(I599,LEN(I599)-FIND("X",I599)-1)*M599</f>
        <v/>
      </c>
      <c r="O599" s="27">
        <f>(N599*L599)/1000</f>
        <v/>
      </c>
    </row>
    <row r="600" ht="15" customHeight="1">
      <c r="A600" s="162" t="n"/>
      <c r="B600" s="161" t="inlineStr">
        <is>
          <t>Large Round</t>
        </is>
      </c>
      <c r="C600" s="138" t="inlineStr">
        <is>
          <t>LVP</t>
        </is>
      </c>
      <c r="D600" s="29" t="inlineStr">
        <is>
          <t>Top</t>
        </is>
      </c>
      <c r="E600" s="29" t="n">
        <v>50</v>
      </c>
      <c r="F600" s="29" t="inlineStr">
        <is>
          <t>Passing</t>
        </is>
      </c>
      <c r="G600" s="29" t="inlineStr">
        <is>
          <t>PRC CX 3 Sq FABRIC,
PRC RLR,
 T32 LVP</t>
        </is>
      </c>
      <c r="H600" s="29" t="inlineStr">
        <is>
          <t>67 MM</t>
        </is>
      </c>
      <c r="I600" s="29" t="inlineStr">
        <is>
          <t>11.5 X 20.5</t>
        </is>
      </c>
      <c r="J600" s="29" t="n">
        <v>24</v>
      </c>
      <c r="K600" s="114" t="n">
        <v>19200</v>
      </c>
      <c r="L600" s="31">
        <f>K600/J600</f>
        <v/>
      </c>
      <c r="M600" s="32" t="n">
        <v>0.9182530795072789</v>
      </c>
      <c r="N600" s="31">
        <f>LEFT(I600,FIND("X",I600)-1)*RIGHT(I600,LEN(I600)-FIND("X",I600)-1)*M600</f>
        <v/>
      </c>
      <c r="O600" s="33">
        <f>(N600*L600)/1000</f>
        <v/>
      </c>
    </row>
    <row r="601" ht="15" customHeight="1">
      <c r="A601" s="162" t="n"/>
      <c r="B601" s="145" t="n"/>
      <c r="C601" s="136" t="n"/>
      <c r="D601" s="11" t="inlineStr">
        <is>
          <t>Bottom</t>
        </is>
      </c>
      <c r="E601" s="11" t="n"/>
      <c r="F601" s="29" t="n"/>
      <c r="G601" s="29" t="n"/>
      <c r="H601" s="29" t="n"/>
      <c r="I601" s="29" t="n"/>
      <c r="J601" s="29" t="n"/>
      <c r="K601" s="34" t="n"/>
      <c r="L601" s="14">
        <f>K601/J601</f>
        <v/>
      </c>
      <c r="M601" s="15" t="e">
        <v>#N/A</v>
      </c>
      <c r="N601" s="14">
        <f>LEFT(I601,FIND("X",I601)-1)*RIGHT(I601,LEN(I601)-FIND("X",I601)-1)*M601</f>
        <v/>
      </c>
      <c r="O601" s="16">
        <f>(N601*L601)/1000</f>
        <v/>
      </c>
    </row>
    <row r="602" ht="15.75" customHeight="1" thickBot="1">
      <c r="A602" s="162" t="n"/>
      <c r="B602" s="148" t="n"/>
      <c r="C602" s="22" t="inlineStr">
        <is>
          <t>SCFG</t>
        </is>
      </c>
      <c r="D602" s="23" t="inlineStr">
        <is>
          <t>-</t>
        </is>
      </c>
      <c r="E602" s="23" t="n">
        <v>15</v>
      </c>
      <c r="F602" s="23" t="inlineStr">
        <is>
          <t>Single</t>
        </is>
      </c>
      <c r="G602" s="23" t="inlineStr">
        <is>
          <t>PRC RLR,
 T 32 SCFG</t>
        </is>
      </c>
      <c r="H602" s="23" t="inlineStr">
        <is>
          <t>79.4 MM</t>
        </is>
      </c>
      <c r="I602" s="23" t="inlineStr">
        <is>
          <t>23.6 X 23.6</t>
        </is>
      </c>
      <c r="J602" s="23" t="n">
        <v>36</v>
      </c>
      <c r="K602" s="114" t="n">
        <v>19200</v>
      </c>
      <c r="L602" s="25">
        <f>K602/J602</f>
        <v/>
      </c>
      <c r="M602" s="26" t="n">
        <v>0.3381642512077295</v>
      </c>
      <c r="N602" s="25">
        <f>LEFT(I602,FIND("X",I602)-1)*RIGHT(I602,LEN(I602)-FIND("X",I602)-1)*M602</f>
        <v/>
      </c>
      <c r="O602" s="27">
        <f>(N602*L602)/1000</f>
        <v/>
      </c>
    </row>
    <row r="603" ht="15" customHeight="1">
      <c r="A603" s="162" t="n"/>
      <c r="B603" s="161" t="inlineStr">
        <is>
          <t>Maxi Round</t>
        </is>
      </c>
      <c r="C603" s="138" t="inlineStr">
        <is>
          <t>LVP</t>
        </is>
      </c>
      <c r="D603" s="29" t="inlineStr">
        <is>
          <t>Top</t>
        </is>
      </c>
      <c r="E603" s="29" t="n">
        <v>60</v>
      </c>
      <c r="F603" s="29" t="inlineStr">
        <is>
          <t>Single</t>
        </is>
      </c>
      <c r="G603" s="29" t="inlineStr">
        <is>
          <t>S 2 SCFG</t>
        </is>
      </c>
      <c r="H603" s="29" t="inlineStr">
        <is>
          <t>86 MM</t>
        </is>
      </c>
      <c r="I603" s="29" t="inlineStr">
        <is>
          <t>23.5 X 23.5</t>
        </is>
      </c>
      <c r="J603" s="29" t="n">
        <v>36</v>
      </c>
      <c r="K603" s="114" t="n">
        <v>6120</v>
      </c>
      <c r="L603" s="31">
        <f>K603/J603</f>
        <v/>
      </c>
      <c r="M603" s="32" t="n">
        <v>1.103988603988604</v>
      </c>
      <c r="N603" s="31">
        <f>LEFT(I603,FIND("X",I603)-1)*RIGHT(I603,LEN(I603)-FIND("X",I603)-1)*M603</f>
        <v/>
      </c>
      <c r="O603" s="33">
        <f>(N603*L603)/1000</f>
        <v/>
      </c>
    </row>
    <row r="604" ht="15" customHeight="1">
      <c r="A604" s="162" t="n"/>
      <c r="B604" s="145" t="n"/>
      <c r="C604" s="136" t="n"/>
      <c r="D604" s="11" t="inlineStr">
        <is>
          <t>Bottom</t>
        </is>
      </c>
      <c r="E604" s="11" t="n"/>
      <c r="F604" s="29" t="n"/>
      <c r="G604" s="29" t="n"/>
      <c r="H604" s="29" t="n"/>
      <c r="I604" s="29" t="n"/>
      <c r="J604" s="29" t="n"/>
      <c r="K604" s="34" t="n"/>
      <c r="L604" s="14">
        <f>K604/J604</f>
        <v/>
      </c>
      <c r="M604" s="15" t="e">
        <v>#N/A</v>
      </c>
      <c r="N604" s="14">
        <f>LEFT(I604,FIND("X",I604)-1)*RIGHT(I604,LEN(I604)-FIND("X",I604)-1)*M604</f>
        <v/>
      </c>
      <c r="O604" s="16">
        <f>(N604*L604)/1000</f>
        <v/>
      </c>
    </row>
    <row r="605" ht="15.75" customHeight="1" thickBot="1">
      <c r="A605" s="163" t="n"/>
      <c r="B605" s="148" t="n"/>
      <c r="C605" s="22" t="inlineStr">
        <is>
          <t>SCFG</t>
        </is>
      </c>
      <c r="D605" s="23" t="inlineStr">
        <is>
          <t>-</t>
        </is>
      </c>
      <c r="E605" s="23" t="n">
        <v>15</v>
      </c>
      <c r="F605" s="23" t="inlineStr">
        <is>
          <t>Single</t>
        </is>
      </c>
      <c r="G605" s="23" t="inlineStr">
        <is>
          <t>R 3 SCFG</t>
        </is>
      </c>
      <c r="H605" s="23" t="inlineStr">
        <is>
          <t>100 MM</t>
        </is>
      </c>
      <c r="I605" s="23" t="inlineStr">
        <is>
          <t>33 X 33</t>
        </is>
      </c>
      <c r="J605" s="23" t="n">
        <v>49</v>
      </c>
      <c r="K605" s="114" t="n">
        <v>6120</v>
      </c>
      <c r="L605" s="25">
        <f>K605/J605</f>
        <v/>
      </c>
      <c r="M605" s="26" t="n">
        <v>0.3381642512077295</v>
      </c>
      <c r="N605" s="25">
        <f>LEFT(I605,FIND("X",I605)-1)*RIGHT(I605,LEN(I605)-FIND("X",I605)-1)*M605</f>
        <v/>
      </c>
      <c r="O605" s="27">
        <f>(N605*L605)/1000</f>
        <v/>
      </c>
    </row>
    <row r="606" ht="15" customHeight="1">
      <c r="A606" s="149" t="n">
        <v>1</v>
      </c>
      <c r="B606" s="150" t="inlineStr">
        <is>
          <t>Bull HC 22</t>
        </is>
      </c>
      <c r="C606" s="138" t="inlineStr">
        <is>
          <t>NG</t>
        </is>
      </c>
      <c r="D606" s="29" t="inlineStr">
        <is>
          <t>Top</t>
        </is>
      </c>
      <c r="E606" s="29" t="n">
        <v>50</v>
      </c>
      <c r="F606" s="29" t="inlineStr">
        <is>
          <t>Single</t>
        </is>
      </c>
      <c r="G606" s="29" t="n"/>
      <c r="H606" s="29" t="inlineStr">
        <is>
          <t>54 X 122</t>
        </is>
      </c>
      <c r="I606" s="29" t="inlineStr">
        <is>
          <t>21 X 26.5</t>
        </is>
      </c>
      <c r="J606" s="29" t="n">
        <v>40</v>
      </c>
      <c r="K606" s="114" t="n">
        <v>200</v>
      </c>
      <c r="L606" s="31">
        <f>K606/J606</f>
        <v/>
      </c>
      <c r="M606" s="32" t="n">
        <v>0.9182530795072789</v>
      </c>
      <c r="N606" s="31">
        <f>LEFT(I606,FIND("X",I606)-1)*RIGHT(I606,LEN(I606)-FIND("X",I606)-1)*M606</f>
        <v/>
      </c>
      <c r="O606" s="33">
        <f>(N606*L606)/1000</f>
        <v/>
      </c>
    </row>
    <row r="607" ht="15" customHeight="1">
      <c r="A607" s="133" t="n"/>
      <c r="B607" s="133" t="n"/>
      <c r="C607" s="136" t="n"/>
      <c r="D607" s="11" t="inlineStr">
        <is>
          <t>Bottom</t>
        </is>
      </c>
      <c r="E607" s="29" t="n">
        <v>50</v>
      </c>
      <c r="F607" s="29" t="inlineStr">
        <is>
          <t>Single</t>
        </is>
      </c>
      <c r="G607" s="29" t="n"/>
      <c r="H607" s="29" t="inlineStr">
        <is>
          <t>54 X 122</t>
        </is>
      </c>
      <c r="I607" s="29" t="inlineStr">
        <is>
          <t>21 X 26.5</t>
        </is>
      </c>
      <c r="J607" s="29" t="n">
        <v>40</v>
      </c>
      <c r="K607" s="34" t="n">
        <v>200</v>
      </c>
      <c r="L607" s="14">
        <f>K607/J607</f>
        <v/>
      </c>
      <c r="M607" s="15" t="n">
        <v>0.9182530795072789</v>
      </c>
      <c r="N607" s="14">
        <f>LEFT(I607,FIND("X",I607)-1)*RIGHT(I607,LEN(I607)-FIND("X",I607)-1)*M607</f>
        <v/>
      </c>
      <c r="O607" s="16">
        <f>(N607*L607)/1000</f>
        <v/>
      </c>
    </row>
    <row r="608" ht="15.75" customHeight="1" thickBot="1">
      <c r="A608" s="135" t="n"/>
      <c r="B608" s="135" t="n"/>
      <c r="C608" s="22" t="inlineStr">
        <is>
          <t>HCC 0.80</t>
        </is>
      </c>
      <c r="D608" s="23" t="inlineStr">
        <is>
          <t>-</t>
        </is>
      </c>
      <c r="E608" s="23" t="n">
        <v>30</v>
      </c>
      <c r="F608" s="23" t="inlineStr">
        <is>
          <t>Single</t>
        </is>
      </c>
      <c r="G608" s="23" t="n"/>
      <c r="H608" s="23" t="inlineStr">
        <is>
          <t>73 X 140</t>
        </is>
      </c>
      <c r="I608" s="23" t="inlineStr">
        <is>
          <t>25.6 X 44.1</t>
        </is>
      </c>
      <c r="J608" s="23" t="n">
        <v>49</v>
      </c>
      <c r="K608" s="115" t="n">
        <v>200</v>
      </c>
      <c r="L608" s="25">
        <f>K608/J608</f>
        <v/>
      </c>
      <c r="M608" s="26" t="n">
        <v>0.65</v>
      </c>
      <c r="N608" s="25">
        <f>LEFT(I608,FIND("X",I608)-1)*RIGHT(I608,LEN(I608)-FIND("X",I608)-1)*M608</f>
        <v/>
      </c>
      <c r="O608" s="27">
        <f>(N608*L608)/1000</f>
        <v/>
      </c>
    </row>
    <row r="609" ht="15" customHeight="1">
      <c r="A609" s="149" t="n">
        <v>2</v>
      </c>
      <c r="B609" s="150" t="inlineStr">
        <is>
          <t>Bull HC 24</t>
        </is>
      </c>
      <c r="C609" s="138" t="inlineStr">
        <is>
          <t>NG</t>
        </is>
      </c>
      <c r="D609" s="29" t="inlineStr">
        <is>
          <t>Top</t>
        </is>
      </c>
      <c r="E609" s="29" t="n">
        <v>50</v>
      </c>
      <c r="F609" s="29" t="inlineStr">
        <is>
          <t>Single</t>
        </is>
      </c>
      <c r="G609" s="29" t="n"/>
      <c r="H609" s="29" t="inlineStr">
        <is>
          <t>54 X 176</t>
        </is>
      </c>
      <c r="I609" s="29" t="inlineStr">
        <is>
          <t>21 X 22</t>
        </is>
      </c>
      <c r="J609" s="29" t="n">
        <v>24</v>
      </c>
      <c r="K609" s="114" t="n"/>
      <c r="L609" s="31">
        <f>K609/J609</f>
        <v/>
      </c>
      <c r="M609" s="32" t="n">
        <v>0.9182530795072789</v>
      </c>
      <c r="N609" s="31">
        <f>LEFT(I609,FIND("X",I609)-1)*RIGHT(I609,LEN(I609)-FIND("X",I609)-1)*M609</f>
        <v/>
      </c>
      <c r="O609" s="33">
        <f>(N609*L609)/1000</f>
        <v/>
      </c>
    </row>
    <row r="610" ht="15" customHeight="1">
      <c r="A610" s="133" t="n"/>
      <c r="B610" s="133" t="n"/>
      <c r="C610" s="136" t="n"/>
      <c r="D610" s="11" t="inlineStr">
        <is>
          <t>Bottom</t>
        </is>
      </c>
      <c r="E610" s="29" t="n">
        <v>50</v>
      </c>
      <c r="F610" s="29" t="inlineStr">
        <is>
          <t>Single</t>
        </is>
      </c>
      <c r="G610" s="29" t="n"/>
      <c r="H610" s="29" t="inlineStr">
        <is>
          <t>54 X 176</t>
        </is>
      </c>
      <c r="I610" s="29" t="inlineStr">
        <is>
          <t>21 X 22</t>
        </is>
      </c>
      <c r="J610" s="29" t="n">
        <v>24</v>
      </c>
      <c r="K610" s="34" t="n"/>
      <c r="L610" s="14">
        <f>K610/J610</f>
        <v/>
      </c>
      <c r="M610" s="15" t="n">
        <v>0.9182530795072789</v>
      </c>
      <c r="N610" s="14">
        <f>LEFT(I610,FIND("X",I610)-1)*RIGHT(I610,LEN(I610)-FIND("X",I610)-1)*M610</f>
        <v/>
      </c>
      <c r="O610" s="16">
        <f>(N610*L610)/1000</f>
        <v/>
      </c>
    </row>
    <row r="611" ht="15.75" customHeight="1" thickBot="1">
      <c r="A611" s="135" t="n"/>
      <c r="B611" s="135" t="n"/>
      <c r="C611" s="22" t="inlineStr">
        <is>
          <t>HCC 0.80</t>
        </is>
      </c>
      <c r="D611" s="23" t="inlineStr">
        <is>
          <t>-</t>
        </is>
      </c>
      <c r="E611" s="23" t="n">
        <v>30</v>
      </c>
      <c r="F611" s="23" t="inlineStr">
        <is>
          <t>Single</t>
        </is>
      </c>
      <c r="G611" s="23" t="n"/>
      <c r="H611" s="23" t="inlineStr">
        <is>
          <t>73 X 194</t>
        </is>
      </c>
      <c r="I611" s="23" t="inlineStr">
        <is>
          <t>25.6 X 59</t>
        </is>
      </c>
      <c r="J611" s="23" t="n">
        <v>49</v>
      </c>
      <c r="K611" s="115" t="n"/>
      <c r="L611" s="25">
        <f>K611/J611</f>
        <v/>
      </c>
      <c r="M611" s="26" t="n">
        <v>0.65</v>
      </c>
      <c r="N611" s="25">
        <f>LEFT(I611,FIND("X",I611)-1)*RIGHT(I611,LEN(I611)-FIND("X",I611)-1)*M611</f>
        <v/>
      </c>
      <c r="O611" s="27">
        <f>(N611*L611)/1000</f>
        <v/>
      </c>
    </row>
    <row r="612" ht="15" customHeight="1">
      <c r="A612" s="149" t="n">
        <v>3</v>
      </c>
      <c r="B612" s="150" t="inlineStr">
        <is>
          <t>Bull HC 33</t>
        </is>
      </c>
      <c r="C612" s="138" t="inlineStr">
        <is>
          <t>NG</t>
        </is>
      </c>
      <c r="D612" s="29" t="inlineStr">
        <is>
          <t>Top</t>
        </is>
      </c>
      <c r="E612" s="29" t="n">
        <v>80</v>
      </c>
      <c r="F612" s="29" t="inlineStr">
        <is>
          <t>Single</t>
        </is>
      </c>
      <c r="G612" s="29" t="n"/>
      <c r="H612" s="29" t="inlineStr">
        <is>
          <t>82 X 111</t>
        </is>
      </c>
      <c r="I612" s="29" t="inlineStr">
        <is>
          <t>22.5 X 24.5</t>
        </is>
      </c>
      <c r="J612" s="29" t="n">
        <v>30</v>
      </c>
      <c r="K612" s="114" t="n"/>
      <c r="L612" s="31">
        <f>K612/J612</f>
        <v/>
      </c>
      <c r="M612" s="32" t="n">
        <v>1.494824016563147</v>
      </c>
      <c r="N612" s="31">
        <f>LEFT(I612,FIND("X",I612)-1)*RIGHT(I612,LEN(I612)-FIND("X",I612)-1)*M612</f>
        <v/>
      </c>
      <c r="O612" s="33">
        <f>(N612*L612)/1000</f>
        <v/>
      </c>
    </row>
    <row r="613" ht="15" customHeight="1">
      <c r="A613" s="133" t="n"/>
      <c r="B613" s="133" t="n"/>
      <c r="C613" s="136" t="n"/>
      <c r="D613" s="11" t="inlineStr">
        <is>
          <t>Bottom</t>
        </is>
      </c>
      <c r="E613" s="29" t="n">
        <v>50</v>
      </c>
      <c r="F613" s="29" t="inlineStr">
        <is>
          <t>Single</t>
        </is>
      </c>
      <c r="G613" s="29" t="n"/>
      <c r="H613" s="29" t="inlineStr">
        <is>
          <t>82 X 111</t>
        </is>
      </c>
      <c r="I613" s="29" t="inlineStr">
        <is>
          <t>22.5 X 24.5</t>
        </is>
      </c>
      <c r="J613" s="29" t="n">
        <v>30</v>
      </c>
      <c r="K613" s="34" t="n"/>
      <c r="L613" s="14">
        <f>K613/J613</f>
        <v/>
      </c>
      <c r="M613" s="15" t="n">
        <v>0.9182530795072789</v>
      </c>
      <c r="N613" s="14">
        <f>LEFT(I613,FIND("X",I613)-1)*RIGHT(I613,LEN(I613)-FIND("X",I613)-1)*M613</f>
        <v/>
      </c>
      <c r="O613" s="16">
        <f>(N613*L613)/1000</f>
        <v/>
      </c>
    </row>
    <row r="614" ht="15.75" customHeight="1" thickBot="1">
      <c r="A614" s="135" t="n"/>
      <c r="B614" s="135" t="n"/>
      <c r="C614" s="22" t="inlineStr">
        <is>
          <t>HCC 0.80</t>
        </is>
      </c>
      <c r="D614" s="23" t="inlineStr">
        <is>
          <t>-</t>
        </is>
      </c>
      <c r="E614" s="23" t="n">
        <v>30</v>
      </c>
      <c r="F614" s="23" t="inlineStr">
        <is>
          <t>Single</t>
        </is>
      </c>
      <c r="G614" s="23" t="n"/>
      <c r="H614" s="23" t="inlineStr">
        <is>
          <t>102 X 130</t>
        </is>
      </c>
      <c r="I614" s="23" t="inlineStr">
        <is>
          <t>33.6 X 41.3</t>
        </is>
      </c>
      <c r="J614" s="23" t="n">
        <v>49</v>
      </c>
      <c r="K614" s="115" t="n"/>
      <c r="L614" s="25">
        <f>K614/J614</f>
        <v/>
      </c>
      <c r="M614" s="26" t="n">
        <v>0.65</v>
      </c>
      <c r="N614" s="25">
        <f>LEFT(I614,FIND("X",I614)-1)*RIGHT(I614,LEN(I614)-FIND("X",I614)-1)*M614</f>
        <v/>
      </c>
      <c r="O614" s="27">
        <f>(N614*L614)/1000</f>
        <v/>
      </c>
    </row>
    <row r="615" ht="15" customHeight="1">
      <c r="A615" s="149" t="n">
        <v>4</v>
      </c>
      <c r="B615" s="150" t="inlineStr">
        <is>
          <t>Bull HC 35</t>
        </is>
      </c>
      <c r="C615" s="138" t="inlineStr">
        <is>
          <t>NG</t>
        </is>
      </c>
      <c r="D615" s="29" t="inlineStr">
        <is>
          <t>Top</t>
        </is>
      </c>
      <c r="E615" s="29" t="n">
        <v>80</v>
      </c>
      <c r="F615" s="29" t="inlineStr">
        <is>
          <t>Single</t>
        </is>
      </c>
      <c r="G615" s="29" t="n"/>
      <c r="H615" s="29" t="inlineStr">
        <is>
          <t>108 X 138</t>
        </is>
      </c>
      <c r="I615" s="29" t="inlineStr">
        <is>
          <t>24 X 24</t>
        </is>
      </c>
      <c r="J615" s="29" t="n">
        <v>20</v>
      </c>
      <c r="K615" s="114" t="n"/>
      <c r="L615" s="31">
        <f>K615/J615</f>
        <v/>
      </c>
      <c r="M615" s="32" t="n">
        <v>1.494824016563147</v>
      </c>
      <c r="N615" s="31">
        <f>LEFT(I615,FIND("X",I615)-1)*RIGHT(I615,LEN(I615)-FIND("X",I615)-1)*M615</f>
        <v/>
      </c>
      <c r="O615" s="33">
        <f>(N615*L615)/1000</f>
        <v/>
      </c>
    </row>
    <row r="616" ht="15" customHeight="1">
      <c r="A616" s="133" t="n"/>
      <c r="B616" s="133" t="n"/>
      <c r="C616" s="136" t="n"/>
      <c r="D616" s="11" t="inlineStr">
        <is>
          <t>Bottom</t>
        </is>
      </c>
      <c r="E616" s="29" t="n">
        <v>50</v>
      </c>
      <c r="F616" s="29" t="inlineStr">
        <is>
          <t>Single</t>
        </is>
      </c>
      <c r="G616" s="29" t="n"/>
      <c r="H616" s="29" t="inlineStr">
        <is>
          <t>108 X 138</t>
        </is>
      </c>
      <c r="I616" s="29" t="inlineStr">
        <is>
          <t>24 X 24</t>
        </is>
      </c>
      <c r="J616" s="29" t="n">
        <v>20</v>
      </c>
      <c r="K616" s="34" t="n"/>
      <c r="L616" s="14">
        <f>K616/J616</f>
        <v/>
      </c>
      <c r="M616" s="15" t="n">
        <v>0.9182530795072789</v>
      </c>
      <c r="N616" s="14">
        <f>LEFT(I616,FIND("X",I616)-1)*RIGHT(I616,LEN(I616)-FIND("X",I616)-1)*M616</f>
        <v/>
      </c>
      <c r="O616" s="16">
        <f>(N616*L616)/1000</f>
        <v/>
      </c>
    </row>
    <row r="617" ht="15.75" customHeight="1" thickBot="1">
      <c r="A617" s="135" t="n"/>
      <c r="B617" s="135" t="n"/>
      <c r="C617" s="22" t="inlineStr">
        <is>
          <t>HCC 0.80</t>
        </is>
      </c>
      <c r="D617" s="23" t="inlineStr">
        <is>
          <t>-</t>
        </is>
      </c>
      <c r="E617" s="23" t="n">
        <v>30</v>
      </c>
      <c r="F617" s="23" t="inlineStr">
        <is>
          <t>Single</t>
        </is>
      </c>
      <c r="G617" s="23" t="n"/>
      <c r="H617" s="23" t="inlineStr">
        <is>
          <t>127 X 159</t>
        </is>
      </c>
      <c r="I617" s="23" t="inlineStr">
        <is>
          <t>40.5 X 49.3</t>
        </is>
      </c>
      <c r="J617" s="23" t="n">
        <v>49</v>
      </c>
      <c r="K617" s="115" t="n"/>
      <c r="L617" s="25">
        <f>K617/J617</f>
        <v/>
      </c>
      <c r="M617" s="26" t="n">
        <v>0.65</v>
      </c>
      <c r="N617" s="25">
        <f>LEFT(I617,FIND("X",I617)-1)*RIGHT(I617,LEN(I617)-FIND("X",I617)-1)*M617</f>
        <v/>
      </c>
      <c r="O617" s="27">
        <f>(N617*L617)/1000</f>
        <v/>
      </c>
    </row>
    <row r="618" ht="15" customHeight="1">
      <c r="A618" s="149" t="n">
        <v>5</v>
      </c>
      <c r="B618" s="150" t="inlineStr">
        <is>
          <t>Bull HC 37</t>
        </is>
      </c>
      <c r="C618" s="138" t="inlineStr">
        <is>
          <t>NG</t>
        </is>
      </c>
      <c r="D618" s="29" t="inlineStr">
        <is>
          <t>Top</t>
        </is>
      </c>
      <c r="E618" s="29" t="n">
        <v>100</v>
      </c>
      <c r="F618" s="29" t="inlineStr">
        <is>
          <t>Single</t>
        </is>
      </c>
      <c r="G618" s="29" t="n"/>
      <c r="H618" s="29" t="inlineStr">
        <is>
          <t>108 X 157</t>
        </is>
      </c>
      <c r="I618" s="29" t="inlineStr">
        <is>
          <t>24 X 27</t>
        </is>
      </c>
      <c r="J618" s="29" t="n">
        <v>20</v>
      </c>
      <c r="K618" s="114" t="n"/>
      <c r="L618" s="31">
        <f>K618/J618</f>
        <v/>
      </c>
      <c r="M618" s="32" t="n">
        <v>1.906191369606004</v>
      </c>
      <c r="N618" s="31">
        <f>LEFT(I618,FIND("X",I618)-1)*RIGHT(I618,LEN(I618)-FIND("X",I618)-1)*M618</f>
        <v/>
      </c>
      <c r="O618" s="33">
        <f>(N618*L618)/1000</f>
        <v/>
      </c>
    </row>
    <row r="619" ht="15" customHeight="1">
      <c r="A619" s="133" t="n"/>
      <c r="B619" s="133" t="n"/>
      <c r="C619" s="136" t="n"/>
      <c r="D619" s="11" t="inlineStr">
        <is>
          <t>Bottom</t>
        </is>
      </c>
      <c r="E619" s="29" t="n">
        <v>50</v>
      </c>
      <c r="F619" s="29" t="inlineStr">
        <is>
          <t>Single</t>
        </is>
      </c>
      <c r="G619" s="29" t="n"/>
      <c r="H619" s="29" t="inlineStr">
        <is>
          <t>108 X 157</t>
        </is>
      </c>
      <c r="I619" s="29" t="inlineStr">
        <is>
          <t>24 X 27</t>
        </is>
      </c>
      <c r="J619" s="29" t="n">
        <v>20</v>
      </c>
      <c r="K619" s="34" t="n"/>
      <c r="L619" s="14">
        <f>K619/J619</f>
        <v/>
      </c>
      <c r="M619" s="15" t="n">
        <v>0.9182530795072789</v>
      </c>
      <c r="N619" s="14">
        <f>LEFT(I619,FIND("X",I619)-1)*RIGHT(I619,LEN(I619)-FIND("X",I619)-1)*M619</f>
        <v/>
      </c>
      <c r="O619" s="16">
        <f>(N619*L619)/1000</f>
        <v/>
      </c>
    </row>
    <row r="620" ht="15.75" customHeight="1" thickBot="1">
      <c r="A620" s="135" t="n"/>
      <c r="B620" s="135" t="n"/>
      <c r="C620" s="22" t="inlineStr">
        <is>
          <t>HCC 0.80</t>
        </is>
      </c>
      <c r="D620" s="23" t="inlineStr">
        <is>
          <t>-</t>
        </is>
      </c>
      <c r="E620" s="23" t="n">
        <v>30</v>
      </c>
      <c r="F620" s="23" t="inlineStr">
        <is>
          <t>Single</t>
        </is>
      </c>
      <c r="G620" s="23" t="n"/>
      <c r="H620" s="23" t="inlineStr">
        <is>
          <t>127 X 178</t>
        </is>
      </c>
      <c r="I620" s="23" t="inlineStr">
        <is>
          <t>40.5 X 54.6</t>
        </is>
      </c>
      <c r="J620" s="23" t="n">
        <v>49</v>
      </c>
      <c r="K620" s="115" t="n"/>
      <c r="L620" s="25">
        <f>K620/J620</f>
        <v/>
      </c>
      <c r="M620" s="26" t="n">
        <v>0.65</v>
      </c>
      <c r="N620" s="25">
        <f>LEFT(I620,FIND("X",I620)-1)*RIGHT(I620,LEN(I620)-FIND("X",I620)-1)*M620</f>
        <v/>
      </c>
      <c r="O620" s="27">
        <f>(N620*L620)/1000</f>
        <v/>
      </c>
    </row>
    <row r="621" ht="15" customHeight="1">
      <c r="A621" s="149" t="n">
        <v>6</v>
      </c>
      <c r="B621" s="150" t="inlineStr">
        <is>
          <t>Bull HC 40</t>
        </is>
      </c>
      <c r="C621" s="138" t="inlineStr">
        <is>
          <t>NG</t>
        </is>
      </c>
      <c r="D621" s="29" t="inlineStr">
        <is>
          <t>Top</t>
        </is>
      </c>
      <c r="E621" s="29" t="n">
        <v>80</v>
      </c>
      <c r="F621" s="29" t="inlineStr">
        <is>
          <t>Single</t>
        </is>
      </c>
      <c r="G621" s="29" t="n"/>
      <c r="H621" s="29" t="inlineStr">
        <is>
          <t>84 X 179</t>
        </is>
      </c>
      <c r="I621" s="29" t="inlineStr">
        <is>
          <t>23 X 23</t>
        </is>
      </c>
      <c r="J621" s="29" t="n">
        <v>18</v>
      </c>
      <c r="K621" s="114" t="n">
        <v>200</v>
      </c>
      <c r="L621" s="31">
        <f>K621/J621</f>
        <v/>
      </c>
      <c r="M621" s="32" t="n">
        <v>1.494824016563147</v>
      </c>
      <c r="N621" s="31">
        <f>LEFT(I621,FIND("X",I621)-1)*RIGHT(I621,LEN(I621)-FIND("X",I621)-1)*M621</f>
        <v/>
      </c>
      <c r="O621" s="33">
        <f>(N621*L621)/1000</f>
        <v/>
      </c>
    </row>
    <row r="622" ht="15" customHeight="1">
      <c r="A622" s="133" t="n"/>
      <c r="B622" s="133" t="n"/>
      <c r="C622" s="136" t="n"/>
      <c r="D622" s="11" t="inlineStr">
        <is>
          <t>Bottom</t>
        </is>
      </c>
      <c r="E622" s="29" t="n">
        <v>50</v>
      </c>
      <c r="F622" s="29" t="inlineStr">
        <is>
          <t>Single</t>
        </is>
      </c>
      <c r="G622" s="29" t="n"/>
      <c r="H622" s="29" t="inlineStr">
        <is>
          <t>84 X 179</t>
        </is>
      </c>
      <c r="I622" s="29" t="inlineStr">
        <is>
          <t>23 X 23</t>
        </is>
      </c>
      <c r="J622" s="29" t="n">
        <v>18</v>
      </c>
      <c r="K622" s="34" t="n">
        <v>200</v>
      </c>
      <c r="L622" s="14">
        <f>K622/J622</f>
        <v/>
      </c>
      <c r="M622" s="15" t="n">
        <v>0.9182530795072789</v>
      </c>
      <c r="N622" s="14">
        <f>LEFT(I622,FIND("X",I622)-1)*RIGHT(I622,LEN(I622)-FIND("X",I622)-1)*M622</f>
        <v/>
      </c>
      <c r="O622" s="16">
        <f>(N622*L622)/1000</f>
        <v/>
      </c>
    </row>
    <row r="623" ht="15.75" customHeight="1" thickBot="1">
      <c r="A623" s="135" t="n"/>
      <c r="B623" s="135" t="n"/>
      <c r="C623" s="22" t="inlineStr">
        <is>
          <t>HCC 0.80</t>
        </is>
      </c>
      <c r="D623" s="23" t="inlineStr">
        <is>
          <t>-</t>
        </is>
      </c>
      <c r="E623" s="23" t="n">
        <v>30</v>
      </c>
      <c r="F623" s="23" t="inlineStr">
        <is>
          <t>Single</t>
        </is>
      </c>
      <c r="G623" s="23" t="n"/>
      <c r="H623" s="23" t="inlineStr">
        <is>
          <t>103 X 200</t>
        </is>
      </c>
      <c r="I623" s="23" t="inlineStr">
        <is>
          <t>33.9 X 60.6</t>
        </is>
      </c>
      <c r="J623" s="23" t="n">
        <v>49</v>
      </c>
      <c r="K623" s="115" t="n">
        <v>200</v>
      </c>
      <c r="L623" s="25">
        <f>K623/J623</f>
        <v/>
      </c>
      <c r="M623" s="26" t="n">
        <v>0.65</v>
      </c>
      <c r="N623" s="25">
        <f>LEFT(I623,FIND("X",I623)-1)*RIGHT(I623,LEN(I623)-FIND("X",I623)-1)*M623</f>
        <v/>
      </c>
      <c r="O623" s="27">
        <f>(N623*L623)/1000</f>
        <v/>
      </c>
    </row>
    <row r="624" ht="15" customHeight="1">
      <c r="A624" s="149" t="n">
        <v>7</v>
      </c>
      <c r="B624" s="150" t="inlineStr">
        <is>
          <t>Bull HC 42</t>
        </is>
      </c>
      <c r="C624" s="138" t="inlineStr">
        <is>
          <t>NG</t>
        </is>
      </c>
      <c r="D624" s="29" t="inlineStr">
        <is>
          <t>Top</t>
        </is>
      </c>
      <c r="E624" s="29" t="n">
        <v>80</v>
      </c>
      <c r="F624" s="29" t="inlineStr">
        <is>
          <t>Single</t>
        </is>
      </c>
      <c r="G624" s="29" t="n"/>
      <c r="H624" s="29" t="inlineStr">
        <is>
          <t>112 X 229</t>
        </is>
      </c>
      <c r="I624" s="29" t="inlineStr">
        <is>
          <t>24.5 X 29</t>
        </is>
      </c>
      <c r="J624" s="29" t="n">
        <v>15</v>
      </c>
      <c r="K624" s="114" t="n">
        <v>100</v>
      </c>
      <c r="L624" s="31">
        <f>K624/J624</f>
        <v/>
      </c>
      <c r="M624" s="32" t="n">
        <v>1.494824016563147</v>
      </c>
      <c r="N624" s="31">
        <f>LEFT(I624,FIND("X",I624)-1)*RIGHT(I624,LEN(I624)-FIND("X",I624)-1)*M624</f>
        <v/>
      </c>
      <c r="O624" s="33">
        <f>(N624*L624)/1000</f>
        <v/>
      </c>
    </row>
    <row r="625" ht="15" customHeight="1">
      <c r="A625" s="133" t="n"/>
      <c r="B625" s="133" t="n"/>
      <c r="C625" s="136" t="n"/>
      <c r="D625" s="11" t="inlineStr">
        <is>
          <t>Bottom</t>
        </is>
      </c>
      <c r="E625" s="29" t="n">
        <v>50</v>
      </c>
      <c r="F625" s="29" t="inlineStr">
        <is>
          <t>Single</t>
        </is>
      </c>
      <c r="G625" s="29" t="n"/>
      <c r="H625" s="29" t="inlineStr">
        <is>
          <t>112 X 229</t>
        </is>
      </c>
      <c r="I625" s="29" t="inlineStr">
        <is>
          <t>24.5 X 29</t>
        </is>
      </c>
      <c r="J625" s="29" t="n">
        <v>15</v>
      </c>
      <c r="K625" s="34" t="n">
        <v>100</v>
      </c>
      <c r="L625" s="14">
        <f>K625/J625</f>
        <v/>
      </c>
      <c r="M625" s="15" t="n">
        <v>0.9182530795072789</v>
      </c>
      <c r="N625" s="14">
        <f>LEFT(I625,FIND("X",I625)-1)*RIGHT(I625,LEN(I625)-FIND("X",I625)-1)*M625</f>
        <v/>
      </c>
      <c r="O625" s="16">
        <f>(N625*L625)/1000</f>
        <v/>
      </c>
    </row>
    <row r="626" ht="15.75" customHeight="1" thickBot="1">
      <c r="A626" s="135" t="n"/>
      <c r="B626" s="135" t="n"/>
      <c r="C626" s="22" t="inlineStr">
        <is>
          <t>HCC 0.80</t>
        </is>
      </c>
      <c r="D626" s="23" t="inlineStr">
        <is>
          <t>-</t>
        </is>
      </c>
      <c r="E626" s="23" t="n">
        <v>30</v>
      </c>
      <c r="F626" s="23" t="inlineStr">
        <is>
          <t>Single</t>
        </is>
      </c>
      <c r="G626" s="23" t="n"/>
      <c r="H626" s="23" t="inlineStr">
        <is>
          <t>133 X 254</t>
        </is>
      </c>
      <c r="I626" s="23" t="inlineStr">
        <is>
          <t>42.2 X 75.5</t>
        </is>
      </c>
      <c r="J626" s="23" t="n">
        <v>49</v>
      </c>
      <c r="K626" s="115" t="n">
        <v>100</v>
      </c>
      <c r="L626" s="25">
        <f>K626/J626</f>
        <v/>
      </c>
      <c r="M626" s="26" t="n">
        <v>0.65</v>
      </c>
      <c r="N626" s="25">
        <f>LEFT(I626,FIND("X",I626)-1)*RIGHT(I626,LEN(I626)-FIND("X",I626)-1)*M626</f>
        <v/>
      </c>
      <c r="O626" s="27">
        <f>(N626*L626)/1000</f>
        <v/>
      </c>
    </row>
    <row r="627" ht="15" customHeight="1">
      <c r="A627" s="149" t="n">
        <v>8</v>
      </c>
      <c r="B627" s="150" t="inlineStr">
        <is>
          <t>Bull HC 44</t>
        </is>
      </c>
      <c r="C627" s="138" t="inlineStr">
        <is>
          <t>NG</t>
        </is>
      </c>
      <c r="D627" s="29" t="inlineStr">
        <is>
          <t>Top</t>
        </is>
      </c>
      <c r="E627" s="29" t="n">
        <v>100</v>
      </c>
      <c r="F627" s="29" t="inlineStr">
        <is>
          <t>Single</t>
        </is>
      </c>
      <c r="G627" s="29" t="n"/>
      <c r="H627" s="29" t="inlineStr">
        <is>
          <t>105 X 305</t>
        </is>
      </c>
      <c r="I627" s="29" t="inlineStr">
        <is>
          <t>23 X 25</t>
        </is>
      </c>
      <c r="J627" s="29" t="n">
        <v>10</v>
      </c>
      <c r="K627" s="114" t="n">
        <v>50</v>
      </c>
      <c r="L627" s="31">
        <f>K627/J627</f>
        <v/>
      </c>
      <c r="M627" s="32" t="n">
        <v>1.906191369606004</v>
      </c>
      <c r="N627" s="31">
        <f>LEFT(I627,FIND("X",I627)-1)*RIGHT(I627,LEN(I627)-FIND("X",I627)-1)*M627</f>
        <v/>
      </c>
      <c r="O627" s="33">
        <f>(N627*L627)/1000</f>
        <v/>
      </c>
    </row>
    <row r="628" ht="15" customHeight="1">
      <c r="A628" s="133" t="n"/>
      <c r="B628" s="133" t="n"/>
      <c r="C628" s="136" t="n"/>
      <c r="D628" s="11" t="inlineStr">
        <is>
          <t>Bottom</t>
        </is>
      </c>
      <c r="E628" s="29" t="n">
        <v>50</v>
      </c>
      <c r="F628" s="29" t="inlineStr">
        <is>
          <t>Single</t>
        </is>
      </c>
      <c r="G628" s="29" t="n"/>
      <c r="H628" s="29" t="inlineStr">
        <is>
          <t>105 X 305</t>
        </is>
      </c>
      <c r="I628" s="29" t="inlineStr">
        <is>
          <t>23 X 25</t>
        </is>
      </c>
      <c r="J628" s="29" t="n">
        <v>10</v>
      </c>
      <c r="K628" s="34" t="n">
        <v>50</v>
      </c>
      <c r="L628" s="14">
        <f>K628/J628</f>
        <v/>
      </c>
      <c r="M628" s="15" t="n">
        <v>0.9182530795072789</v>
      </c>
      <c r="N628" s="14">
        <f>LEFT(I628,FIND("X",I628)-1)*RIGHT(I628,LEN(I628)-FIND("X",I628)-1)*M628</f>
        <v/>
      </c>
      <c r="O628" s="16">
        <f>(N628*L628)/1000</f>
        <v/>
      </c>
    </row>
    <row r="629" ht="15.75" customHeight="1" thickBot="1">
      <c r="A629" s="135" t="n"/>
      <c r="B629" s="135" t="n"/>
      <c r="C629" s="22" t="inlineStr">
        <is>
          <t>HCC 0.80</t>
        </is>
      </c>
      <c r="D629" s="23" t="inlineStr">
        <is>
          <t>-</t>
        </is>
      </c>
      <c r="E629" s="23" t="n">
        <v>30</v>
      </c>
      <c r="F629" s="23" t="inlineStr">
        <is>
          <t>Single</t>
        </is>
      </c>
      <c r="G629" s="23" t="n"/>
      <c r="H629" s="23" t="inlineStr">
        <is>
          <t>127 X 330</t>
        </is>
      </c>
      <c r="I629" s="23" t="inlineStr">
        <is>
          <t>40.5 X 96.5</t>
        </is>
      </c>
      <c r="J629" s="23" t="n">
        <v>49</v>
      </c>
      <c r="K629" s="115" t="n">
        <v>50</v>
      </c>
      <c r="L629" s="25">
        <f>K629/J629</f>
        <v/>
      </c>
      <c r="M629" s="26" t="n">
        <v>0.65</v>
      </c>
      <c r="N629" s="25">
        <f>LEFT(I629,FIND("X",I629)-1)*RIGHT(I629,LEN(I629)-FIND("X",I629)-1)*M629</f>
        <v/>
      </c>
      <c r="O629" s="27">
        <f>(N629*L629)/1000</f>
        <v/>
      </c>
    </row>
    <row r="630" ht="15" customHeight="1">
      <c r="A630" s="149" t="n">
        <v>9</v>
      </c>
      <c r="B630" s="150" t="inlineStr">
        <is>
          <t>Bull HC 45</t>
        </is>
      </c>
      <c r="C630" s="138" t="inlineStr">
        <is>
          <t>CRPL</t>
        </is>
      </c>
      <c r="D630" s="29" t="inlineStr">
        <is>
          <t>Top</t>
        </is>
      </c>
      <c r="E630" s="29" t="n">
        <v>100</v>
      </c>
      <c r="F630" s="29" t="inlineStr">
        <is>
          <t>Single</t>
        </is>
      </c>
      <c r="G630" s="29" t="n"/>
      <c r="H630" s="29" t="inlineStr">
        <is>
          <t>163 X 210</t>
        </is>
      </c>
      <c r="I630" s="29" t="inlineStr">
        <is>
          <t>14 X 18</t>
        </is>
      </c>
      <c r="J630" s="29" t="n">
        <v>4</v>
      </c>
      <c r="K630" s="114" t="n"/>
      <c r="L630" s="31">
        <f>K630/J630</f>
        <v/>
      </c>
      <c r="M630" s="32" t="n">
        <v>1.906191369606004</v>
      </c>
      <c r="N630" s="31">
        <f>LEFT(I630,FIND("X",I630)-1)*RIGHT(I630,LEN(I630)-FIND("X",I630)-1)*M630</f>
        <v/>
      </c>
      <c r="O630" s="33">
        <f>(N630*L630)/1000</f>
        <v/>
      </c>
    </row>
    <row r="631" ht="15" customHeight="1">
      <c r="A631" s="133" t="n"/>
      <c r="B631" s="133" t="n"/>
      <c r="C631" s="136" t="n"/>
      <c r="D631" s="11" t="inlineStr">
        <is>
          <t>Bottom</t>
        </is>
      </c>
      <c r="E631" s="29" t="n">
        <v>70</v>
      </c>
      <c r="F631" s="29" t="inlineStr">
        <is>
          <t>Single</t>
        </is>
      </c>
      <c r="G631" s="29" t="n"/>
      <c r="H631" s="29" t="inlineStr">
        <is>
          <t>163 X 210</t>
        </is>
      </c>
      <c r="I631" s="29" t="inlineStr">
        <is>
          <t>14 X 18</t>
        </is>
      </c>
      <c r="J631" s="29" t="n">
        <v>4</v>
      </c>
      <c r="K631" s="34" t="n"/>
      <c r="L631" s="14">
        <f>K631/J631</f>
        <v/>
      </c>
      <c r="M631" s="15" t="n">
        <v>1.269736842105263</v>
      </c>
      <c r="N631" s="14">
        <f>LEFT(I631,FIND("X",I631)-1)*RIGHT(I631,LEN(I631)-FIND("X",I631)-1)*M631</f>
        <v/>
      </c>
      <c r="O631" s="16">
        <f>(N631*L631)/1000</f>
        <v/>
      </c>
    </row>
    <row r="632" ht="15.75" customHeight="1" thickBot="1">
      <c r="A632" s="135" t="n"/>
      <c r="B632" s="135" t="n"/>
      <c r="C632" s="22" t="inlineStr">
        <is>
          <t>HCC 1.52</t>
        </is>
      </c>
      <c r="D632" s="23" t="inlineStr">
        <is>
          <t>-</t>
        </is>
      </c>
      <c r="E632" s="23" t="n">
        <v>60</v>
      </c>
      <c r="F632" s="23" t="inlineStr">
        <is>
          <t>Single</t>
        </is>
      </c>
      <c r="G632" s="23" t="n"/>
      <c r="H632" s="23" t="inlineStr">
        <is>
          <t>191 X 241</t>
        </is>
      </c>
      <c r="I632" s="23" t="inlineStr">
        <is>
          <t>20 X 25</t>
        </is>
      </c>
      <c r="J632" s="23" t="n">
        <v>6</v>
      </c>
      <c r="K632" s="115" t="n"/>
      <c r="L632" s="25">
        <f>K632/J632</f>
        <v/>
      </c>
      <c r="M632" s="26" t="n">
        <v>1.3</v>
      </c>
      <c r="N632" s="25">
        <f>LEFT(I632,FIND("X",I632)-1)*RIGHT(I632,LEN(I632)-FIND("X",I632)-1)*M632</f>
        <v/>
      </c>
      <c r="O632" s="27">
        <f>(N632*L632)/1000</f>
        <v/>
      </c>
    </row>
    <row r="633" ht="15" customHeight="1">
      <c r="A633" s="149" t="n">
        <v>10</v>
      </c>
      <c r="B633" s="150" t="inlineStr">
        <is>
          <t>Bull HC 46</t>
        </is>
      </c>
      <c r="C633" s="138" t="inlineStr">
        <is>
          <t>CRPL</t>
        </is>
      </c>
      <c r="D633" s="29" t="inlineStr">
        <is>
          <t>Top</t>
        </is>
      </c>
      <c r="E633" s="29" t="n">
        <v>100</v>
      </c>
      <c r="F633" s="29" t="inlineStr">
        <is>
          <t>Single</t>
        </is>
      </c>
      <c r="G633" s="29" t="n"/>
      <c r="H633" s="29" t="inlineStr">
        <is>
          <t>129 X 407</t>
        </is>
      </c>
      <c r="I633" s="29" t="inlineStr">
        <is>
          <t>16.5 X 22.5</t>
        </is>
      </c>
      <c r="J633" s="29" t="n">
        <v>4</v>
      </c>
      <c r="K633" s="114" t="n"/>
      <c r="L633" s="31">
        <f>K633/J633</f>
        <v/>
      </c>
      <c r="M633" s="32" t="n">
        <v>1.906191369606004</v>
      </c>
      <c r="N633" s="31">
        <f>LEFT(I633,FIND("X",I633)-1)*RIGHT(I633,LEN(I633)-FIND("X",I633)-1)*M633</f>
        <v/>
      </c>
      <c r="O633" s="33">
        <f>(N633*L633)/1000</f>
        <v/>
      </c>
    </row>
    <row r="634" ht="15" customHeight="1">
      <c r="A634" s="133" t="n"/>
      <c r="B634" s="133" t="n"/>
      <c r="C634" s="136" t="n"/>
      <c r="D634" s="11" t="inlineStr">
        <is>
          <t>Bottom</t>
        </is>
      </c>
      <c r="E634" s="29" t="n">
        <v>70</v>
      </c>
      <c r="F634" s="29" t="inlineStr">
        <is>
          <t>Single</t>
        </is>
      </c>
      <c r="G634" s="29" t="n"/>
      <c r="H634" s="29" t="inlineStr">
        <is>
          <t>129 X 407</t>
        </is>
      </c>
      <c r="I634" s="29" t="inlineStr">
        <is>
          <t>16.5 X 22.5</t>
        </is>
      </c>
      <c r="J634" s="29" t="n">
        <v>4</v>
      </c>
      <c r="K634" s="34" t="n"/>
      <c r="L634" s="14">
        <f>K634/J634</f>
        <v/>
      </c>
      <c r="M634" s="15" t="n">
        <v>1.269736842105263</v>
      </c>
      <c r="N634" s="14">
        <f>LEFT(I634,FIND("X",I634)-1)*RIGHT(I634,LEN(I634)-FIND("X",I634)-1)*M634</f>
        <v/>
      </c>
      <c r="O634" s="16">
        <f>(N634*L634)/1000</f>
        <v/>
      </c>
    </row>
    <row r="635" ht="15.75" customHeight="1" thickBot="1">
      <c r="A635" s="135" t="n"/>
      <c r="B635" s="135" t="n"/>
      <c r="C635" s="22" t="inlineStr">
        <is>
          <t>HCC 1.52</t>
        </is>
      </c>
      <c r="D635" s="23" t="inlineStr">
        <is>
          <t>-</t>
        </is>
      </c>
      <c r="E635" s="23" t="n">
        <v>60</v>
      </c>
      <c r="F635" s="23" t="inlineStr">
        <is>
          <t>Single</t>
        </is>
      </c>
      <c r="G635" s="23" t="n"/>
      <c r="H635" s="23" t="inlineStr">
        <is>
          <t>156 X 438</t>
        </is>
      </c>
      <c r="I635" s="23" t="inlineStr">
        <is>
          <t>18 X 21</t>
        </is>
      </c>
      <c r="J635" s="23" t="n">
        <v>3</v>
      </c>
      <c r="K635" s="115" t="n"/>
      <c r="L635" s="25">
        <f>K635/J635</f>
        <v/>
      </c>
      <c r="M635" s="26" t="n">
        <v>1.3</v>
      </c>
      <c r="N635" s="25">
        <f>LEFT(I635,FIND("X",I635)-1)*RIGHT(I635,LEN(I635)-FIND("X",I635)-1)*M635</f>
        <v/>
      </c>
      <c r="O635" s="27">
        <f>(N635*L635)/1000</f>
        <v/>
      </c>
    </row>
    <row r="636" ht="15" customHeight="1">
      <c r="A636" s="149" t="n">
        <v>11</v>
      </c>
      <c r="B636" s="150" t="inlineStr">
        <is>
          <t>Bull HC 55</t>
        </is>
      </c>
      <c r="C636" s="138" t="inlineStr">
        <is>
          <t>CRPL</t>
        </is>
      </c>
      <c r="D636" s="29" t="inlineStr">
        <is>
          <t>Top</t>
        </is>
      </c>
      <c r="E636" s="29" t="n">
        <v>100</v>
      </c>
      <c r="F636" s="29" t="inlineStr">
        <is>
          <t>Single</t>
        </is>
      </c>
      <c r="G636" s="29" t="n"/>
      <c r="H636" s="29" t="inlineStr">
        <is>
          <t>230 X 312</t>
        </is>
      </c>
      <c r="I636" s="29" t="inlineStr">
        <is>
          <t>13 X 19</t>
        </is>
      </c>
      <c r="J636" s="29" t="n">
        <v>2</v>
      </c>
      <c r="K636" s="114" t="n"/>
      <c r="L636" s="31">
        <f>K636/J636</f>
        <v/>
      </c>
      <c r="M636" s="32" t="n">
        <v>1.906191369606004</v>
      </c>
      <c r="N636" s="31">
        <f>LEFT(I636,FIND("X",I636)-1)*RIGHT(I636,LEN(I636)-FIND("X",I636)-1)*M636</f>
        <v/>
      </c>
      <c r="O636" s="33">
        <f>(N636*L636)/1000</f>
        <v/>
      </c>
    </row>
    <row r="637" ht="15" customHeight="1">
      <c r="A637" s="133" t="n"/>
      <c r="B637" s="133" t="n"/>
      <c r="C637" s="136" t="n"/>
      <c r="D637" s="11" t="inlineStr">
        <is>
          <t>Bottom</t>
        </is>
      </c>
      <c r="E637" s="29" t="n">
        <v>70</v>
      </c>
      <c r="F637" s="29" t="inlineStr">
        <is>
          <t>Single</t>
        </is>
      </c>
      <c r="G637" s="29" t="n"/>
      <c r="H637" s="29" t="inlineStr">
        <is>
          <t>230 X 312</t>
        </is>
      </c>
      <c r="I637" s="29" t="inlineStr">
        <is>
          <t>13 X 19</t>
        </is>
      </c>
      <c r="J637" s="29" t="n">
        <v>2</v>
      </c>
      <c r="K637" s="34" t="n"/>
      <c r="L637" s="14">
        <f>K637/J637</f>
        <v/>
      </c>
      <c r="M637" s="15" t="n">
        <v>1.269736842105263</v>
      </c>
      <c r="N637" s="14">
        <f>LEFT(I637,FIND("X",I637)-1)*RIGHT(I637,LEN(I637)-FIND("X",I637)-1)*M637</f>
        <v/>
      </c>
      <c r="O637" s="16">
        <f>(N637*L637)/1000</f>
        <v/>
      </c>
    </row>
    <row r="638" ht="15.75" customHeight="1" thickBot="1">
      <c r="A638" s="135" t="n"/>
      <c r="B638" s="135" t="n"/>
      <c r="C638" s="22" t="inlineStr">
        <is>
          <t>HCC 1.52</t>
        </is>
      </c>
      <c r="D638" s="23" t="inlineStr">
        <is>
          <t>-</t>
        </is>
      </c>
      <c r="E638" s="23" t="n">
        <v>60</v>
      </c>
      <c r="F638" s="23" t="inlineStr">
        <is>
          <t>Single</t>
        </is>
      </c>
      <c r="G638" s="23" t="n"/>
      <c r="H638" s="23" t="inlineStr">
        <is>
          <t>254 X 343</t>
        </is>
      </c>
      <c r="I638" s="23" t="inlineStr">
        <is>
          <t>22 X 27</t>
        </is>
      </c>
      <c r="J638" s="23" t="n">
        <v>4</v>
      </c>
      <c r="K638" s="115" t="n"/>
      <c r="L638" s="25">
        <f>K638/J638</f>
        <v/>
      </c>
      <c r="M638" s="26" t="n">
        <v>1.3</v>
      </c>
      <c r="N638" s="25">
        <f>LEFT(I638,FIND("X",I638)-1)*RIGHT(I638,LEN(I638)-FIND("X",I638)-1)*M638</f>
        <v/>
      </c>
      <c r="O638" s="27">
        <f>(N638*L638)/1000</f>
        <v/>
      </c>
    </row>
    <row r="639" ht="15" customHeight="1">
      <c r="A639" s="149" t="n">
        <v>11</v>
      </c>
      <c r="B639" s="150" t="inlineStr">
        <is>
          <t>Bull HC 46 STS</t>
        </is>
      </c>
      <c r="C639" s="138" t="inlineStr">
        <is>
          <t>CRPL</t>
        </is>
      </c>
      <c r="D639" s="29" t="inlineStr">
        <is>
          <t>Top</t>
        </is>
      </c>
      <c r="E639" s="29" t="n">
        <v>100</v>
      </c>
      <c r="F639" s="29" t="inlineStr">
        <is>
          <t>Single</t>
        </is>
      </c>
      <c r="G639" s="29" t="n"/>
      <c r="H639" s="29" t="inlineStr">
        <is>
          <t>129 X 407</t>
        </is>
      </c>
      <c r="I639" s="29" t="inlineStr">
        <is>
          <t>16.5 X 22.5</t>
        </is>
      </c>
      <c r="J639" s="29" t="n">
        <v>4</v>
      </c>
      <c r="K639" s="114" t="n"/>
      <c r="L639" s="31">
        <f>K639/J639</f>
        <v/>
      </c>
      <c r="M639" s="32" t="n">
        <v>1.906191369606004</v>
      </c>
      <c r="N639" s="31">
        <f>LEFT(I639,FIND("X",I639)-1)*RIGHT(I639,LEN(I639)-FIND("X",I639)-1)*M639</f>
        <v/>
      </c>
      <c r="O639" s="33">
        <f>(N639*L639)/1000</f>
        <v/>
      </c>
    </row>
    <row r="640" ht="15" customHeight="1">
      <c r="A640" s="133" t="n"/>
      <c r="B640" s="133" t="n"/>
      <c r="C640" s="136" t="n"/>
      <c r="D640" s="11" t="inlineStr">
        <is>
          <t>Bottom</t>
        </is>
      </c>
      <c r="E640" s="29" t="n">
        <v>70</v>
      </c>
      <c r="F640" s="29" t="inlineStr">
        <is>
          <t>Single</t>
        </is>
      </c>
      <c r="G640" s="29" t="n"/>
      <c r="H640" s="29" t="inlineStr">
        <is>
          <t>129 X 407</t>
        </is>
      </c>
      <c r="I640" s="29" t="inlineStr">
        <is>
          <t>16.5 X 22.5</t>
        </is>
      </c>
      <c r="J640" s="29" t="n">
        <v>4</v>
      </c>
      <c r="K640" s="34" t="n"/>
      <c r="L640" s="14">
        <f>K640/J640</f>
        <v/>
      </c>
      <c r="M640" s="15" t="n">
        <v>1.269736842105263</v>
      </c>
      <c r="N640" s="14">
        <f>LEFT(I640,FIND("X",I640)-1)*RIGHT(I640,LEN(I640)-FIND("X",I640)-1)*M640</f>
        <v/>
      </c>
      <c r="O640" s="16">
        <f>(N640*L640)/1000</f>
        <v/>
      </c>
    </row>
    <row r="641" ht="15.75" customHeight="1" thickBot="1">
      <c r="A641" s="135" t="n"/>
      <c r="B641" s="135" t="n"/>
      <c r="C641" s="22" t="inlineStr">
        <is>
          <t>HCC 1.52</t>
        </is>
      </c>
      <c r="D641" s="23" t="inlineStr">
        <is>
          <t>-</t>
        </is>
      </c>
      <c r="E641" s="23" t="n">
        <v>60</v>
      </c>
      <c r="F641" s="23" t="inlineStr">
        <is>
          <t>Single</t>
        </is>
      </c>
      <c r="G641" s="23" t="n"/>
      <c r="H641" s="23" t="inlineStr">
        <is>
          <t>156 X 438</t>
        </is>
      </c>
      <c r="I641" s="23" t="inlineStr">
        <is>
          <t>18 X 21</t>
        </is>
      </c>
      <c r="J641" s="23" t="n">
        <v>3</v>
      </c>
      <c r="K641" s="115" t="n"/>
      <c r="L641" s="25">
        <f>K641/J641</f>
        <v/>
      </c>
      <c r="M641" s="26" t="n">
        <v>1.3</v>
      </c>
      <c r="N641" s="25">
        <f>LEFT(I641,FIND("X",I641)-1)*RIGHT(I641,LEN(I641)-FIND("X",I641)-1)*M641</f>
        <v/>
      </c>
      <c r="O641" s="27">
        <f>(N641*L641)/1000</f>
        <v/>
      </c>
    </row>
    <row r="642" ht="15" customHeight="1">
      <c r="A642" s="149" t="n">
        <v>12</v>
      </c>
      <c r="B642" s="150" t="inlineStr">
        <is>
          <t>Bull HC 50 STS</t>
        </is>
      </c>
      <c r="C642" s="138" t="inlineStr">
        <is>
          <t>CRPL</t>
        </is>
      </c>
      <c r="D642" s="29" t="inlineStr">
        <is>
          <t>Top</t>
        </is>
      </c>
      <c r="E642" s="29" t="n">
        <v>100</v>
      </c>
      <c r="F642" s="29" t="inlineStr">
        <is>
          <t>Single</t>
        </is>
      </c>
      <c r="G642" s="29" t="n"/>
      <c r="H642" s="29" t="inlineStr">
        <is>
          <t>189 X 557</t>
        </is>
      </c>
      <c r="I642" s="29" t="inlineStr">
        <is>
          <t>16 X 23</t>
        </is>
      </c>
      <c r="J642" s="29" t="n">
        <v>2</v>
      </c>
      <c r="K642" s="114" t="n"/>
      <c r="L642" s="31">
        <f>K642/J642</f>
        <v/>
      </c>
      <c r="M642" s="32" t="n">
        <v>1.906191369606004</v>
      </c>
      <c r="N642" s="31">
        <f>LEFT(I642,FIND("X",I642)-1)*RIGHT(I642,LEN(I642)-FIND("X",I642)-1)*M642</f>
        <v/>
      </c>
      <c r="O642" s="33">
        <f>(N642*L642)/1000</f>
        <v/>
      </c>
    </row>
    <row r="643" ht="15" customHeight="1">
      <c r="A643" s="133" t="n"/>
      <c r="B643" s="133" t="n"/>
      <c r="C643" s="136" t="n"/>
      <c r="D643" s="11" t="inlineStr">
        <is>
          <t>Bottom</t>
        </is>
      </c>
      <c r="E643" s="29" t="n">
        <v>70</v>
      </c>
      <c r="F643" s="29" t="inlineStr">
        <is>
          <t>Single</t>
        </is>
      </c>
      <c r="G643" s="29" t="n"/>
      <c r="H643" s="29" t="inlineStr">
        <is>
          <t>189 X 557</t>
        </is>
      </c>
      <c r="I643" s="29" t="inlineStr">
        <is>
          <t>16 X 23</t>
        </is>
      </c>
      <c r="J643" s="29" t="n">
        <v>2</v>
      </c>
      <c r="K643" s="34" t="n"/>
      <c r="L643" s="14">
        <f>K643/J643</f>
        <v/>
      </c>
      <c r="M643" s="15" t="n">
        <v>1.269736842105263</v>
      </c>
      <c r="N643" s="14">
        <f>LEFT(I643,FIND("X",I643)-1)*RIGHT(I643,LEN(I643)-FIND("X",I643)-1)*M643</f>
        <v/>
      </c>
      <c r="O643" s="16">
        <f>(N643*L643)/1000</f>
        <v/>
      </c>
    </row>
    <row r="644" ht="15.75" customHeight="1" thickBot="1">
      <c r="A644" s="135" t="n"/>
      <c r="B644" s="135" t="n"/>
      <c r="C644" s="22" t="inlineStr">
        <is>
          <t>HCC 1.52</t>
        </is>
      </c>
      <c r="D644" s="23" t="inlineStr">
        <is>
          <t>-</t>
        </is>
      </c>
      <c r="E644" s="23" t="n">
        <v>60</v>
      </c>
      <c r="F644" s="23" t="inlineStr">
        <is>
          <t>Single</t>
        </is>
      </c>
      <c r="G644" s="23" t="n"/>
      <c r="H644" s="23" t="inlineStr">
        <is>
          <t>216 X 584</t>
        </is>
      </c>
      <c r="I644" s="23" t="inlineStr">
        <is>
          <t>19 X 24</t>
        </is>
      </c>
      <c r="J644" s="23" t="n">
        <v>2</v>
      </c>
      <c r="K644" s="115" t="n"/>
      <c r="L644" s="25">
        <f>K644/J644</f>
        <v/>
      </c>
      <c r="M644" s="26" t="n">
        <v>1.3</v>
      </c>
      <c r="N644" s="25">
        <f>LEFT(I644,FIND("X",I644)-1)*RIGHT(I644,LEN(I644)-FIND("X",I644)-1)*M644</f>
        <v/>
      </c>
      <c r="O644" s="27">
        <f>(N644*L644)/1000</f>
        <v/>
      </c>
    </row>
    <row r="645" ht="15" customHeight="1">
      <c r="A645" s="149" t="n">
        <v>13</v>
      </c>
      <c r="B645" s="150" t="inlineStr">
        <is>
          <t>Bull HC 55 STS</t>
        </is>
      </c>
      <c r="C645" s="138" t="inlineStr">
        <is>
          <t>CRPL</t>
        </is>
      </c>
      <c r="D645" s="29" t="inlineStr">
        <is>
          <t>Top</t>
        </is>
      </c>
      <c r="E645" s="29" t="n">
        <v>100</v>
      </c>
      <c r="F645" s="29" t="inlineStr">
        <is>
          <t>Single</t>
        </is>
      </c>
      <c r="G645" s="29" t="n"/>
      <c r="H645" s="29" t="inlineStr">
        <is>
          <t>230 X 312</t>
        </is>
      </c>
      <c r="I645" s="29" t="inlineStr">
        <is>
          <t>13 X 19</t>
        </is>
      </c>
      <c r="J645" s="29" t="n">
        <v>2</v>
      </c>
      <c r="K645" s="114" t="n"/>
      <c r="L645" s="31">
        <f>K645/J645</f>
        <v/>
      </c>
      <c r="M645" s="32" t="n">
        <v>1.906191369606004</v>
      </c>
      <c r="N645" s="31">
        <f>LEFT(I645,FIND("X",I645)-1)*RIGHT(I645,LEN(I645)-FIND("X",I645)-1)*M645</f>
        <v/>
      </c>
      <c r="O645" s="33">
        <f>(N645*L645)/1000</f>
        <v/>
      </c>
    </row>
    <row r="646" ht="15" customHeight="1">
      <c r="A646" s="133" t="n"/>
      <c r="B646" s="133" t="n"/>
      <c r="C646" s="136" t="n"/>
      <c r="D646" s="11" t="inlineStr">
        <is>
          <t>Bottom</t>
        </is>
      </c>
      <c r="E646" s="29" t="n">
        <v>70</v>
      </c>
      <c r="F646" s="29" t="inlineStr">
        <is>
          <t>Single</t>
        </is>
      </c>
      <c r="G646" s="29" t="n"/>
      <c r="H646" s="29" t="inlineStr">
        <is>
          <t>230 X 312</t>
        </is>
      </c>
      <c r="I646" s="29" t="inlineStr">
        <is>
          <t>13 X 19</t>
        </is>
      </c>
      <c r="J646" s="29" t="n">
        <v>2</v>
      </c>
      <c r="K646" s="34" t="n"/>
      <c r="L646" s="14">
        <f>K646/J646</f>
        <v/>
      </c>
      <c r="M646" s="15" t="n">
        <v>1.269736842105263</v>
      </c>
      <c r="N646" s="14">
        <f>LEFT(I646,FIND("X",I646)-1)*RIGHT(I646,LEN(I646)-FIND("X",I646)-1)*M646</f>
        <v/>
      </c>
      <c r="O646" s="16">
        <f>(N646*L646)/1000</f>
        <v/>
      </c>
    </row>
    <row r="647" ht="15.75" customHeight="1" thickBot="1">
      <c r="A647" s="135" t="n"/>
      <c r="B647" s="135" t="n"/>
      <c r="C647" s="22" t="inlineStr">
        <is>
          <t>HCC 1.52</t>
        </is>
      </c>
      <c r="D647" s="23" t="inlineStr">
        <is>
          <t>-</t>
        </is>
      </c>
      <c r="E647" s="23" t="n">
        <v>60</v>
      </c>
      <c r="F647" s="23" t="inlineStr">
        <is>
          <t>Single</t>
        </is>
      </c>
      <c r="G647" s="23" t="n"/>
      <c r="H647" s="23" t="inlineStr">
        <is>
          <t>254 X 343</t>
        </is>
      </c>
      <c r="I647" s="23" t="inlineStr">
        <is>
          <t>22 X 27</t>
        </is>
      </c>
      <c r="J647" s="23" t="n">
        <v>4</v>
      </c>
      <c r="K647" s="115" t="n"/>
      <c r="L647" s="25">
        <f>K647/J647</f>
        <v/>
      </c>
      <c r="M647" s="26" t="n">
        <v>1.3</v>
      </c>
      <c r="N647" s="25">
        <f>LEFT(I647,FIND("X",I647)-1)*RIGHT(I647,LEN(I647)-FIND("X",I647)-1)*M647</f>
        <v/>
      </c>
      <c r="O647" s="27">
        <f>(N647*L647)/1000</f>
        <v/>
      </c>
    </row>
    <row r="648" ht="15" customHeight="1">
      <c r="A648" s="149" t="n">
        <v>1</v>
      </c>
      <c r="B648" s="150" t="inlineStr">
        <is>
          <t>Bull DC 10</t>
        </is>
      </c>
      <c r="C648" s="138" t="inlineStr">
        <is>
          <t>NG</t>
        </is>
      </c>
      <c r="D648" s="29" t="inlineStr">
        <is>
          <t>Top</t>
        </is>
      </c>
      <c r="E648" s="29" t="n">
        <v>30</v>
      </c>
      <c r="F648" s="29" t="inlineStr">
        <is>
          <t>Single</t>
        </is>
      </c>
      <c r="G648" s="29" t="n"/>
      <c r="H648" s="29" t="inlineStr">
        <is>
          <t>57.5 X 42</t>
        </is>
      </c>
      <c r="I648" s="29" t="inlineStr">
        <is>
          <t>17.5 X 23</t>
        </is>
      </c>
      <c r="J648" s="29" t="n">
        <v>81</v>
      </c>
      <c r="K648" s="116" t="n">
        <v>41280</v>
      </c>
      <c r="L648" s="31">
        <f>K648/J648</f>
        <v/>
      </c>
      <c r="M648" s="32" t="n">
        <v>0.5277777777777778</v>
      </c>
      <c r="N648" s="31">
        <f>LEFT(I648,FIND("X",I648)-1)*RIGHT(I648,LEN(I648)-FIND("X",I648)-1)*M648</f>
        <v/>
      </c>
      <c r="O648" s="33">
        <f>(N648*L648)/1000</f>
        <v/>
      </c>
    </row>
    <row r="649" ht="15" customHeight="1">
      <c r="A649" s="133" t="n"/>
      <c r="B649" s="133" t="n"/>
      <c r="C649" s="136" t="n"/>
      <c r="D649" s="11" t="inlineStr">
        <is>
          <t>Bottom</t>
        </is>
      </c>
      <c r="E649" s="29" t="n">
        <v>30</v>
      </c>
      <c r="F649" s="29" t="inlineStr">
        <is>
          <t>Single</t>
        </is>
      </c>
      <c r="G649" s="29" t="n"/>
      <c r="H649" s="29" t="inlineStr">
        <is>
          <t>57.5 X 42</t>
        </is>
      </c>
      <c r="I649" s="29" t="inlineStr">
        <is>
          <t>17.5 X 23</t>
        </is>
      </c>
      <c r="J649" s="29" t="n">
        <v>81</v>
      </c>
      <c r="K649" s="117" t="n">
        <v>41280</v>
      </c>
      <c r="L649" s="14">
        <f>K649/J649</f>
        <v/>
      </c>
      <c r="M649" s="15" t="n">
        <v>0.5277777777777778</v>
      </c>
      <c r="N649" s="14">
        <f>LEFT(I649,FIND("X",I649)-1)*RIGHT(I649,LEN(I649)-FIND("X",I649)-1)*M649</f>
        <v/>
      </c>
      <c r="O649" s="16">
        <f>(N649*L649)/1000</f>
        <v/>
      </c>
    </row>
    <row r="650" ht="15.75" customHeight="1" thickBot="1">
      <c r="A650" s="135" t="n"/>
      <c r="B650" s="135" t="n"/>
      <c r="C650" s="118" t="inlineStr">
        <is>
          <t>KSCFG A-28</t>
        </is>
      </c>
      <c r="D650" s="23" t="inlineStr">
        <is>
          <t>-</t>
        </is>
      </c>
      <c r="E650" s="23" t="n">
        <v>15</v>
      </c>
      <c r="F650" s="23" t="inlineStr">
        <is>
          <t>Single</t>
        </is>
      </c>
      <c r="G650" s="23" t="n"/>
      <c r="H650" s="23" t="inlineStr">
        <is>
          <t>57 X 73</t>
        </is>
      </c>
      <c r="I650" s="23" t="inlineStr">
        <is>
          <t>20 X 21</t>
        </is>
      </c>
      <c r="J650" s="23" t="n">
        <v>49</v>
      </c>
      <c r="K650" s="119" t="n">
        <v>41280</v>
      </c>
      <c r="L650" s="25">
        <f>K650/J650</f>
        <v/>
      </c>
      <c r="M650" s="26" t="n">
        <v>0.3381642512077295</v>
      </c>
      <c r="N650" s="25">
        <f>LEFT(I650,FIND("X",I650)-1)*RIGHT(I650,LEN(I650)-FIND("X",I650)-1)*M650</f>
        <v/>
      </c>
      <c r="O650" s="27">
        <f>(N650*L650)/1000</f>
        <v/>
      </c>
    </row>
    <row r="651" ht="15" customHeight="1">
      <c r="A651" s="149" t="n">
        <v>2</v>
      </c>
      <c r="B651" s="150" t="inlineStr">
        <is>
          <t>Bull DC 12</t>
        </is>
      </c>
      <c r="C651" s="138" t="inlineStr">
        <is>
          <t>NG</t>
        </is>
      </c>
      <c r="D651" s="29" t="inlineStr">
        <is>
          <t>Top</t>
        </is>
      </c>
      <c r="E651" s="29" t="n">
        <v>30</v>
      </c>
      <c r="F651" s="29" t="inlineStr">
        <is>
          <t>Single</t>
        </is>
      </c>
      <c r="G651" s="29" t="n"/>
      <c r="H651" s="29" t="inlineStr">
        <is>
          <t>94 X 52</t>
        </is>
      </c>
      <c r="I651" s="29" t="inlineStr">
        <is>
          <t>14.5 X 20.5</t>
        </is>
      </c>
      <c r="J651" s="29" t="n">
        <v>30</v>
      </c>
      <c r="K651" s="116" t="n">
        <v>4800</v>
      </c>
      <c r="L651" s="31">
        <f>K651/J651</f>
        <v/>
      </c>
      <c r="M651" s="32" t="n">
        <v>0.5277777777777778</v>
      </c>
      <c r="N651" s="31">
        <f>LEFT(I651,FIND("X",I651)-1)*RIGHT(I651,LEN(I651)-FIND("X",I651)-1)*M651</f>
        <v/>
      </c>
      <c r="O651" s="33">
        <f>(N651*L651)/1000</f>
        <v/>
      </c>
    </row>
    <row r="652" ht="15" customHeight="1">
      <c r="A652" s="133" t="n"/>
      <c r="B652" s="133" t="n"/>
      <c r="C652" s="136" t="n"/>
      <c r="D652" s="11" t="inlineStr">
        <is>
          <t>Bottom</t>
        </is>
      </c>
      <c r="E652" s="29" t="n">
        <v>30</v>
      </c>
      <c r="F652" s="29" t="inlineStr">
        <is>
          <t>Single</t>
        </is>
      </c>
      <c r="G652" s="29" t="n"/>
      <c r="H652" s="29" t="inlineStr">
        <is>
          <t>94 X 52</t>
        </is>
      </c>
      <c r="I652" s="29" t="inlineStr">
        <is>
          <t>14.5 X 20.5</t>
        </is>
      </c>
      <c r="J652" s="29" t="n">
        <v>30</v>
      </c>
      <c r="K652" s="117" t="n">
        <v>4800</v>
      </c>
      <c r="L652" s="14">
        <f>K652/J652</f>
        <v/>
      </c>
      <c r="M652" s="15" t="n">
        <v>0.5277777777777778</v>
      </c>
      <c r="N652" s="14">
        <f>LEFT(I652,FIND("X",I652)-1)*RIGHT(I652,LEN(I652)-FIND("X",I652)-1)*M652</f>
        <v/>
      </c>
      <c r="O652" s="16">
        <f>(N652*L652)/1000</f>
        <v/>
      </c>
    </row>
    <row r="653" ht="15.75" customHeight="1" thickBot="1">
      <c r="A653" s="135" t="n"/>
      <c r="B653" s="135" t="n"/>
      <c r="C653" s="118" t="inlineStr">
        <is>
          <t>KSCFG A-28</t>
        </is>
      </c>
      <c r="D653" s="23" t="inlineStr">
        <is>
          <t>-</t>
        </is>
      </c>
      <c r="E653" s="23" t="n">
        <v>15</v>
      </c>
      <c r="F653" s="23" t="inlineStr">
        <is>
          <t>Single</t>
        </is>
      </c>
      <c r="G653" s="23" t="n"/>
      <c r="H653" s="23" t="inlineStr">
        <is>
          <t>70 X 109</t>
        </is>
      </c>
      <c r="I653" s="23" t="inlineStr">
        <is>
          <t>20 X 21</t>
        </is>
      </c>
      <c r="J653" s="23" t="n">
        <v>24</v>
      </c>
      <c r="K653" s="119" t="n">
        <v>4800</v>
      </c>
      <c r="L653" s="25">
        <f>K653/J653</f>
        <v/>
      </c>
      <c r="M653" s="26" t="n">
        <v>0.3381642512077295</v>
      </c>
      <c r="N653" s="25">
        <f>LEFT(I653,FIND("X",I653)-1)*RIGHT(I653,LEN(I653)-FIND("X",I653)-1)*M653</f>
        <v/>
      </c>
      <c r="O653" s="27">
        <f>(N653*L653)/1000</f>
        <v/>
      </c>
    </row>
    <row r="654" ht="15" customHeight="1">
      <c r="A654" s="149" t="n">
        <v>3</v>
      </c>
      <c r="B654" s="150" t="inlineStr">
        <is>
          <t>Bull DC 14</t>
        </is>
      </c>
      <c r="C654" s="138" t="inlineStr">
        <is>
          <t>NG</t>
        </is>
      </c>
      <c r="D654" s="29" t="inlineStr">
        <is>
          <t>Top</t>
        </is>
      </c>
      <c r="E654" s="29" t="n">
        <v>30</v>
      </c>
      <c r="F654" s="29" t="inlineStr">
        <is>
          <t>Single</t>
        </is>
      </c>
      <c r="G654" s="29" t="n"/>
      <c r="H654" s="29" t="inlineStr">
        <is>
          <t>120 X 65</t>
        </is>
      </c>
      <c r="I654" s="29" t="inlineStr">
        <is>
          <t>17.5 X 20.5</t>
        </is>
      </c>
      <c r="J654" s="29" t="n">
        <v>24</v>
      </c>
      <c r="K654" s="116" t="n">
        <v>1680</v>
      </c>
      <c r="L654" s="31">
        <f>K654/J654</f>
        <v/>
      </c>
      <c r="M654" s="32" t="n">
        <v>0.5277777777777778</v>
      </c>
      <c r="N654" s="31">
        <f>LEFT(I654,FIND("X",I654)-1)*RIGHT(I654,LEN(I654)-FIND("X",I654)-1)*M654</f>
        <v/>
      </c>
      <c r="O654" s="33">
        <f>(N654*L654)/1000</f>
        <v/>
      </c>
    </row>
    <row r="655" ht="15" customHeight="1">
      <c r="A655" s="133" t="n"/>
      <c r="B655" s="133" t="n"/>
      <c r="C655" s="136" t="n"/>
      <c r="D655" s="11" t="inlineStr">
        <is>
          <t>Bottom</t>
        </is>
      </c>
      <c r="E655" s="29" t="n">
        <v>30</v>
      </c>
      <c r="F655" s="29" t="inlineStr">
        <is>
          <t>Single</t>
        </is>
      </c>
      <c r="G655" s="29" t="n"/>
      <c r="H655" s="29" t="inlineStr">
        <is>
          <t>120 X 65</t>
        </is>
      </c>
      <c r="I655" s="29" t="inlineStr">
        <is>
          <t>17.5 X 20.5</t>
        </is>
      </c>
      <c r="J655" s="29" t="n">
        <v>24</v>
      </c>
      <c r="K655" s="117" t="n">
        <v>1680</v>
      </c>
      <c r="L655" s="14">
        <f>K655/J655</f>
        <v/>
      </c>
      <c r="M655" s="15" t="n">
        <v>0.5277777777777778</v>
      </c>
      <c r="N655" s="14">
        <f>LEFT(I655,FIND("X",I655)-1)*RIGHT(I655,LEN(I655)-FIND("X",I655)-1)*M655</f>
        <v/>
      </c>
      <c r="O655" s="16">
        <f>(N655*L655)/1000</f>
        <v/>
      </c>
    </row>
    <row r="656" ht="15.75" customHeight="1" thickBot="1">
      <c r="A656" s="135" t="n"/>
      <c r="B656" s="135" t="n"/>
      <c r="C656" s="118" t="inlineStr">
        <is>
          <t>KSCFG A-28</t>
        </is>
      </c>
      <c r="D656" s="23" t="inlineStr">
        <is>
          <t>-</t>
        </is>
      </c>
      <c r="E656" s="23" t="n">
        <v>15</v>
      </c>
      <c r="F656" s="23" t="inlineStr">
        <is>
          <t>Single</t>
        </is>
      </c>
      <c r="G656" s="23" t="n"/>
      <c r="H656" s="23" t="inlineStr">
        <is>
          <t>84 X 138</t>
        </is>
      </c>
      <c r="I656" s="23" t="inlineStr">
        <is>
          <t>25 X 25</t>
        </is>
      </c>
      <c r="J656" s="23" t="n">
        <v>24</v>
      </c>
      <c r="K656" s="119" t="n">
        <v>1680</v>
      </c>
      <c r="L656" s="25">
        <f>K656/J656</f>
        <v/>
      </c>
      <c r="M656" s="26" t="n">
        <v>0.3381642512077295</v>
      </c>
      <c r="N656" s="25">
        <f>LEFT(I656,FIND("X",I656)-1)*RIGHT(I656,LEN(I656)-FIND("X",I656)-1)*M656</f>
        <v/>
      </c>
      <c r="O656" s="27">
        <f>(N656*L656)/1000</f>
        <v/>
      </c>
    </row>
    <row r="657" ht="15" customHeight="1">
      <c r="A657" s="149" t="n">
        <v>4</v>
      </c>
      <c r="B657" s="150" t="inlineStr">
        <is>
          <t>Bull DC 20</t>
        </is>
      </c>
      <c r="C657" s="138" t="inlineStr">
        <is>
          <t>NG</t>
        </is>
      </c>
      <c r="D657" s="29" t="inlineStr">
        <is>
          <t>Top</t>
        </is>
      </c>
      <c r="E657" s="29" t="n">
        <v>50</v>
      </c>
      <c r="F657" s="29" t="inlineStr">
        <is>
          <t>Single</t>
        </is>
      </c>
      <c r="G657" s="29" t="n"/>
      <c r="H657" s="29" t="inlineStr">
        <is>
          <t>99.5 X 55.5</t>
        </is>
      </c>
      <c r="I657" s="29" t="inlineStr">
        <is>
          <t>15 X 21.5</t>
        </is>
      </c>
      <c r="J657" s="29" t="n">
        <v>30</v>
      </c>
      <c r="K657" s="116" t="n">
        <v>3120</v>
      </c>
      <c r="L657" s="31">
        <f>K657/J657</f>
        <v/>
      </c>
      <c r="M657" s="32" t="n">
        <v>0.9182530795072789</v>
      </c>
      <c r="N657" s="31">
        <f>LEFT(I657,FIND("X",I657)-1)*RIGHT(I657,LEN(I657)-FIND("X",I657)-1)*M657</f>
        <v/>
      </c>
      <c r="O657" s="33">
        <f>(N657*L657)/1000</f>
        <v/>
      </c>
    </row>
    <row r="658" ht="15" customHeight="1">
      <c r="A658" s="133" t="n"/>
      <c r="B658" s="133" t="n"/>
      <c r="C658" s="136" t="n"/>
      <c r="D658" s="11" t="inlineStr">
        <is>
          <t>Bottom</t>
        </is>
      </c>
      <c r="E658" s="29" t="n">
        <v>30</v>
      </c>
      <c r="F658" s="29" t="inlineStr">
        <is>
          <t>Single</t>
        </is>
      </c>
      <c r="G658" s="29" t="n"/>
      <c r="H658" s="29" t="inlineStr">
        <is>
          <t>99.5 X 55.5</t>
        </is>
      </c>
      <c r="I658" s="29" t="inlineStr">
        <is>
          <t>15 X 21.5</t>
        </is>
      </c>
      <c r="J658" s="29" t="n">
        <v>30</v>
      </c>
      <c r="K658" s="117" t="n">
        <v>3120</v>
      </c>
      <c r="L658" s="14">
        <f>K658/J658</f>
        <v/>
      </c>
      <c r="M658" s="15" t="n">
        <v>0.5277777777777778</v>
      </c>
      <c r="N658" s="14">
        <f>LEFT(I658,FIND("X",I658)-1)*RIGHT(I658,LEN(I658)-FIND("X",I658)-1)*M658</f>
        <v/>
      </c>
      <c r="O658" s="16">
        <f>(N658*L658)/1000</f>
        <v/>
      </c>
    </row>
    <row r="659" ht="15.75" customHeight="1" thickBot="1">
      <c r="A659" s="135" t="n"/>
      <c r="B659" s="135" t="n"/>
      <c r="C659" s="118" t="inlineStr">
        <is>
          <t>KSCFG A-28</t>
        </is>
      </c>
      <c r="D659" s="23" t="inlineStr">
        <is>
          <t>-</t>
        </is>
      </c>
      <c r="E659" s="23" t="n">
        <v>15</v>
      </c>
      <c r="F659" s="23" t="inlineStr">
        <is>
          <t>Single</t>
        </is>
      </c>
      <c r="G659" s="23" t="n"/>
      <c r="H659" s="23" t="inlineStr">
        <is>
          <t>74 X 120</t>
        </is>
      </c>
      <c r="I659" s="23" t="inlineStr">
        <is>
          <t>22 X 22</t>
        </is>
      </c>
      <c r="J659" s="23" t="n">
        <v>24</v>
      </c>
      <c r="K659" s="119" t="n">
        <v>3120</v>
      </c>
      <c r="L659" s="25">
        <f>K659/J659</f>
        <v/>
      </c>
      <c r="M659" s="26" t="n">
        <v>0.3381642512077295</v>
      </c>
      <c r="N659" s="25">
        <f>LEFT(I659,FIND("X",I659)-1)*RIGHT(I659,LEN(I659)-FIND("X",I659)-1)*M659</f>
        <v/>
      </c>
      <c r="O659" s="27">
        <f>(N659*L659)/1000</f>
        <v/>
      </c>
    </row>
    <row r="660" ht="15" customHeight="1">
      <c r="A660" s="149" t="n">
        <v>5</v>
      </c>
      <c r="B660" s="150" t="inlineStr">
        <is>
          <t>Bull DC 22</t>
        </is>
      </c>
      <c r="C660" s="138" t="inlineStr">
        <is>
          <t>NG</t>
        </is>
      </c>
      <c r="D660" s="29" t="inlineStr">
        <is>
          <t>Top</t>
        </is>
      </c>
      <c r="E660" s="29" t="n">
        <v>50</v>
      </c>
      <c r="F660" s="29" t="inlineStr">
        <is>
          <t>Single</t>
        </is>
      </c>
      <c r="G660" s="29" t="n"/>
      <c r="H660" s="29" t="inlineStr">
        <is>
          <t>54 X 122</t>
        </is>
      </c>
      <c r="I660" s="29" t="inlineStr">
        <is>
          <t>21 X 26.5</t>
        </is>
      </c>
      <c r="J660" s="29" t="n">
        <v>40</v>
      </c>
      <c r="K660" s="116" t="n">
        <v>800</v>
      </c>
      <c r="L660" s="31">
        <f>K660/J660</f>
        <v/>
      </c>
      <c r="M660" s="32" t="n">
        <v>0.9182530795072789</v>
      </c>
      <c r="N660" s="31">
        <f>LEFT(I660,FIND("X",I660)-1)*RIGHT(I660,LEN(I660)-FIND("X",I660)-1)*M660</f>
        <v/>
      </c>
      <c r="O660" s="33">
        <f>(N660*L660)/1000</f>
        <v/>
      </c>
    </row>
    <row r="661" ht="15" customHeight="1">
      <c r="A661" s="133" t="n"/>
      <c r="B661" s="133" t="n"/>
      <c r="C661" s="136" t="n"/>
      <c r="D661" s="11" t="inlineStr">
        <is>
          <t>Bottom</t>
        </is>
      </c>
      <c r="E661" s="29" t="n">
        <v>50</v>
      </c>
      <c r="F661" s="29" t="inlineStr">
        <is>
          <t>Single</t>
        </is>
      </c>
      <c r="G661" s="29" t="n"/>
      <c r="H661" s="29" t="inlineStr">
        <is>
          <t>54 X 122</t>
        </is>
      </c>
      <c r="I661" s="29" t="inlineStr">
        <is>
          <t>21 X 26.5</t>
        </is>
      </c>
      <c r="J661" s="29" t="n">
        <v>40</v>
      </c>
      <c r="K661" s="117" t="n">
        <v>800</v>
      </c>
      <c r="L661" s="14">
        <f>K661/J661</f>
        <v/>
      </c>
      <c r="M661" s="15" t="n">
        <v>0.9182530795072789</v>
      </c>
      <c r="N661" s="14">
        <f>LEFT(I661,FIND("X",I661)-1)*RIGHT(I661,LEN(I661)-FIND("X",I661)-1)*M661</f>
        <v/>
      </c>
      <c r="O661" s="16">
        <f>(N661*L661)/1000</f>
        <v/>
      </c>
    </row>
    <row r="662" ht="15.75" customHeight="1" thickBot="1">
      <c r="A662" s="135" t="n"/>
      <c r="B662" s="135" t="n"/>
      <c r="C662" s="118" t="inlineStr">
        <is>
          <t>KSCFG A-28</t>
        </is>
      </c>
      <c r="D662" s="23" t="inlineStr">
        <is>
          <t>-</t>
        </is>
      </c>
      <c r="E662" s="23" t="n">
        <v>15</v>
      </c>
      <c r="F662" s="23" t="inlineStr">
        <is>
          <t>Single</t>
        </is>
      </c>
      <c r="G662" s="23" t="n"/>
      <c r="H662" s="23" t="inlineStr">
        <is>
          <t>73 X 140</t>
        </is>
      </c>
      <c r="I662" s="23" t="inlineStr">
        <is>
          <t>25.6 X 44.1</t>
        </is>
      </c>
      <c r="J662" s="23" t="n">
        <v>49</v>
      </c>
      <c r="K662" s="119" t="n">
        <v>800</v>
      </c>
      <c r="L662" s="25">
        <f>K662/J662</f>
        <v/>
      </c>
      <c r="M662" s="26" t="n">
        <v>0.3381642512077295</v>
      </c>
      <c r="N662" s="25">
        <f>LEFT(I662,FIND("X",I662)-1)*RIGHT(I662,LEN(I662)-FIND("X",I662)-1)*M662</f>
        <v/>
      </c>
      <c r="O662" s="27">
        <f>(N662*L662)/1000</f>
        <v/>
      </c>
    </row>
    <row r="663" ht="15" customHeight="1">
      <c r="A663" s="149" t="n">
        <v>6</v>
      </c>
      <c r="B663" s="150" t="inlineStr">
        <is>
          <t>Bull DC 24</t>
        </is>
      </c>
      <c r="C663" s="138" t="inlineStr">
        <is>
          <t>NG</t>
        </is>
      </c>
      <c r="D663" s="29" t="inlineStr">
        <is>
          <t>Top</t>
        </is>
      </c>
      <c r="E663" s="29" t="n">
        <v>50</v>
      </c>
      <c r="F663" s="29" t="inlineStr">
        <is>
          <t>Single</t>
        </is>
      </c>
      <c r="G663" s="29" t="n"/>
      <c r="H663" s="29" t="inlineStr">
        <is>
          <t>54 X 176</t>
        </is>
      </c>
      <c r="I663" s="29" t="inlineStr">
        <is>
          <t>21 X 22</t>
        </is>
      </c>
      <c r="J663" s="29" t="n">
        <v>24</v>
      </c>
      <c r="K663" s="116" t="n">
        <v>400</v>
      </c>
      <c r="L663" s="31">
        <f>K663/J663</f>
        <v/>
      </c>
      <c r="M663" s="32" t="n">
        <v>0.9182530795072789</v>
      </c>
      <c r="N663" s="31">
        <f>LEFT(I663,FIND("X",I663)-1)*RIGHT(I663,LEN(I663)-FIND("X",I663)-1)*M663</f>
        <v/>
      </c>
      <c r="O663" s="33">
        <f>(N663*L663)/1000</f>
        <v/>
      </c>
    </row>
    <row r="664" ht="15" customHeight="1">
      <c r="A664" s="133" t="n"/>
      <c r="B664" s="133" t="n"/>
      <c r="C664" s="136" t="n"/>
      <c r="D664" s="11" t="inlineStr">
        <is>
          <t>Bottom</t>
        </is>
      </c>
      <c r="E664" s="29" t="n">
        <v>50</v>
      </c>
      <c r="F664" s="29" t="inlineStr">
        <is>
          <t>Single</t>
        </is>
      </c>
      <c r="G664" s="29" t="n"/>
      <c r="H664" s="29" t="inlineStr">
        <is>
          <t>54 X 176</t>
        </is>
      </c>
      <c r="I664" s="29" t="inlineStr">
        <is>
          <t>21 X 22</t>
        </is>
      </c>
      <c r="J664" s="29" t="n">
        <v>24</v>
      </c>
      <c r="K664" s="117" t="n">
        <v>400</v>
      </c>
      <c r="L664" s="14">
        <f>K664/J664</f>
        <v/>
      </c>
      <c r="M664" s="15" t="n">
        <v>0.9182530795072789</v>
      </c>
      <c r="N664" s="14">
        <f>LEFT(I664,FIND("X",I664)-1)*RIGHT(I664,LEN(I664)-FIND("X",I664)-1)*M664</f>
        <v/>
      </c>
      <c r="O664" s="16">
        <f>(N664*L664)/1000</f>
        <v/>
      </c>
    </row>
    <row r="665" ht="15.75" customHeight="1" thickBot="1">
      <c r="A665" s="135" t="n"/>
      <c r="B665" s="135" t="n"/>
      <c r="C665" s="118" t="inlineStr">
        <is>
          <t>KSCFG A-28</t>
        </is>
      </c>
      <c r="D665" s="23" t="inlineStr">
        <is>
          <t>-</t>
        </is>
      </c>
      <c r="E665" s="23" t="n">
        <v>15</v>
      </c>
      <c r="F665" s="23" t="inlineStr">
        <is>
          <t>Single</t>
        </is>
      </c>
      <c r="G665" s="23" t="n"/>
      <c r="H665" s="23" t="inlineStr">
        <is>
          <t>73 X 194</t>
        </is>
      </c>
      <c r="I665" s="23" t="inlineStr">
        <is>
          <t>25.6 X 59</t>
        </is>
      </c>
      <c r="J665" s="23" t="n">
        <v>49</v>
      </c>
      <c r="K665" s="119" t="n">
        <v>400</v>
      </c>
      <c r="L665" s="25">
        <f>K665/J665</f>
        <v/>
      </c>
      <c r="M665" s="26" t="n">
        <v>0.3381642512077295</v>
      </c>
      <c r="N665" s="25">
        <f>LEFT(I665,FIND("X",I665)-1)*RIGHT(I665,LEN(I665)-FIND("X",I665)-1)*M665</f>
        <v/>
      </c>
      <c r="O665" s="27">
        <f>(N665*L665)/1000</f>
        <v/>
      </c>
    </row>
    <row r="666" ht="15" customHeight="1">
      <c r="A666" s="149" t="n">
        <v>3</v>
      </c>
      <c r="B666" s="150" t="inlineStr">
        <is>
          <t>Bull DC 33</t>
        </is>
      </c>
      <c r="C666" s="138" t="inlineStr">
        <is>
          <t>NG</t>
        </is>
      </c>
      <c r="D666" s="29" t="inlineStr">
        <is>
          <t>Top</t>
        </is>
      </c>
      <c r="E666" s="29" t="n">
        <v>80</v>
      </c>
      <c r="F666" s="29" t="inlineStr">
        <is>
          <t>Single</t>
        </is>
      </c>
      <c r="G666" s="29" t="n"/>
      <c r="H666" s="29" t="inlineStr">
        <is>
          <t>82 X 111</t>
        </is>
      </c>
      <c r="I666" s="29" t="inlineStr">
        <is>
          <t>22.5 X 24.5</t>
        </is>
      </c>
      <c r="J666" s="29" t="n">
        <v>30</v>
      </c>
      <c r="K666" s="116" t="n">
        <v>800</v>
      </c>
      <c r="L666" s="31">
        <f>K666/J666</f>
        <v/>
      </c>
      <c r="M666" s="32" t="n">
        <v>1.494824016563147</v>
      </c>
      <c r="N666" s="31">
        <f>LEFT(I666,FIND("X",I666)-1)*RIGHT(I666,LEN(I666)-FIND("X",I666)-1)*M666</f>
        <v/>
      </c>
      <c r="O666" s="33">
        <f>(N666*L666)/1000</f>
        <v/>
      </c>
    </row>
    <row r="667" ht="15" customHeight="1">
      <c r="A667" s="133" t="n"/>
      <c r="B667" s="133" t="n"/>
      <c r="C667" s="136" t="n"/>
      <c r="D667" s="11" t="inlineStr">
        <is>
          <t>Bottom</t>
        </is>
      </c>
      <c r="E667" s="29" t="n">
        <v>50</v>
      </c>
      <c r="F667" s="29" t="inlineStr">
        <is>
          <t>Single</t>
        </is>
      </c>
      <c r="G667" s="29" t="n"/>
      <c r="H667" s="29" t="inlineStr">
        <is>
          <t>82 X 111</t>
        </is>
      </c>
      <c r="I667" s="29" t="inlineStr">
        <is>
          <t>22.5 X 24.5</t>
        </is>
      </c>
      <c r="J667" s="29" t="n">
        <v>30</v>
      </c>
      <c r="K667" s="117" t="n">
        <v>800</v>
      </c>
      <c r="L667" s="14">
        <f>K667/J667</f>
        <v/>
      </c>
      <c r="M667" s="15" t="n">
        <v>0.9182530795072789</v>
      </c>
      <c r="N667" s="14">
        <f>LEFT(I667,FIND("X",I667)-1)*RIGHT(I667,LEN(I667)-FIND("X",I667)-1)*M667</f>
        <v/>
      </c>
      <c r="O667" s="16">
        <f>(N667*L667)/1000</f>
        <v/>
      </c>
    </row>
    <row r="668" ht="15.75" customHeight="1" thickBot="1">
      <c r="A668" s="135" t="n"/>
      <c r="B668" s="135" t="n"/>
      <c r="C668" s="118" t="inlineStr">
        <is>
          <t>KSCFG A-28</t>
        </is>
      </c>
      <c r="D668" s="23" t="inlineStr">
        <is>
          <t>-</t>
        </is>
      </c>
      <c r="E668" s="23" t="n">
        <v>15</v>
      </c>
      <c r="F668" s="23" t="inlineStr">
        <is>
          <t>Single</t>
        </is>
      </c>
      <c r="G668" s="23" t="n"/>
      <c r="H668" s="23" t="inlineStr">
        <is>
          <t>102 X 130</t>
        </is>
      </c>
      <c r="I668" s="23" t="inlineStr">
        <is>
          <t>33.6 X 41.3</t>
        </is>
      </c>
      <c r="J668" s="23" t="n">
        <v>49</v>
      </c>
      <c r="K668" s="119" t="n">
        <v>800</v>
      </c>
      <c r="L668" s="25">
        <f>K668/J668</f>
        <v/>
      </c>
      <c r="M668" s="26" t="n">
        <v>0.3381642512077295</v>
      </c>
      <c r="N668" s="25">
        <f>LEFT(I668,FIND("X",I668)-1)*RIGHT(I668,LEN(I668)-FIND("X",I668)-1)*M668</f>
        <v/>
      </c>
      <c r="O668" s="27">
        <f>(N668*L668)/1000</f>
        <v/>
      </c>
    </row>
    <row r="669" ht="15" customHeight="1">
      <c r="A669" s="149" t="n">
        <v>4</v>
      </c>
      <c r="B669" s="150" t="inlineStr">
        <is>
          <t>Bull DC 35</t>
        </is>
      </c>
      <c r="C669" s="138" t="inlineStr">
        <is>
          <t>NG</t>
        </is>
      </c>
      <c r="D669" s="29" t="inlineStr">
        <is>
          <t>Top</t>
        </is>
      </c>
      <c r="E669" s="29" t="n">
        <v>80</v>
      </c>
      <c r="F669" s="29" t="inlineStr">
        <is>
          <t>Single</t>
        </is>
      </c>
      <c r="G669" s="29" t="n"/>
      <c r="H669" s="29" t="inlineStr">
        <is>
          <t>108 X 138</t>
        </is>
      </c>
      <c r="I669" s="29" t="inlineStr">
        <is>
          <t>24 X 24</t>
        </is>
      </c>
      <c r="J669" s="29" t="n">
        <v>20</v>
      </c>
      <c r="K669" s="114" t="n"/>
      <c r="L669" s="31">
        <f>K669/J669</f>
        <v/>
      </c>
      <c r="M669" s="32" t="n">
        <v>1.494824016563147</v>
      </c>
      <c r="N669" s="31">
        <f>LEFT(I669,FIND("X",I669)-1)*RIGHT(I669,LEN(I669)-FIND("X",I669)-1)*M669</f>
        <v/>
      </c>
      <c r="O669" s="33">
        <f>(N669*L669)/1000</f>
        <v/>
      </c>
    </row>
    <row r="670" ht="15" customHeight="1">
      <c r="A670" s="133" t="n"/>
      <c r="B670" s="133" t="n"/>
      <c r="C670" s="136" t="n"/>
      <c r="D670" s="11" t="inlineStr">
        <is>
          <t>Bottom</t>
        </is>
      </c>
      <c r="E670" s="29" t="n">
        <v>50</v>
      </c>
      <c r="F670" s="29" t="inlineStr">
        <is>
          <t>Single</t>
        </is>
      </c>
      <c r="G670" s="29" t="n"/>
      <c r="H670" s="29" t="inlineStr">
        <is>
          <t>108 X 138</t>
        </is>
      </c>
      <c r="I670" s="29" t="inlineStr">
        <is>
          <t>24 X 24</t>
        </is>
      </c>
      <c r="J670" s="29" t="n">
        <v>20</v>
      </c>
      <c r="K670" s="34" t="n"/>
      <c r="L670" s="14">
        <f>K670/J670</f>
        <v/>
      </c>
      <c r="M670" s="15" t="n">
        <v>0.9182530795072789</v>
      </c>
      <c r="N670" s="14">
        <f>LEFT(I670,FIND("X",I670)-1)*RIGHT(I670,LEN(I670)-FIND("X",I670)-1)*M670</f>
        <v/>
      </c>
      <c r="O670" s="16">
        <f>(N670*L670)/1000</f>
        <v/>
      </c>
    </row>
    <row r="671" ht="15.75" customHeight="1" thickBot="1">
      <c r="A671" s="135" t="n"/>
      <c r="B671" s="135" t="n"/>
      <c r="C671" s="118" t="inlineStr">
        <is>
          <t>KSCFG A-28</t>
        </is>
      </c>
      <c r="D671" s="23" t="inlineStr">
        <is>
          <t>-</t>
        </is>
      </c>
      <c r="E671" s="23" t="n">
        <v>15</v>
      </c>
      <c r="F671" s="23" t="inlineStr">
        <is>
          <t>Single</t>
        </is>
      </c>
      <c r="G671" s="23" t="n"/>
      <c r="H671" s="23" t="inlineStr">
        <is>
          <t>127 X 159</t>
        </is>
      </c>
      <c r="I671" s="23" t="inlineStr">
        <is>
          <t>40.5 X 49.3</t>
        </is>
      </c>
      <c r="J671" s="23" t="n">
        <v>49</v>
      </c>
      <c r="K671" s="115" t="n"/>
      <c r="L671" s="25">
        <f>K671/J671</f>
        <v/>
      </c>
      <c r="M671" s="26" t="n">
        <v>0.3381642512077295</v>
      </c>
      <c r="N671" s="25">
        <f>LEFT(I671,FIND("X",I671)-1)*RIGHT(I671,LEN(I671)-FIND("X",I671)-1)*M671</f>
        <v/>
      </c>
      <c r="O671" s="27">
        <f>(N671*L671)/1000</f>
        <v/>
      </c>
    </row>
    <row r="672" ht="15" customHeight="1">
      <c r="A672" s="149" t="n">
        <v>5</v>
      </c>
      <c r="B672" s="150" t="inlineStr">
        <is>
          <t>Bull DC 37</t>
        </is>
      </c>
      <c r="C672" s="138" t="inlineStr">
        <is>
          <t>NG</t>
        </is>
      </c>
      <c r="D672" s="29" t="inlineStr">
        <is>
          <t>Top</t>
        </is>
      </c>
      <c r="E672" s="29" t="n">
        <v>100</v>
      </c>
      <c r="F672" s="29" t="inlineStr">
        <is>
          <t>Single</t>
        </is>
      </c>
      <c r="G672" s="29" t="n"/>
      <c r="H672" s="29" t="inlineStr">
        <is>
          <t>108 X 157</t>
        </is>
      </c>
      <c r="I672" s="29" t="inlineStr">
        <is>
          <t>24 X 27</t>
        </is>
      </c>
      <c r="J672" s="29" t="n">
        <v>20</v>
      </c>
      <c r="K672" s="116" t="n">
        <v>50</v>
      </c>
      <c r="L672" s="31">
        <f>K672/J672</f>
        <v/>
      </c>
      <c r="M672" s="32" t="n">
        <v>1.906191369606004</v>
      </c>
      <c r="N672" s="31">
        <f>LEFT(I672,FIND("X",I672)-1)*RIGHT(I672,LEN(I672)-FIND("X",I672)-1)*M672</f>
        <v/>
      </c>
      <c r="O672" s="33">
        <f>(N672*L672)/1000</f>
        <v/>
      </c>
    </row>
    <row r="673" ht="15" customHeight="1">
      <c r="A673" s="133" t="n"/>
      <c r="B673" s="133" t="n"/>
      <c r="C673" s="136" t="n"/>
      <c r="D673" s="11" t="inlineStr">
        <is>
          <t>Bottom</t>
        </is>
      </c>
      <c r="E673" s="29" t="n">
        <v>50</v>
      </c>
      <c r="F673" s="29" t="inlineStr">
        <is>
          <t>Single</t>
        </is>
      </c>
      <c r="G673" s="29" t="n"/>
      <c r="H673" s="29" t="inlineStr">
        <is>
          <t>108 X 157</t>
        </is>
      </c>
      <c r="I673" s="29" t="inlineStr">
        <is>
          <t>24 X 27</t>
        </is>
      </c>
      <c r="J673" s="29" t="n">
        <v>20</v>
      </c>
      <c r="K673" s="117" t="n">
        <v>50</v>
      </c>
      <c r="L673" s="14">
        <f>K673/J673</f>
        <v/>
      </c>
      <c r="M673" s="15" t="n">
        <v>0.9182530795072789</v>
      </c>
      <c r="N673" s="14">
        <f>LEFT(I673,FIND("X",I673)-1)*RIGHT(I673,LEN(I673)-FIND("X",I673)-1)*M673</f>
        <v/>
      </c>
      <c r="O673" s="16">
        <f>(N673*L673)/1000</f>
        <v/>
      </c>
    </row>
    <row r="674" ht="15.75" customHeight="1" thickBot="1">
      <c r="A674" s="135" t="n"/>
      <c r="B674" s="135" t="n"/>
      <c r="C674" s="118" t="inlineStr">
        <is>
          <t>KSCFG A-28</t>
        </is>
      </c>
      <c r="D674" s="23" t="inlineStr">
        <is>
          <t>-</t>
        </is>
      </c>
      <c r="E674" s="23" t="n">
        <v>15</v>
      </c>
      <c r="F674" s="23" t="inlineStr">
        <is>
          <t>Single</t>
        </is>
      </c>
      <c r="G674" s="23" t="n"/>
      <c r="H674" s="23" t="inlineStr">
        <is>
          <t>127 X 178</t>
        </is>
      </c>
      <c r="I674" s="23" t="inlineStr">
        <is>
          <t>40.5 X 54.6</t>
        </is>
      </c>
      <c r="J674" s="23" t="n">
        <v>49</v>
      </c>
      <c r="K674" s="119" t="n">
        <v>50</v>
      </c>
      <c r="L674" s="25">
        <f>K674/J674</f>
        <v/>
      </c>
      <c r="M674" s="26" t="n">
        <v>0.3381642512077295</v>
      </c>
      <c r="N674" s="25">
        <f>LEFT(I674,FIND("X",I674)-1)*RIGHT(I674,LEN(I674)-FIND("X",I674)-1)*M674</f>
        <v/>
      </c>
      <c r="O674" s="27">
        <f>(N674*L674)/1000</f>
        <v/>
      </c>
    </row>
    <row r="675" ht="15" customHeight="1">
      <c r="A675" s="149" t="n">
        <v>6</v>
      </c>
      <c r="B675" s="150" t="inlineStr">
        <is>
          <t>Bull DC 40</t>
        </is>
      </c>
      <c r="C675" s="138" t="inlineStr">
        <is>
          <t>NG</t>
        </is>
      </c>
      <c r="D675" s="29" t="inlineStr">
        <is>
          <t>Top</t>
        </is>
      </c>
      <c r="E675" s="29" t="n">
        <v>80</v>
      </c>
      <c r="F675" s="29" t="inlineStr">
        <is>
          <t>Single</t>
        </is>
      </c>
      <c r="G675" s="29" t="n"/>
      <c r="H675" s="29" t="inlineStr">
        <is>
          <t>84 X 179</t>
        </is>
      </c>
      <c r="I675" s="29" t="inlineStr">
        <is>
          <t>23 X 23</t>
        </is>
      </c>
      <c r="J675" s="29" t="n">
        <v>18</v>
      </c>
      <c r="K675" s="116" t="n">
        <v>300</v>
      </c>
      <c r="L675" s="31">
        <f>K675/J675</f>
        <v/>
      </c>
      <c r="M675" s="32" t="n">
        <v>1.494824016563147</v>
      </c>
      <c r="N675" s="31">
        <f>LEFT(I675,FIND("X",I675)-1)*RIGHT(I675,LEN(I675)-FIND("X",I675)-1)*M675</f>
        <v/>
      </c>
      <c r="O675" s="33">
        <f>(N675*L675)/1000</f>
        <v/>
      </c>
    </row>
    <row r="676" ht="15" customHeight="1">
      <c r="A676" s="133" t="n"/>
      <c r="B676" s="133" t="n"/>
      <c r="C676" s="136" t="n"/>
      <c r="D676" s="11" t="inlineStr">
        <is>
          <t>Bottom</t>
        </is>
      </c>
      <c r="E676" s="29" t="n">
        <v>50</v>
      </c>
      <c r="F676" s="29" t="inlineStr">
        <is>
          <t>Single</t>
        </is>
      </c>
      <c r="G676" s="29" t="n"/>
      <c r="H676" s="29" t="inlineStr">
        <is>
          <t>84 X 179</t>
        </is>
      </c>
      <c r="I676" s="29" t="inlineStr">
        <is>
          <t>23 X 23</t>
        </is>
      </c>
      <c r="J676" s="29" t="n">
        <v>18</v>
      </c>
      <c r="K676" s="117" t="n">
        <v>300</v>
      </c>
      <c r="L676" s="14">
        <f>K676/J676</f>
        <v/>
      </c>
      <c r="M676" s="15" t="n">
        <v>0.9182530795072789</v>
      </c>
      <c r="N676" s="14">
        <f>LEFT(I676,FIND("X",I676)-1)*RIGHT(I676,LEN(I676)-FIND("X",I676)-1)*M676</f>
        <v/>
      </c>
      <c r="O676" s="16">
        <f>(N676*L676)/1000</f>
        <v/>
      </c>
    </row>
    <row r="677" ht="15.75" customHeight="1" thickBot="1">
      <c r="A677" s="135" t="n"/>
      <c r="B677" s="135" t="n"/>
      <c r="C677" s="118" t="inlineStr">
        <is>
          <t>KSCFG A-28</t>
        </is>
      </c>
      <c r="D677" s="23" t="inlineStr">
        <is>
          <t>-</t>
        </is>
      </c>
      <c r="E677" s="23" t="n">
        <v>15</v>
      </c>
      <c r="F677" s="23" t="inlineStr">
        <is>
          <t>Single</t>
        </is>
      </c>
      <c r="G677" s="23" t="n"/>
      <c r="H677" s="23" t="inlineStr">
        <is>
          <t>103 X 200</t>
        </is>
      </c>
      <c r="I677" s="23" t="inlineStr">
        <is>
          <t>33.9 X 60.6</t>
        </is>
      </c>
      <c r="J677" s="23" t="n">
        <v>49</v>
      </c>
      <c r="K677" s="119" t="n">
        <v>300</v>
      </c>
      <c r="L677" s="25">
        <f>K677/J677</f>
        <v/>
      </c>
      <c r="M677" s="26" t="n">
        <v>0.3381642512077295</v>
      </c>
      <c r="N677" s="25">
        <f>LEFT(I677,FIND("X",I677)-1)*RIGHT(I677,LEN(I677)-FIND("X",I677)-1)*M677</f>
        <v/>
      </c>
      <c r="O677" s="27">
        <f>(N677*L677)/1000</f>
        <v/>
      </c>
    </row>
    <row r="678" ht="15" customHeight="1">
      <c r="A678" s="149" t="n">
        <v>7</v>
      </c>
      <c r="B678" s="150" t="inlineStr">
        <is>
          <t>Bull DC 42</t>
        </is>
      </c>
      <c r="C678" s="138" t="inlineStr">
        <is>
          <t>NG</t>
        </is>
      </c>
      <c r="D678" s="29" t="inlineStr">
        <is>
          <t>Top</t>
        </is>
      </c>
      <c r="E678" s="29" t="n">
        <v>80</v>
      </c>
      <c r="F678" s="29" t="inlineStr">
        <is>
          <t>Single</t>
        </is>
      </c>
      <c r="G678" s="29" t="n"/>
      <c r="H678" s="29" t="inlineStr">
        <is>
          <t>112 X 229</t>
        </is>
      </c>
      <c r="I678" s="29" t="inlineStr">
        <is>
          <t>24.5 X 29</t>
        </is>
      </c>
      <c r="J678" s="29" t="n">
        <v>15</v>
      </c>
      <c r="K678" s="114" t="n"/>
      <c r="L678" s="31">
        <f>K678/J678</f>
        <v/>
      </c>
      <c r="M678" s="32" t="n">
        <v>1.494824016563147</v>
      </c>
      <c r="N678" s="31">
        <f>LEFT(I678,FIND("X",I678)-1)*RIGHT(I678,LEN(I678)-FIND("X",I678)-1)*M678</f>
        <v/>
      </c>
      <c r="O678" s="33">
        <f>(N678*L678)/1000</f>
        <v/>
      </c>
    </row>
    <row r="679" ht="15" customHeight="1">
      <c r="A679" s="133" t="n"/>
      <c r="B679" s="133" t="n"/>
      <c r="C679" s="136" t="n"/>
      <c r="D679" s="11" t="inlineStr">
        <is>
          <t>Bottom</t>
        </is>
      </c>
      <c r="E679" s="29" t="n">
        <v>50</v>
      </c>
      <c r="F679" s="29" t="inlineStr">
        <is>
          <t>Single</t>
        </is>
      </c>
      <c r="G679" s="29" t="n"/>
      <c r="H679" s="29" t="inlineStr">
        <is>
          <t>112 X 229</t>
        </is>
      </c>
      <c r="I679" s="29" t="inlineStr">
        <is>
          <t>24.5 X 29</t>
        </is>
      </c>
      <c r="J679" s="29" t="n">
        <v>15</v>
      </c>
      <c r="K679" s="34" t="n"/>
      <c r="L679" s="14">
        <f>K679/J679</f>
        <v/>
      </c>
      <c r="M679" s="15" t="n">
        <v>0.9182530795072789</v>
      </c>
      <c r="N679" s="14">
        <f>LEFT(I679,FIND("X",I679)-1)*RIGHT(I679,LEN(I679)-FIND("X",I679)-1)*M679</f>
        <v/>
      </c>
      <c r="O679" s="16">
        <f>(N679*L679)/1000</f>
        <v/>
      </c>
    </row>
    <row r="680" ht="15.75" customHeight="1" thickBot="1">
      <c r="A680" s="135" t="n"/>
      <c r="B680" s="135" t="n"/>
      <c r="C680" s="118" t="inlineStr">
        <is>
          <t>KSCFG A-28</t>
        </is>
      </c>
      <c r="D680" s="23" t="inlineStr">
        <is>
          <t>-</t>
        </is>
      </c>
      <c r="E680" s="23" t="n">
        <v>15</v>
      </c>
      <c r="F680" s="23" t="inlineStr">
        <is>
          <t>Single</t>
        </is>
      </c>
      <c r="G680" s="23" t="n"/>
      <c r="H680" s="23" t="inlineStr">
        <is>
          <t>133 X 254</t>
        </is>
      </c>
      <c r="I680" s="23" t="inlineStr">
        <is>
          <t>42.2 X 75.5</t>
        </is>
      </c>
      <c r="J680" s="23" t="n">
        <v>49</v>
      </c>
      <c r="K680" s="115" t="n"/>
      <c r="L680" s="25">
        <f>K680/J680</f>
        <v/>
      </c>
      <c r="M680" s="26" t="n">
        <v>0.3381642512077295</v>
      </c>
      <c r="N680" s="25">
        <f>LEFT(I680,FIND("X",I680)-1)*RIGHT(I680,LEN(I680)-FIND("X",I680)-1)*M680</f>
        <v/>
      </c>
      <c r="O680" s="27">
        <f>(N680*L680)/1000</f>
        <v/>
      </c>
    </row>
    <row r="681" ht="15" customHeight="1">
      <c r="A681" s="149" t="n">
        <v>8</v>
      </c>
      <c r="B681" s="150" t="inlineStr">
        <is>
          <t>Bull DC 44</t>
        </is>
      </c>
      <c r="C681" s="138" t="inlineStr">
        <is>
          <t>NG</t>
        </is>
      </c>
      <c r="D681" s="29" t="inlineStr">
        <is>
          <t>Top</t>
        </is>
      </c>
      <c r="E681" s="29" t="n">
        <v>100</v>
      </c>
      <c r="F681" s="29" t="inlineStr">
        <is>
          <t>Single</t>
        </is>
      </c>
      <c r="G681" s="29" t="n"/>
      <c r="H681" s="29" t="inlineStr">
        <is>
          <t>105 X 305</t>
        </is>
      </c>
      <c r="I681" s="29" t="inlineStr">
        <is>
          <t>23 X 25</t>
        </is>
      </c>
      <c r="J681" s="29" t="n">
        <v>10</v>
      </c>
      <c r="K681" s="116" t="n">
        <v>150</v>
      </c>
      <c r="L681" s="31">
        <f>K681/J681</f>
        <v/>
      </c>
      <c r="M681" s="32" t="n">
        <v>1.906191369606004</v>
      </c>
      <c r="N681" s="31">
        <f>LEFT(I681,FIND("X",I681)-1)*RIGHT(I681,LEN(I681)-FIND("X",I681)-1)*M681</f>
        <v/>
      </c>
      <c r="O681" s="33">
        <f>(N681*L681)/1000</f>
        <v/>
      </c>
    </row>
    <row r="682" ht="15" customHeight="1">
      <c r="A682" s="133" t="n"/>
      <c r="B682" s="133" t="n"/>
      <c r="C682" s="136" t="n"/>
      <c r="D682" s="11" t="inlineStr">
        <is>
          <t>Bottom</t>
        </is>
      </c>
      <c r="E682" s="29" t="n">
        <v>50</v>
      </c>
      <c r="F682" s="29" t="inlineStr">
        <is>
          <t>Single</t>
        </is>
      </c>
      <c r="G682" s="29" t="n"/>
      <c r="H682" s="29" t="inlineStr">
        <is>
          <t>105 X 305</t>
        </is>
      </c>
      <c r="I682" s="29" t="inlineStr">
        <is>
          <t>23 X 25</t>
        </is>
      </c>
      <c r="J682" s="29" t="n">
        <v>10</v>
      </c>
      <c r="K682" s="117" t="n">
        <v>150</v>
      </c>
      <c r="L682" s="14">
        <f>K682/J682</f>
        <v/>
      </c>
      <c r="M682" s="15" t="n">
        <v>0.9182530795072789</v>
      </c>
      <c r="N682" s="14">
        <f>LEFT(I682,FIND("X",I682)-1)*RIGHT(I682,LEN(I682)-FIND("X",I682)-1)*M682</f>
        <v/>
      </c>
      <c r="O682" s="16">
        <f>(N682*L682)/1000</f>
        <v/>
      </c>
    </row>
    <row r="683" ht="15.75" customHeight="1" thickBot="1">
      <c r="A683" s="135" t="n"/>
      <c r="B683" s="135" t="n"/>
      <c r="C683" s="118" t="inlineStr">
        <is>
          <t>KSCFG A-28</t>
        </is>
      </c>
      <c r="D683" s="23" t="inlineStr">
        <is>
          <t>-</t>
        </is>
      </c>
      <c r="E683" s="23" t="n">
        <v>15</v>
      </c>
      <c r="F683" s="23" t="inlineStr">
        <is>
          <t>Single</t>
        </is>
      </c>
      <c r="G683" s="23" t="n"/>
      <c r="H683" s="23" t="inlineStr">
        <is>
          <t>127 X 330</t>
        </is>
      </c>
      <c r="I683" s="23" t="inlineStr">
        <is>
          <t>40.5 X 96.5</t>
        </is>
      </c>
      <c r="J683" s="23" t="n">
        <v>49</v>
      </c>
      <c r="K683" s="119" t="n">
        <v>150</v>
      </c>
      <c r="L683" s="25">
        <f>K683/J683</f>
        <v/>
      </c>
      <c r="M683" s="26" t="n">
        <v>0.3381642512077295</v>
      </c>
      <c r="N683" s="25">
        <f>LEFT(I683,FIND("X",I683)-1)*RIGHT(I683,LEN(I683)-FIND("X",I683)-1)*M683</f>
        <v/>
      </c>
      <c r="O683" s="27">
        <f>(N683*L683)/1000</f>
        <v/>
      </c>
    </row>
    <row r="684" ht="15" customHeight="1">
      <c r="A684" s="149" t="n">
        <v>9</v>
      </c>
      <c r="B684" s="150" t="inlineStr">
        <is>
          <t>Bull DC 45</t>
        </is>
      </c>
      <c r="C684" s="58" t="inlineStr">
        <is>
          <t>CRPL</t>
        </is>
      </c>
      <c r="D684" s="29" t="inlineStr">
        <is>
          <t>Top</t>
        </is>
      </c>
      <c r="E684" s="29" t="n">
        <v>100</v>
      </c>
      <c r="F684" s="29" t="inlineStr">
        <is>
          <t>Single</t>
        </is>
      </c>
      <c r="G684" s="29" t="n"/>
      <c r="H684" s="29" t="inlineStr">
        <is>
          <t>163 X 210</t>
        </is>
      </c>
      <c r="I684" s="29" t="inlineStr">
        <is>
          <t>14 X 18</t>
        </is>
      </c>
      <c r="J684" s="29" t="n">
        <v>4</v>
      </c>
      <c r="K684" s="116" t="n">
        <v>15</v>
      </c>
      <c r="L684" s="31">
        <f>K684/J684</f>
        <v/>
      </c>
      <c r="M684" s="32" t="n">
        <v>1.906191369606004</v>
      </c>
      <c r="N684" s="31">
        <f>LEFT(I684,FIND("X",I684)-1)*RIGHT(I684,LEN(I684)-FIND("X",I684)-1)*M684</f>
        <v/>
      </c>
      <c r="O684" s="33">
        <f>(N684*L684)/1000</f>
        <v/>
      </c>
    </row>
    <row r="685" ht="15" customHeight="1">
      <c r="A685" s="133" t="n"/>
      <c r="B685" s="133" t="n"/>
      <c r="C685" s="136" t="n"/>
      <c r="D685" s="11" t="inlineStr">
        <is>
          <t>Bottom</t>
        </is>
      </c>
      <c r="E685" s="29" t="n">
        <v>70</v>
      </c>
      <c r="F685" s="29" t="inlineStr">
        <is>
          <t>Single</t>
        </is>
      </c>
      <c r="G685" s="29" t="n"/>
      <c r="H685" s="29" t="inlineStr">
        <is>
          <t>163 X 210</t>
        </is>
      </c>
      <c r="I685" s="29" t="inlineStr">
        <is>
          <t>14 X 18</t>
        </is>
      </c>
      <c r="J685" s="29" t="n">
        <v>4</v>
      </c>
      <c r="K685" s="117" t="n">
        <v>15</v>
      </c>
      <c r="L685" s="14">
        <f>K685/J685</f>
        <v/>
      </c>
      <c r="M685" s="15" t="n">
        <v>1.269736842105263</v>
      </c>
      <c r="N685" s="14">
        <f>LEFT(I685,FIND("X",I685)-1)*RIGHT(I685,LEN(I685)-FIND("X",I685)-1)*M685</f>
        <v/>
      </c>
      <c r="O685" s="16">
        <f>(N685*L685)/1000</f>
        <v/>
      </c>
    </row>
    <row r="686" ht="15.75" customHeight="1" thickBot="1">
      <c r="A686" s="135" t="n"/>
      <c r="B686" s="135" t="n"/>
      <c r="C686" s="120" t="inlineStr">
        <is>
          <t>SCFG Red/Gray</t>
        </is>
      </c>
      <c r="D686" s="23" t="inlineStr">
        <is>
          <t>-</t>
        </is>
      </c>
      <c r="E686" s="23" t="n">
        <v>15</v>
      </c>
      <c r="F686" s="23" t="inlineStr">
        <is>
          <t>Single</t>
        </is>
      </c>
      <c r="G686" s="23" t="n"/>
      <c r="H686" s="23" t="inlineStr">
        <is>
          <t>191 X 241</t>
        </is>
      </c>
      <c r="I686" s="23" t="inlineStr">
        <is>
          <t>17 X 21</t>
        </is>
      </c>
      <c r="J686" s="23" t="n">
        <v>4</v>
      </c>
      <c r="K686" s="119" t="n">
        <v>15</v>
      </c>
      <c r="L686" s="25">
        <f>K686/J686</f>
        <v/>
      </c>
      <c r="M686" s="26" t="n">
        <v>0.3381642512077295</v>
      </c>
      <c r="N686" s="25">
        <f>LEFT(I686,FIND("X",I686)-1)*RIGHT(I686,LEN(I686)-FIND("X",I686)-1)*M686</f>
        <v/>
      </c>
      <c r="O686" s="27">
        <f>(N686*L686)/1000</f>
        <v/>
      </c>
    </row>
    <row r="687" ht="15" customHeight="1">
      <c r="A687" s="149" t="n">
        <v>9</v>
      </c>
      <c r="B687" s="150" t="inlineStr">
        <is>
          <t>Bull DC 46</t>
        </is>
      </c>
      <c r="C687" s="58" t="inlineStr">
        <is>
          <t>CRPL</t>
        </is>
      </c>
      <c r="D687" s="29" t="inlineStr">
        <is>
          <t>Top</t>
        </is>
      </c>
      <c r="E687" s="29" t="n">
        <v>100</v>
      </c>
      <c r="F687" s="29" t="inlineStr">
        <is>
          <t>Single</t>
        </is>
      </c>
      <c r="G687" s="29" t="n"/>
      <c r="H687" s="29" t="inlineStr">
        <is>
          <t>129 X 407</t>
        </is>
      </c>
      <c r="I687" s="29" t="inlineStr">
        <is>
          <t>16.5 X 22.5</t>
        </is>
      </c>
      <c r="J687" s="29" t="n">
        <v>4</v>
      </c>
      <c r="K687" s="114" t="n"/>
      <c r="L687" s="31">
        <f>K687/J687</f>
        <v/>
      </c>
      <c r="M687" s="32" t="n">
        <v>1.906191369606004</v>
      </c>
      <c r="N687" s="31">
        <f>LEFT(I687,FIND("X",I687)-1)*RIGHT(I687,LEN(I687)-FIND("X",I687)-1)*M687</f>
        <v/>
      </c>
      <c r="O687" s="33">
        <f>(N687*L687)/1000</f>
        <v/>
      </c>
    </row>
    <row r="688" ht="15" customHeight="1">
      <c r="A688" s="133" t="n"/>
      <c r="B688" s="133" t="n"/>
      <c r="C688" s="136" t="n"/>
      <c r="D688" s="11" t="inlineStr">
        <is>
          <t>Bottom</t>
        </is>
      </c>
      <c r="E688" s="29" t="n">
        <v>70</v>
      </c>
      <c r="F688" s="29" t="inlineStr">
        <is>
          <t>Single</t>
        </is>
      </c>
      <c r="G688" s="29" t="n"/>
      <c r="H688" s="29" t="inlineStr">
        <is>
          <t>129 X 407</t>
        </is>
      </c>
      <c r="I688" s="29" t="inlineStr">
        <is>
          <t>16.5 X 22.5</t>
        </is>
      </c>
      <c r="J688" s="29" t="n">
        <v>4</v>
      </c>
      <c r="K688" s="34" t="n"/>
      <c r="L688" s="14">
        <f>K688/J688</f>
        <v/>
      </c>
      <c r="M688" s="15" t="n">
        <v>1.269736842105263</v>
      </c>
      <c r="N688" s="14">
        <f>LEFT(I688,FIND("X",I688)-1)*RIGHT(I688,LEN(I688)-FIND("X",I688)-1)*M688</f>
        <v/>
      </c>
      <c r="O688" s="16">
        <f>(N688*L688)/1000</f>
        <v/>
      </c>
    </row>
    <row r="689" ht="15.75" customHeight="1" thickBot="1">
      <c r="A689" s="135" t="n"/>
      <c r="B689" s="135" t="n"/>
      <c r="C689" s="120" t="inlineStr">
        <is>
          <t>SCFG Red/Gray</t>
        </is>
      </c>
      <c r="D689" s="23" t="inlineStr">
        <is>
          <t>-</t>
        </is>
      </c>
      <c r="E689" s="23" t="n">
        <v>15</v>
      </c>
      <c r="F689" s="23" t="inlineStr">
        <is>
          <t>Single</t>
        </is>
      </c>
      <c r="G689" s="23" t="n"/>
      <c r="H689" s="23" t="inlineStr">
        <is>
          <t>156 X 438</t>
        </is>
      </c>
      <c r="I689" s="23" t="inlineStr">
        <is>
          <t>18 X 21</t>
        </is>
      </c>
      <c r="J689" s="23" t="n">
        <v>3</v>
      </c>
      <c r="K689" s="115" t="n"/>
      <c r="L689" s="25">
        <f>K689/J689</f>
        <v/>
      </c>
      <c r="M689" s="26" t="n">
        <v>0.3381642512077295</v>
      </c>
      <c r="N689" s="25">
        <f>LEFT(I689,FIND("X",I689)-1)*RIGHT(I689,LEN(I689)-FIND("X",I689)-1)*M689</f>
        <v/>
      </c>
      <c r="O689" s="27">
        <f>(N689*L689)/1000</f>
        <v/>
      </c>
    </row>
    <row r="690" ht="15" customHeight="1">
      <c r="A690" s="149" t="n">
        <v>10</v>
      </c>
      <c r="B690" s="150" t="inlineStr">
        <is>
          <t>Bull DC 50</t>
        </is>
      </c>
      <c r="C690" s="58" t="inlineStr">
        <is>
          <t>CRPL</t>
        </is>
      </c>
      <c r="D690" s="29" t="inlineStr">
        <is>
          <t>Top</t>
        </is>
      </c>
      <c r="E690" s="29" t="n">
        <v>100</v>
      </c>
      <c r="F690" s="29" t="inlineStr">
        <is>
          <t>Single</t>
        </is>
      </c>
      <c r="G690" s="29" t="n"/>
      <c r="H690" s="29" t="inlineStr">
        <is>
          <t>189 X 557</t>
        </is>
      </c>
      <c r="I690" s="29" t="inlineStr">
        <is>
          <t>16 X 23</t>
        </is>
      </c>
      <c r="J690" s="29" t="n">
        <v>2</v>
      </c>
      <c r="K690" s="114" t="n"/>
      <c r="L690" s="31">
        <f>K690/J690</f>
        <v/>
      </c>
      <c r="M690" s="32" t="n">
        <v>1.906191369606004</v>
      </c>
      <c r="N690" s="31">
        <f>LEFT(I690,FIND("X",I690)-1)*RIGHT(I690,LEN(I690)-FIND("X",I690)-1)*M690</f>
        <v/>
      </c>
      <c r="O690" s="33">
        <f>(N690*L690)/1000</f>
        <v/>
      </c>
    </row>
    <row r="691" ht="15" customHeight="1">
      <c r="A691" s="133" t="n"/>
      <c r="B691" s="133" t="n"/>
      <c r="C691" s="136" t="n"/>
      <c r="D691" s="11" t="inlineStr">
        <is>
          <t>Bottom</t>
        </is>
      </c>
      <c r="E691" s="29" t="n">
        <v>70</v>
      </c>
      <c r="F691" s="29" t="inlineStr">
        <is>
          <t>Single</t>
        </is>
      </c>
      <c r="G691" s="29" t="n"/>
      <c r="H691" s="29" t="inlineStr">
        <is>
          <t>189 X 557</t>
        </is>
      </c>
      <c r="I691" s="29" t="inlineStr">
        <is>
          <t>16 X 23</t>
        </is>
      </c>
      <c r="J691" s="29" t="n">
        <v>2</v>
      </c>
      <c r="K691" s="34" t="n"/>
      <c r="L691" s="14">
        <f>K691/J691</f>
        <v/>
      </c>
      <c r="M691" s="15" t="n">
        <v>1.269736842105263</v>
      </c>
      <c r="N691" s="14">
        <f>LEFT(I691,FIND("X",I691)-1)*RIGHT(I691,LEN(I691)-FIND("X",I691)-1)*M691</f>
        <v/>
      </c>
      <c r="O691" s="16">
        <f>(N691*L691)/1000</f>
        <v/>
      </c>
    </row>
    <row r="692" ht="15.75" customHeight="1" thickBot="1">
      <c r="A692" s="135" t="n"/>
      <c r="B692" s="135" t="n"/>
      <c r="C692" s="120" t="inlineStr">
        <is>
          <t>SCFG Red/Gray</t>
        </is>
      </c>
      <c r="D692" s="23" t="inlineStr">
        <is>
          <t>-</t>
        </is>
      </c>
      <c r="E692" s="23" t="n">
        <v>15</v>
      </c>
      <c r="F692" s="23" t="inlineStr">
        <is>
          <t>Single</t>
        </is>
      </c>
      <c r="G692" s="23" t="n"/>
      <c r="H692" s="23" t="inlineStr">
        <is>
          <t>216 X 584</t>
        </is>
      </c>
      <c r="I692" s="23" t="inlineStr">
        <is>
          <t>19 X 24</t>
        </is>
      </c>
      <c r="J692" s="23" t="n">
        <v>2</v>
      </c>
      <c r="K692" s="115" t="n"/>
      <c r="L692" s="25">
        <f>K692/J692</f>
        <v/>
      </c>
      <c r="M692" s="26" t="n">
        <v>0.3381642512077295</v>
      </c>
      <c r="N692" s="25">
        <f>LEFT(I692,FIND("X",I692)-1)*RIGHT(I692,LEN(I692)-FIND("X",I692)-1)*M692</f>
        <v/>
      </c>
      <c r="O692" s="27">
        <f>(N692*L692)/1000</f>
        <v/>
      </c>
    </row>
    <row r="693" ht="15" customHeight="1">
      <c r="A693" s="149" t="n">
        <v>11</v>
      </c>
      <c r="B693" s="150" t="inlineStr">
        <is>
          <t>Bull DC 52</t>
        </is>
      </c>
      <c r="C693" s="58" t="inlineStr">
        <is>
          <t>CRPL</t>
        </is>
      </c>
      <c r="D693" s="29" t="inlineStr">
        <is>
          <t>Top</t>
        </is>
      </c>
      <c r="E693" s="29" t="n">
        <v>100</v>
      </c>
      <c r="F693" s="29" t="inlineStr">
        <is>
          <t>Single</t>
        </is>
      </c>
      <c r="G693" s="29" t="n"/>
      <c r="H693" s="29" t="inlineStr">
        <is>
          <t>242 X 575</t>
        </is>
      </c>
      <c r="I693" s="29" t="inlineStr">
        <is>
          <t>20 X 23</t>
        </is>
      </c>
      <c r="J693" s="29" t="n">
        <v>2</v>
      </c>
      <c r="K693" s="114" t="n"/>
      <c r="L693" s="31">
        <f>K693/J693</f>
        <v/>
      </c>
      <c r="M693" s="32" t="n">
        <v>1.906191369606004</v>
      </c>
      <c r="N693" s="31">
        <f>LEFT(I693,FIND("X",I693)-1)*RIGHT(I693,LEN(I693)-FIND("X",I693)-1)*M693</f>
        <v/>
      </c>
      <c r="O693" s="33">
        <f>(N693*L693)/1000</f>
        <v/>
      </c>
    </row>
    <row r="694" ht="15" customHeight="1">
      <c r="A694" s="133" t="n"/>
      <c r="B694" s="133" t="n"/>
      <c r="C694" s="136" t="n"/>
      <c r="D694" s="11" t="inlineStr">
        <is>
          <t>Bottom</t>
        </is>
      </c>
      <c r="E694" s="29" t="n">
        <v>70</v>
      </c>
      <c r="F694" s="29" t="inlineStr">
        <is>
          <t>Single</t>
        </is>
      </c>
      <c r="G694" s="29" t="n"/>
      <c r="H694" s="29" t="inlineStr">
        <is>
          <t>242 X 575</t>
        </is>
      </c>
      <c r="I694" s="29" t="inlineStr">
        <is>
          <t>20 X 23</t>
        </is>
      </c>
      <c r="J694" s="29" t="n">
        <v>2</v>
      </c>
      <c r="K694" s="34" t="n"/>
      <c r="L694" s="14">
        <f>K694/J694</f>
        <v/>
      </c>
      <c r="M694" s="15" t="n">
        <v>1.269736842105263</v>
      </c>
      <c r="N694" s="14">
        <f>LEFT(I694,FIND("X",I694)-1)*RIGHT(I694,LEN(I694)-FIND("X",I694)-1)*M694</f>
        <v/>
      </c>
      <c r="O694" s="16">
        <f>(N694*L694)/1000</f>
        <v/>
      </c>
    </row>
    <row r="695" ht="15.75" customHeight="1" thickBot="1">
      <c r="A695" s="135" t="n"/>
      <c r="B695" s="135" t="n"/>
      <c r="C695" s="120" t="inlineStr">
        <is>
          <t>SCFG Red/Gray</t>
        </is>
      </c>
      <c r="D695" s="23" t="inlineStr">
        <is>
          <t>-</t>
        </is>
      </c>
      <c r="E695" s="23" t="n">
        <v>15</v>
      </c>
      <c r="F695" s="23" t="inlineStr">
        <is>
          <t>Single</t>
        </is>
      </c>
      <c r="G695" s="23" t="n"/>
      <c r="H695" s="23" t="inlineStr">
        <is>
          <t>267 X 597</t>
        </is>
      </c>
      <c r="I695" s="23" t="inlineStr">
        <is>
          <t>23 X 24</t>
        </is>
      </c>
      <c r="J695" s="23" t="n">
        <v>2</v>
      </c>
      <c r="K695" s="115" t="n"/>
      <c r="L695" s="25">
        <f>K695/J695</f>
        <v/>
      </c>
      <c r="M695" s="26" t="n">
        <v>0.3381642512077295</v>
      </c>
      <c r="N695" s="25">
        <f>LEFT(I695,FIND("X",I695)-1)*RIGHT(I695,LEN(I695)-FIND("X",I695)-1)*M695</f>
        <v/>
      </c>
      <c r="O695" s="27">
        <f>(N695*L695)/1000</f>
        <v/>
      </c>
    </row>
    <row r="696" ht="15" customHeight="1">
      <c r="A696" s="56" t="n">
        <v>1</v>
      </c>
      <c r="B696" s="57" t="inlineStr">
        <is>
          <t>Bull DC 80 Tractor</t>
        </is>
      </c>
      <c r="C696" s="58" t="inlineStr">
        <is>
          <t>CRPL</t>
        </is>
      </c>
      <c r="D696" s="29" t="inlineStr">
        <is>
          <t>Top</t>
        </is>
      </c>
      <c r="E696" s="29" t="n">
        <v>100</v>
      </c>
      <c r="F696" s="29" t="inlineStr">
        <is>
          <t>Single</t>
        </is>
      </c>
      <c r="G696" s="29" t="n"/>
      <c r="H696" s="29" t="inlineStr">
        <is>
          <t>117 X 172</t>
        </is>
      </c>
      <c r="I696" s="29" t="inlineStr">
        <is>
          <t>16 X 22</t>
        </is>
      </c>
      <c r="J696" s="29" t="n">
        <v>9</v>
      </c>
      <c r="K696" s="116" t="n">
        <v>450</v>
      </c>
      <c r="L696" s="31">
        <f>K696/J696</f>
        <v/>
      </c>
      <c r="M696" s="32" t="n">
        <v>1.906191369606004</v>
      </c>
      <c r="N696" s="31">
        <f>LEFT(I696,FIND("X",I696)-1)*RIGHT(I696,LEN(I696)-FIND("X",I696)-1)*M696</f>
        <v/>
      </c>
      <c r="O696" s="33">
        <f>(N696*L696)/1000</f>
        <v/>
      </c>
    </row>
    <row r="697" ht="15" customHeight="1">
      <c r="A697" s="133" t="n"/>
      <c r="B697" s="133" t="n"/>
      <c r="C697" s="136" t="n"/>
      <c r="D697" s="11" t="inlineStr">
        <is>
          <t>Bottom</t>
        </is>
      </c>
      <c r="E697" s="29" t="n">
        <v>70</v>
      </c>
      <c r="F697" s="29" t="inlineStr">
        <is>
          <t>Single</t>
        </is>
      </c>
      <c r="G697" s="29" t="n"/>
      <c r="H697" s="29" t="inlineStr">
        <is>
          <t>117 X 172</t>
        </is>
      </c>
      <c r="I697" s="29" t="inlineStr">
        <is>
          <t>16 X 22</t>
        </is>
      </c>
      <c r="J697" s="29" t="n">
        <v>9</v>
      </c>
      <c r="K697" s="117" t="n">
        <v>450</v>
      </c>
      <c r="L697" s="14">
        <f>K697/J697</f>
        <v/>
      </c>
      <c r="M697" s="15" t="n">
        <v>1.269736842105263</v>
      </c>
      <c r="N697" s="14">
        <f>LEFT(I697,FIND("X",I697)-1)*RIGHT(I697,LEN(I697)-FIND("X",I697)-1)*M697</f>
        <v/>
      </c>
      <c r="O697" s="16">
        <f>(N697*L697)/1000</f>
        <v/>
      </c>
    </row>
    <row r="698" ht="15.75" customHeight="1" thickBot="1">
      <c r="A698" s="135" t="n"/>
      <c r="B698" s="135" t="n"/>
      <c r="C698" s="120" t="inlineStr">
        <is>
          <t>SCFG Red/Gray</t>
        </is>
      </c>
      <c r="D698" s="23" t="inlineStr">
        <is>
          <t>-</t>
        </is>
      </c>
      <c r="E698" s="23" t="n">
        <v>15</v>
      </c>
      <c r="F698" s="23" t="inlineStr">
        <is>
          <t>Single</t>
        </is>
      </c>
      <c r="G698" s="23" t="n"/>
      <c r="H698" s="23" t="inlineStr">
        <is>
          <t>146 X 203</t>
        </is>
      </c>
      <c r="I698" s="23" t="inlineStr">
        <is>
          <t>26 X 26</t>
        </is>
      </c>
      <c r="J698" s="23" t="n">
        <v>12</v>
      </c>
      <c r="K698" s="119" t="n">
        <v>450</v>
      </c>
      <c r="L698" s="25">
        <f>K698/J698</f>
        <v/>
      </c>
      <c r="M698" s="26" t="n">
        <v>0.3381642512077295</v>
      </c>
      <c r="N698" s="25">
        <f>LEFT(I698,FIND("X",I698)-1)*RIGHT(I698,LEN(I698)-FIND("X",I698)-1)*M698</f>
        <v/>
      </c>
      <c r="O698" s="27">
        <f>(N698*L698)/1000</f>
        <v/>
      </c>
    </row>
    <row r="699" ht="15" customHeight="1">
      <c r="A699" s="149" t="n">
        <v>2</v>
      </c>
      <c r="B699" s="150" t="inlineStr">
        <is>
          <t>Bull DC 82 Tractor</t>
        </is>
      </c>
      <c r="C699" s="138" t="inlineStr">
        <is>
          <t>CRPL</t>
        </is>
      </c>
      <c r="D699" s="29" t="inlineStr">
        <is>
          <t>Top</t>
        </is>
      </c>
      <c r="E699" s="29" t="n">
        <v>100</v>
      </c>
      <c r="F699" s="29" t="inlineStr">
        <is>
          <t>Single</t>
        </is>
      </c>
      <c r="G699" s="29" t="n"/>
      <c r="H699" s="29" t="inlineStr">
        <is>
          <t>159 X 220</t>
        </is>
      </c>
      <c r="I699" s="29" t="inlineStr">
        <is>
          <t>18.5 X 20.5</t>
        </is>
      </c>
      <c r="J699" s="29" t="n">
        <v>6</v>
      </c>
      <c r="K699" s="116" t="n">
        <v>150</v>
      </c>
      <c r="L699" s="31">
        <f>K699/J699</f>
        <v/>
      </c>
      <c r="M699" s="32" t="n">
        <v>1.906191369606004</v>
      </c>
      <c r="N699" s="31">
        <f>LEFT(I699,FIND("X",I699)-1)*RIGHT(I699,LEN(I699)-FIND("X",I699)-1)*M699</f>
        <v/>
      </c>
      <c r="O699" s="33">
        <f>(N699*L699)/1000</f>
        <v/>
      </c>
    </row>
    <row r="700" ht="15" customHeight="1">
      <c r="A700" s="133" t="n"/>
      <c r="B700" s="133" t="n"/>
      <c r="C700" s="136" t="n"/>
      <c r="D700" s="11" t="inlineStr">
        <is>
          <t>Bottom</t>
        </is>
      </c>
      <c r="E700" s="29" t="n">
        <v>70</v>
      </c>
      <c r="F700" s="29" t="inlineStr">
        <is>
          <t>Single</t>
        </is>
      </c>
      <c r="G700" s="29" t="n"/>
      <c r="H700" s="29" t="inlineStr">
        <is>
          <t>159 X 220</t>
        </is>
      </c>
      <c r="I700" s="29" t="inlineStr">
        <is>
          <t>18.5 X 20.5</t>
        </is>
      </c>
      <c r="J700" s="29" t="n">
        <v>6</v>
      </c>
      <c r="K700" s="117" t="n">
        <v>150</v>
      </c>
      <c r="L700" s="14">
        <f>K700/J700</f>
        <v/>
      </c>
      <c r="M700" s="15" t="n">
        <v>1.269736842105263</v>
      </c>
      <c r="N700" s="14">
        <f>LEFT(I700,FIND("X",I700)-1)*RIGHT(I700,LEN(I700)-FIND("X",I700)-1)*M700</f>
        <v/>
      </c>
      <c r="O700" s="16">
        <f>(N700*L700)/1000</f>
        <v/>
      </c>
    </row>
    <row r="701" ht="15.75" customHeight="1" thickBot="1">
      <c r="A701" s="135" t="n"/>
      <c r="B701" s="135" t="n"/>
      <c r="C701" s="120" t="inlineStr">
        <is>
          <t>SCFG Red/Gray</t>
        </is>
      </c>
      <c r="D701" s="23" t="inlineStr">
        <is>
          <t>-</t>
        </is>
      </c>
      <c r="E701" s="23" t="n">
        <v>15</v>
      </c>
      <c r="F701" s="23" t="inlineStr">
        <is>
          <t>Single</t>
        </is>
      </c>
      <c r="G701" s="23" t="n"/>
      <c r="H701" s="23" t="inlineStr">
        <is>
          <t>187 X 251</t>
        </is>
      </c>
      <c r="I701" s="23" t="inlineStr">
        <is>
          <t>16.5 X 21.5</t>
        </is>
      </c>
      <c r="J701" s="23" t="n">
        <v>4</v>
      </c>
      <c r="K701" s="119" t="n">
        <v>150</v>
      </c>
      <c r="L701" s="25">
        <f>K701/J701</f>
        <v/>
      </c>
      <c r="M701" s="26" t="n">
        <v>0.3381642512077295</v>
      </c>
      <c r="N701" s="25">
        <f>LEFT(I701,FIND("X",I701)-1)*RIGHT(I701,LEN(I701)-FIND("X",I701)-1)*M701</f>
        <v/>
      </c>
      <c r="O701" s="27">
        <f>(N701*L701)/1000</f>
        <v/>
      </c>
    </row>
    <row r="702" ht="15" customHeight="1">
      <c r="A702" s="149" t="n">
        <v>3</v>
      </c>
      <c r="B702" s="150" t="inlineStr">
        <is>
          <t>Bull DC 84 Tractor</t>
        </is>
      </c>
      <c r="C702" s="138" t="inlineStr">
        <is>
          <t>CRPL</t>
        </is>
      </c>
      <c r="D702" s="29" t="inlineStr">
        <is>
          <t>Top</t>
        </is>
      </c>
      <c r="E702" s="29" t="n">
        <v>100</v>
      </c>
      <c r="F702" s="29" t="inlineStr">
        <is>
          <t>Single</t>
        </is>
      </c>
      <c r="G702" s="29" t="n"/>
      <c r="H702" s="29" t="inlineStr">
        <is>
          <t>183 X 266</t>
        </is>
      </c>
      <c r="I702" s="29" t="inlineStr">
        <is>
          <t>16 X 22</t>
        </is>
      </c>
      <c r="J702" s="29" t="n">
        <v>4</v>
      </c>
      <c r="K702" s="116" t="n">
        <v>100</v>
      </c>
      <c r="L702" s="31">
        <f>K702/J702</f>
        <v/>
      </c>
      <c r="M702" s="32" t="n">
        <v>1.906191369606004</v>
      </c>
      <c r="N702" s="31">
        <f>LEFT(I702,FIND("X",I702)-1)*RIGHT(I702,LEN(I702)-FIND("X",I702)-1)*M702</f>
        <v/>
      </c>
      <c r="O702" s="33">
        <f>(N702*L702)/1000</f>
        <v/>
      </c>
    </row>
    <row r="703" ht="15" customHeight="1">
      <c r="A703" s="133" t="n"/>
      <c r="B703" s="133" t="n"/>
      <c r="C703" s="136" t="n"/>
      <c r="D703" s="11" t="inlineStr">
        <is>
          <t>Bottom</t>
        </is>
      </c>
      <c r="E703" s="29" t="n">
        <v>70</v>
      </c>
      <c r="F703" s="29" t="inlineStr">
        <is>
          <t>Single</t>
        </is>
      </c>
      <c r="G703" s="29" t="n"/>
      <c r="H703" s="29" t="inlineStr">
        <is>
          <t>183 X 266</t>
        </is>
      </c>
      <c r="I703" s="29" t="inlineStr">
        <is>
          <t>16 X 22</t>
        </is>
      </c>
      <c r="J703" s="29" t="n">
        <v>4</v>
      </c>
      <c r="K703" s="117" t="n">
        <v>100</v>
      </c>
      <c r="L703" s="14">
        <f>K703/J703</f>
        <v/>
      </c>
      <c r="M703" s="15" t="n">
        <v>1.269736842105263</v>
      </c>
      <c r="N703" s="14">
        <f>LEFT(I703,FIND("X",I703)-1)*RIGHT(I703,LEN(I703)-FIND("X",I703)-1)*M703</f>
        <v/>
      </c>
      <c r="O703" s="16">
        <f>(N703*L703)/1000</f>
        <v/>
      </c>
    </row>
    <row r="704" ht="15.75" customHeight="1" thickBot="1">
      <c r="A704" s="135" t="n"/>
      <c r="B704" s="135" t="n"/>
      <c r="C704" s="120" t="inlineStr">
        <is>
          <t>SCFG Red/Gray</t>
        </is>
      </c>
      <c r="D704" s="23" t="inlineStr">
        <is>
          <t>-</t>
        </is>
      </c>
      <c r="E704" s="23" t="n">
        <v>15</v>
      </c>
      <c r="F704" s="23" t="inlineStr">
        <is>
          <t>Single</t>
        </is>
      </c>
      <c r="G704" s="23" t="n"/>
      <c r="H704" s="23" t="inlineStr">
        <is>
          <t>210 X 292</t>
        </is>
      </c>
      <c r="I704" s="23" t="inlineStr">
        <is>
          <t>18 X 25</t>
        </is>
      </c>
      <c r="J704" s="23" t="n">
        <v>4</v>
      </c>
      <c r="K704" s="119" t="n">
        <v>100</v>
      </c>
      <c r="L704" s="25">
        <f>K704/J704</f>
        <v/>
      </c>
      <c r="M704" s="26" t="n">
        <v>0.3381642512077295</v>
      </c>
      <c r="N704" s="25">
        <f>LEFT(I704,FIND("X",I704)-1)*RIGHT(I704,LEN(I704)-FIND("X",I704)-1)*M704</f>
        <v/>
      </c>
      <c r="O704" s="27">
        <f>(N704*L704)/1000</f>
        <v/>
      </c>
    </row>
    <row r="705" ht="15" customHeight="1">
      <c r="A705" s="149" t="n">
        <v>4</v>
      </c>
      <c r="B705" s="150" t="inlineStr">
        <is>
          <t>Bull DC 86 Tractor</t>
        </is>
      </c>
      <c r="C705" s="138" t="inlineStr">
        <is>
          <t>CRPL</t>
        </is>
      </c>
      <c r="D705" s="29" t="inlineStr">
        <is>
          <t>Top</t>
        </is>
      </c>
      <c r="E705" s="29" t="n">
        <v>100</v>
      </c>
      <c r="F705" s="29" t="inlineStr">
        <is>
          <t>Single</t>
        </is>
      </c>
      <c r="G705" s="29" t="n"/>
      <c r="H705" s="29" t="inlineStr">
        <is>
          <t>221 X 317</t>
        </is>
      </c>
      <c r="I705" s="29" t="inlineStr">
        <is>
          <t>13 X 18.5</t>
        </is>
      </c>
      <c r="J705" s="29" t="n">
        <v>2</v>
      </c>
      <c r="K705" s="116" t="n">
        <v>40</v>
      </c>
      <c r="L705" s="31">
        <f>K705/J705</f>
        <v/>
      </c>
      <c r="M705" s="32" t="n">
        <v>1.906191369606004</v>
      </c>
      <c r="N705" s="31">
        <f>LEFT(I705,FIND("X",I705)-1)*RIGHT(I705,LEN(I705)-FIND("X",I705)-1)*M705</f>
        <v/>
      </c>
      <c r="O705" s="33">
        <f>(N705*L705)/1000</f>
        <v/>
      </c>
    </row>
    <row r="706" ht="15" customHeight="1">
      <c r="A706" s="133" t="n"/>
      <c r="B706" s="133" t="n"/>
      <c r="C706" s="136" t="n"/>
      <c r="D706" s="11" t="inlineStr">
        <is>
          <t>Bottom</t>
        </is>
      </c>
      <c r="E706" s="29" t="n">
        <v>70</v>
      </c>
      <c r="F706" s="29" t="inlineStr">
        <is>
          <t>Single</t>
        </is>
      </c>
      <c r="G706" s="29" t="n"/>
      <c r="H706" s="29" t="inlineStr">
        <is>
          <t>221 X 317</t>
        </is>
      </c>
      <c r="I706" s="29" t="inlineStr">
        <is>
          <t>13 X 18.5</t>
        </is>
      </c>
      <c r="J706" s="29" t="n">
        <v>2</v>
      </c>
      <c r="K706" s="117" t="n">
        <v>40</v>
      </c>
      <c r="L706" s="14">
        <f>K706/J706</f>
        <v/>
      </c>
      <c r="M706" s="15" t="n">
        <v>1.269736842105263</v>
      </c>
      <c r="N706" s="14">
        <f>LEFT(I706,FIND("X",I706)-1)*RIGHT(I706,LEN(I706)-FIND("X",I706)-1)*M706</f>
        <v/>
      </c>
      <c r="O706" s="16">
        <f>(N706*L706)/1000</f>
        <v/>
      </c>
    </row>
    <row r="707" ht="15.75" customHeight="1" thickBot="1">
      <c r="A707" s="135" t="n"/>
      <c r="B707" s="135" t="n"/>
      <c r="C707" s="120" t="inlineStr">
        <is>
          <t>SCFG Red/Gray</t>
        </is>
      </c>
      <c r="D707" s="23" t="inlineStr">
        <is>
          <t>-</t>
        </is>
      </c>
      <c r="E707" s="23" t="n">
        <v>15</v>
      </c>
      <c r="F707" s="23" t="inlineStr">
        <is>
          <t>Single</t>
        </is>
      </c>
      <c r="G707" s="23" t="n"/>
      <c r="H707" s="23" t="inlineStr">
        <is>
          <t>248 X 349</t>
        </is>
      </c>
      <c r="I707" s="23" t="inlineStr">
        <is>
          <t>14.5 X 21</t>
        </is>
      </c>
      <c r="J707" s="23" t="n">
        <v>2</v>
      </c>
      <c r="K707" s="119" t="n">
        <v>40</v>
      </c>
      <c r="L707" s="25">
        <f>K707/J707</f>
        <v/>
      </c>
      <c r="M707" s="26" t="n">
        <v>0.3381642512077295</v>
      </c>
      <c r="N707" s="25">
        <f>LEFT(I707,FIND("X",I707)-1)*RIGHT(I707,LEN(I707)-FIND("X",I707)-1)*M707</f>
        <v/>
      </c>
      <c r="O707" s="27">
        <f>(N707*L707)/1000</f>
        <v/>
      </c>
    </row>
    <row r="708" ht="15" customHeight="1">
      <c r="A708" s="149" t="n">
        <v>1</v>
      </c>
      <c r="B708" s="150" t="inlineStr">
        <is>
          <t>Bull CB 24 STS</t>
        </is>
      </c>
      <c r="C708" s="150" t="inlineStr">
        <is>
          <t>CRPL</t>
        </is>
      </c>
      <c r="D708" s="37" t="inlineStr">
        <is>
          <t>Top</t>
        </is>
      </c>
      <c r="E708" s="37" t="n">
        <v>100</v>
      </c>
      <c r="F708" s="37" t="inlineStr">
        <is>
          <t>Single</t>
        </is>
      </c>
      <c r="G708" s="37" t="n"/>
      <c r="H708" s="29" t="inlineStr">
        <is>
          <t>54 X 176</t>
        </is>
      </c>
      <c r="I708" s="29" t="inlineStr">
        <is>
          <t>21 X 22</t>
        </is>
      </c>
      <c r="J708" s="29" t="n">
        <v>24</v>
      </c>
      <c r="K708" s="78" t="n"/>
      <c r="L708" s="72">
        <f>K708/J708</f>
        <v/>
      </c>
      <c r="M708" s="73" t="n">
        <v>1.906191369606004</v>
      </c>
      <c r="N708" s="72">
        <f>LEFT(I708,FIND("X",I708)-1)*RIGHT(I708,LEN(I708)-FIND("X",I708)-1)*M708</f>
        <v/>
      </c>
      <c r="O708" s="74">
        <f>(N708*L708)/1000</f>
        <v/>
      </c>
    </row>
    <row r="709" ht="15.75" customHeight="1" thickBot="1">
      <c r="A709" s="135" t="n"/>
      <c r="B709" s="135" t="n"/>
      <c r="C709" s="135" t="n"/>
      <c r="D709" s="23" t="inlineStr">
        <is>
          <t>Bottom</t>
        </is>
      </c>
      <c r="E709" s="121" t="n">
        <v>70</v>
      </c>
      <c r="F709" s="121" t="inlineStr">
        <is>
          <t>Single</t>
        </is>
      </c>
      <c r="G709" s="121" t="n"/>
      <c r="H709" s="23" t="inlineStr">
        <is>
          <t>54 X 176</t>
        </is>
      </c>
      <c r="I709" s="23" t="inlineStr">
        <is>
          <t>21 X 22</t>
        </is>
      </c>
      <c r="J709" s="23" t="n">
        <v>24</v>
      </c>
      <c r="K709" s="122" t="n"/>
      <c r="L709" s="25">
        <f>K709/J709</f>
        <v/>
      </c>
      <c r="M709" s="26" t="n">
        <v>1.269736842105263</v>
      </c>
      <c r="N709" s="25">
        <f>LEFT(I709,FIND("X",I709)-1)*RIGHT(I709,LEN(I709)-FIND("X",I709)-1)*M709</f>
        <v/>
      </c>
      <c r="O709" s="27">
        <f>(N709*L709)/1000</f>
        <v/>
      </c>
    </row>
    <row r="710" ht="15" customHeight="1">
      <c r="A710" s="149" t="n">
        <v>2</v>
      </c>
      <c r="B710" s="150" t="inlineStr">
        <is>
          <t>Bull CB 40 STS</t>
        </is>
      </c>
      <c r="C710" s="150" t="inlineStr">
        <is>
          <t>CRPL</t>
        </is>
      </c>
      <c r="D710" s="37" t="inlineStr">
        <is>
          <t>Top</t>
        </is>
      </c>
      <c r="E710" s="37" t="n">
        <v>100</v>
      </c>
      <c r="F710" s="37" t="inlineStr">
        <is>
          <t>Single</t>
        </is>
      </c>
      <c r="G710" s="37" t="n"/>
      <c r="H710" s="29" t="inlineStr">
        <is>
          <t>84 X 179</t>
        </is>
      </c>
      <c r="I710" s="29" t="inlineStr">
        <is>
          <t>23 X 23</t>
        </is>
      </c>
      <c r="J710" s="29" t="n">
        <v>18</v>
      </c>
      <c r="K710" s="78" t="n"/>
      <c r="L710" s="72">
        <f>K710/J710</f>
        <v/>
      </c>
      <c r="M710" s="73" t="n">
        <v>1.906191369606004</v>
      </c>
      <c r="N710" s="72">
        <f>LEFT(I710,FIND("X",I710)-1)*RIGHT(I710,LEN(I710)-FIND("X",I710)-1)*M710</f>
        <v/>
      </c>
      <c r="O710" s="74">
        <f>(N710*L710)/1000</f>
        <v/>
      </c>
    </row>
    <row r="711" ht="15.75" customHeight="1" thickBot="1">
      <c r="A711" s="135" t="n"/>
      <c r="B711" s="135" t="n"/>
      <c r="C711" s="135" t="n"/>
      <c r="D711" s="23" t="inlineStr">
        <is>
          <t>Bottom</t>
        </is>
      </c>
      <c r="E711" s="121" t="n">
        <v>70</v>
      </c>
      <c r="F711" s="121" t="inlineStr">
        <is>
          <t>Single</t>
        </is>
      </c>
      <c r="G711" s="121" t="n"/>
      <c r="H711" s="29" t="inlineStr">
        <is>
          <t>84 X 179</t>
        </is>
      </c>
      <c r="I711" s="29" t="inlineStr">
        <is>
          <t>23 X 23</t>
        </is>
      </c>
      <c r="J711" s="29" t="n">
        <v>18</v>
      </c>
      <c r="K711" s="122" t="n"/>
      <c r="L711" s="25">
        <f>K711/J711</f>
        <v/>
      </c>
      <c r="M711" s="26" t="n">
        <v>1.269736842105263</v>
      </c>
      <c r="N711" s="25">
        <f>LEFT(I711,FIND("X",I711)-1)*RIGHT(I711,LEN(I711)-FIND("X",I711)-1)*M711</f>
        <v/>
      </c>
      <c r="O711" s="27">
        <f>(N711*L711)/1000</f>
        <v/>
      </c>
    </row>
    <row r="712" ht="15" customHeight="1">
      <c r="A712" s="149" t="n">
        <v>3</v>
      </c>
      <c r="B712" s="150" t="inlineStr">
        <is>
          <t>Bull CB 45 STS</t>
        </is>
      </c>
      <c r="C712" s="150" t="inlineStr">
        <is>
          <t>CRPL</t>
        </is>
      </c>
      <c r="D712" s="37" t="inlineStr">
        <is>
          <t>Top</t>
        </is>
      </c>
      <c r="E712" s="37" t="n">
        <v>100</v>
      </c>
      <c r="F712" s="37" t="inlineStr">
        <is>
          <t>Single</t>
        </is>
      </c>
      <c r="G712" s="37" t="n"/>
      <c r="H712" s="37" t="inlineStr">
        <is>
          <t>163 X 198</t>
        </is>
      </c>
      <c r="I712" s="37" t="inlineStr">
        <is>
          <t>14 X 17</t>
        </is>
      </c>
      <c r="J712" s="37" t="n">
        <v>4</v>
      </c>
      <c r="K712" s="78" t="n"/>
      <c r="L712" s="72">
        <f>K712/J712</f>
        <v/>
      </c>
      <c r="M712" s="73" t="n">
        <v>1.906191369606004</v>
      </c>
      <c r="N712" s="72">
        <f>LEFT(I712,FIND("X",I712)-1)*RIGHT(I712,LEN(I712)-FIND("X",I712)-1)*M712</f>
        <v/>
      </c>
      <c r="O712" s="74">
        <f>(N712*L712)/1000</f>
        <v/>
      </c>
    </row>
    <row r="713" ht="15.75" customHeight="1" thickBot="1">
      <c r="A713" s="135" t="n"/>
      <c r="B713" s="135" t="n"/>
      <c r="C713" s="135" t="n"/>
      <c r="D713" s="23" t="inlineStr">
        <is>
          <t>Bottom</t>
        </is>
      </c>
      <c r="E713" s="121" t="n">
        <v>70</v>
      </c>
      <c r="F713" s="121" t="inlineStr">
        <is>
          <t>Single</t>
        </is>
      </c>
      <c r="G713" s="121" t="n"/>
      <c r="H713" s="121" t="inlineStr">
        <is>
          <t>163 X 198</t>
        </is>
      </c>
      <c r="I713" s="121" t="inlineStr">
        <is>
          <t>14 X 17</t>
        </is>
      </c>
      <c r="J713" s="121" t="n">
        <v>4</v>
      </c>
      <c r="K713" s="122" t="n"/>
      <c r="L713" s="25">
        <f>K713/J713</f>
        <v/>
      </c>
      <c r="M713" s="26" t="n">
        <v>1.269736842105263</v>
      </c>
      <c r="N713" s="25">
        <f>LEFT(I713,FIND("X",I713)-1)*RIGHT(I713,LEN(I713)-FIND("X",I713)-1)*M713</f>
        <v/>
      </c>
      <c r="O713" s="27">
        <f>(N713*L713)/1000</f>
        <v/>
      </c>
    </row>
    <row r="714" ht="15" customHeight="1">
      <c r="A714" s="149" t="n">
        <v>4</v>
      </c>
      <c r="B714" s="150" t="inlineStr">
        <is>
          <t>Bull CB 55 STS</t>
        </is>
      </c>
      <c r="C714" s="150" t="inlineStr">
        <is>
          <t>CRPL</t>
        </is>
      </c>
      <c r="D714" s="37" t="inlineStr">
        <is>
          <t>Top</t>
        </is>
      </c>
      <c r="E714" s="37" t="n">
        <v>100</v>
      </c>
      <c r="F714" s="37" t="inlineStr">
        <is>
          <t>Single</t>
        </is>
      </c>
      <c r="G714" s="37" t="n"/>
      <c r="H714" s="37" t="inlineStr">
        <is>
          <t>230 X 312</t>
        </is>
      </c>
      <c r="I714" s="37" t="inlineStr">
        <is>
          <t>13 X 19</t>
        </is>
      </c>
      <c r="J714" s="37" t="n">
        <v>2</v>
      </c>
      <c r="K714" s="78" t="n"/>
      <c r="L714" s="72">
        <f>K714/J714</f>
        <v/>
      </c>
      <c r="M714" s="73" t="n">
        <v>1.906191369606004</v>
      </c>
      <c r="N714" s="72">
        <f>LEFT(I714,FIND("X",I714)-1)*RIGHT(I714,LEN(I714)-FIND("X",I714)-1)*M714</f>
        <v/>
      </c>
      <c r="O714" s="74">
        <f>(N714*L714)/1000</f>
        <v/>
      </c>
    </row>
    <row r="715" ht="15.75" customHeight="1" thickBot="1">
      <c r="A715" s="135" t="n"/>
      <c r="B715" s="135" t="n"/>
      <c r="C715" s="135" t="n"/>
      <c r="D715" s="23" t="inlineStr">
        <is>
          <t>Bottom</t>
        </is>
      </c>
      <c r="E715" s="121" t="n">
        <v>70</v>
      </c>
      <c r="F715" s="121" t="inlineStr">
        <is>
          <t>Single</t>
        </is>
      </c>
      <c r="G715" s="121" t="n"/>
      <c r="H715" s="121" t="inlineStr">
        <is>
          <t>230 X 312</t>
        </is>
      </c>
      <c r="I715" s="121" t="inlineStr">
        <is>
          <t>13 X 19</t>
        </is>
      </c>
      <c r="J715" s="121" t="n">
        <v>2</v>
      </c>
      <c r="K715" s="122" t="n"/>
      <c r="L715" s="25">
        <f>K715/J715</f>
        <v/>
      </c>
      <c r="M715" s="26" t="n">
        <v>1.269736842105263</v>
      </c>
      <c r="N715" s="25">
        <f>LEFT(I715,FIND("X",I715)-1)*RIGHT(I715,LEN(I715)-FIND("X",I715)-1)*M715</f>
        <v/>
      </c>
      <c r="O715" s="27">
        <f>(N715*L715)/1000</f>
        <v/>
      </c>
    </row>
    <row r="716" ht="15" customHeight="1">
      <c r="A716" s="149" t="n">
        <v>5</v>
      </c>
      <c r="B716" s="150" t="inlineStr">
        <is>
          <t>Bull CB 46</t>
        </is>
      </c>
      <c r="C716" s="150" t="inlineStr">
        <is>
          <t>CRPL</t>
        </is>
      </c>
      <c r="D716" s="37" t="inlineStr">
        <is>
          <t>Top</t>
        </is>
      </c>
      <c r="E716" s="37" t="n">
        <v>100</v>
      </c>
      <c r="F716" s="37" t="inlineStr">
        <is>
          <t>Single</t>
        </is>
      </c>
      <c r="G716" s="37" t="n"/>
      <c r="H716" s="37" t="inlineStr">
        <is>
          <t>129 X 407</t>
        </is>
      </c>
      <c r="I716" s="37" t="inlineStr">
        <is>
          <t>16.5 X 22.5</t>
        </is>
      </c>
      <c r="J716" s="37" t="n">
        <v>4</v>
      </c>
      <c r="K716" s="78" t="n">
        <v>75</v>
      </c>
      <c r="L716" s="72">
        <f>K716/J716</f>
        <v/>
      </c>
      <c r="M716" s="73" t="n">
        <v>1.906191369606004</v>
      </c>
      <c r="N716" s="72">
        <f>LEFT(I716,FIND("X",I716)-1)*RIGHT(I716,LEN(I716)-FIND("X",I716)-1)*M716</f>
        <v/>
      </c>
      <c r="O716" s="74">
        <f>(N716*L716)/1000</f>
        <v/>
      </c>
    </row>
    <row r="717" ht="15.75" customHeight="1" thickBot="1">
      <c r="A717" s="135" t="n"/>
      <c r="B717" s="135" t="n"/>
      <c r="C717" s="135" t="n"/>
      <c r="D717" s="23" t="inlineStr">
        <is>
          <t>Bottom</t>
        </is>
      </c>
      <c r="E717" s="121" t="n">
        <v>70</v>
      </c>
      <c r="F717" s="121" t="inlineStr">
        <is>
          <t>Single</t>
        </is>
      </c>
      <c r="G717" s="121" t="n"/>
      <c r="H717" s="121" t="inlineStr">
        <is>
          <t>129 X 407</t>
        </is>
      </c>
      <c r="I717" s="121" t="inlineStr">
        <is>
          <t>16.5 X 22.5</t>
        </is>
      </c>
      <c r="J717" s="121" t="n">
        <v>4</v>
      </c>
      <c r="K717" s="122" t="n">
        <v>75</v>
      </c>
      <c r="L717" s="25">
        <f>K717/J717</f>
        <v/>
      </c>
      <c r="M717" s="26" t="n">
        <v>1.269736842105263</v>
      </c>
      <c r="N717" s="25">
        <f>LEFT(I717,FIND("X",I717)-1)*RIGHT(I717,LEN(I717)-FIND("X",I717)-1)*M717</f>
        <v/>
      </c>
      <c r="O717" s="27">
        <f>(N717*L717)/1000</f>
        <v/>
      </c>
    </row>
    <row r="718" ht="15" customHeight="1">
      <c r="A718" s="149" t="n">
        <v>6</v>
      </c>
      <c r="B718" s="150" t="inlineStr">
        <is>
          <t>Bull CB 50</t>
        </is>
      </c>
      <c r="C718" s="150" t="inlineStr">
        <is>
          <t>CRPL</t>
        </is>
      </c>
      <c r="D718" s="37" t="inlineStr">
        <is>
          <t>Top</t>
        </is>
      </c>
      <c r="E718" s="37" t="n">
        <v>100</v>
      </c>
      <c r="F718" s="37" t="inlineStr">
        <is>
          <t>Single</t>
        </is>
      </c>
      <c r="G718" s="37" t="n"/>
      <c r="H718" s="37" t="inlineStr">
        <is>
          <t>189 X 557</t>
        </is>
      </c>
      <c r="I718" s="37" t="inlineStr">
        <is>
          <t>16 X 23</t>
        </is>
      </c>
      <c r="J718" s="37" t="n">
        <v>2</v>
      </c>
      <c r="K718" s="78" t="n">
        <v>50</v>
      </c>
      <c r="L718" s="72">
        <f>K718/J718</f>
        <v/>
      </c>
      <c r="M718" s="73" t="n">
        <v>1.906191369606004</v>
      </c>
      <c r="N718" s="72">
        <f>LEFT(I718,FIND("X",I718)-1)*RIGHT(I718,LEN(I718)-FIND("X",I718)-1)*M718</f>
        <v/>
      </c>
      <c r="O718" s="74">
        <f>(N718*L718)/1000</f>
        <v/>
      </c>
    </row>
    <row r="719" ht="15.75" customHeight="1" thickBot="1">
      <c r="A719" s="135" t="n"/>
      <c r="B719" s="135" t="n"/>
      <c r="C719" s="135" t="n"/>
      <c r="D719" s="23" t="inlineStr">
        <is>
          <t>Bottom</t>
        </is>
      </c>
      <c r="E719" s="121" t="n">
        <v>70</v>
      </c>
      <c r="F719" s="121" t="inlineStr">
        <is>
          <t>Single</t>
        </is>
      </c>
      <c r="G719" s="121" t="n"/>
      <c r="H719" s="121" t="inlineStr">
        <is>
          <t>189 X 557</t>
        </is>
      </c>
      <c r="I719" s="121" t="inlineStr">
        <is>
          <t>16 X 23</t>
        </is>
      </c>
      <c r="J719" s="121" t="n">
        <v>2</v>
      </c>
      <c r="K719" s="122" t="n">
        <v>50</v>
      </c>
      <c r="L719" s="25">
        <f>K719/J719</f>
        <v/>
      </c>
      <c r="M719" s="26" t="n">
        <v>1.269736842105263</v>
      </c>
      <c r="N719" s="25">
        <f>LEFT(I719,FIND("X",I719)-1)*RIGHT(I719,LEN(I719)-FIND("X",I719)-1)*M719</f>
        <v/>
      </c>
      <c r="O719" s="27">
        <f>(N719*L719)/1000</f>
        <v/>
      </c>
    </row>
  </sheetData>
  <mergeCells count="654">
    <mergeCell ref="A660:A662"/>
    <mergeCell ref="C477:C478"/>
    <mergeCell ref="A144:A146"/>
    <mergeCell ref="A573:A575"/>
    <mergeCell ref="A81:A83"/>
    <mergeCell ref="B699:B701"/>
    <mergeCell ref="B555:B557"/>
    <mergeCell ref="B36:B38"/>
    <mergeCell ref="B334:B336"/>
    <mergeCell ref="B394:B396"/>
    <mergeCell ref="B636:B638"/>
    <mergeCell ref="B570:B572"/>
    <mergeCell ref="C114:C115"/>
    <mergeCell ref="A696:A698"/>
    <mergeCell ref="A525:A527"/>
    <mergeCell ref="B271:B273"/>
    <mergeCell ref="B265:B267"/>
    <mergeCell ref="B507:B509"/>
    <mergeCell ref="B165:B167"/>
    <mergeCell ref="B621:B623"/>
    <mergeCell ref="A716:A717"/>
    <mergeCell ref="B202:B204"/>
    <mergeCell ref="C424:C425"/>
    <mergeCell ref="A84:A86"/>
    <mergeCell ref="A355:A357"/>
    <mergeCell ref="C27:C28"/>
    <mergeCell ref="B552:B554"/>
    <mergeCell ref="C513:C514"/>
    <mergeCell ref="A678:A680"/>
    <mergeCell ref="C190:C191"/>
    <mergeCell ref="A457:A459"/>
    <mergeCell ref="A286:A288"/>
    <mergeCell ref="B412:B414"/>
    <mergeCell ref="B120:B122"/>
    <mergeCell ref="B178:B180"/>
    <mergeCell ref="B349:B351"/>
    <mergeCell ref="C256:C257"/>
    <mergeCell ref="A409:A411"/>
    <mergeCell ref="C427:C428"/>
    <mergeCell ref="B451:B453"/>
    <mergeCell ref="A12:A14"/>
    <mergeCell ref="B687:B689"/>
    <mergeCell ref="A175:A177"/>
    <mergeCell ref="C45:C46"/>
    <mergeCell ref="B624:B626"/>
    <mergeCell ref="C343:C344"/>
    <mergeCell ref="C501:C502"/>
    <mergeCell ref="A373:A375"/>
    <mergeCell ref="C693:C694"/>
    <mergeCell ref="A114:A116"/>
    <mergeCell ref="A412:A414"/>
    <mergeCell ref="C630:C631"/>
    <mergeCell ref="B576:B578"/>
    <mergeCell ref="A241:A243"/>
    <mergeCell ref="A648:A650"/>
    <mergeCell ref="C409:C410"/>
    <mergeCell ref="C567:C568"/>
    <mergeCell ref="A501:A503"/>
    <mergeCell ref="A172:A174"/>
    <mergeCell ref="B75:B77"/>
    <mergeCell ref="C51:C52"/>
    <mergeCell ref="C582:C583"/>
    <mergeCell ref="B466:B467"/>
    <mergeCell ref="B102:B104"/>
    <mergeCell ref="B708:B709"/>
    <mergeCell ref="B400:B402"/>
    <mergeCell ref="B642:B644"/>
    <mergeCell ref="B39:B41"/>
    <mergeCell ref="C636:C637"/>
    <mergeCell ref="B337:B339"/>
    <mergeCell ref="A105:A107"/>
    <mergeCell ref="B573:B575"/>
    <mergeCell ref="A292:A294"/>
    <mergeCell ref="A699:A701"/>
    <mergeCell ref="A528:A530"/>
    <mergeCell ref="A307:A309"/>
    <mergeCell ref="C229:C230"/>
    <mergeCell ref="A636:A638"/>
    <mergeCell ref="C489:C490"/>
    <mergeCell ref="A165:A167"/>
    <mergeCell ref="C280:C281"/>
    <mergeCell ref="B226:B228"/>
    <mergeCell ref="C516:C517"/>
    <mergeCell ref="A621:A623"/>
    <mergeCell ref="C84:C85"/>
    <mergeCell ref="C193:C194"/>
    <mergeCell ref="A102:A104"/>
    <mergeCell ref="A400:A402"/>
    <mergeCell ref="A229:A231"/>
    <mergeCell ref="A289:A291"/>
    <mergeCell ref="B355:B357"/>
    <mergeCell ref="B415:B417"/>
    <mergeCell ref="B63:B65"/>
    <mergeCell ref="C36:C37"/>
    <mergeCell ref="B492:B494"/>
    <mergeCell ref="B292:B294"/>
    <mergeCell ref="B286:B288"/>
    <mergeCell ref="A618:A620"/>
    <mergeCell ref="B528:B530"/>
    <mergeCell ref="B690:B692"/>
    <mergeCell ref="B223:B225"/>
    <mergeCell ref="C651:C652"/>
    <mergeCell ref="A178:A180"/>
    <mergeCell ref="C48:C49"/>
    <mergeCell ref="A466:A467"/>
    <mergeCell ref="C346:C347"/>
    <mergeCell ref="A687:A689"/>
    <mergeCell ref="B352:B354"/>
    <mergeCell ref="A120:A122"/>
    <mergeCell ref="C217:C218"/>
    <mergeCell ref="C633:C634"/>
    <mergeCell ref="B579:B581"/>
    <mergeCell ref="C681:C682"/>
    <mergeCell ref="C648:C649"/>
    <mergeCell ref="C448:C449"/>
    <mergeCell ref="C504:C505"/>
    <mergeCell ref="B205:B207"/>
    <mergeCell ref="A33:A35"/>
    <mergeCell ref="C349:C350"/>
    <mergeCell ref="B241:B243"/>
    <mergeCell ref="B403:B405"/>
    <mergeCell ref="B645:B647"/>
    <mergeCell ref="B474:B476"/>
    <mergeCell ref="B501:B503"/>
    <mergeCell ref="C522:C523"/>
    <mergeCell ref="B280:B282"/>
    <mergeCell ref="B169:B171"/>
    <mergeCell ref="B516:B518"/>
    <mergeCell ref="C301:C302"/>
    <mergeCell ref="A615:A617"/>
    <mergeCell ref="C537:C538"/>
    <mergeCell ref="A642:A644"/>
    <mergeCell ref="A464:A465"/>
    <mergeCell ref="A39:A41"/>
    <mergeCell ref="A310:A312"/>
    <mergeCell ref="C232:C233"/>
    <mergeCell ref="A337:A339"/>
    <mergeCell ref="C430:C431"/>
    <mergeCell ref="C588:C589"/>
    <mergeCell ref="C72:C73"/>
    <mergeCell ref="C96:C97"/>
    <mergeCell ref="C603:C604"/>
    <mergeCell ref="A624:A626"/>
    <mergeCell ref="B421:B423"/>
    <mergeCell ref="B60:B62"/>
    <mergeCell ref="B594:B596"/>
    <mergeCell ref="A313:A315"/>
    <mergeCell ref="C436:C437"/>
    <mergeCell ref="A21:A23"/>
    <mergeCell ref="B495:B497"/>
    <mergeCell ref="B289:B291"/>
    <mergeCell ref="A57:A59"/>
    <mergeCell ref="C250:C251"/>
    <mergeCell ref="A657:A659"/>
    <mergeCell ref="C654:C655"/>
    <mergeCell ref="B84:B86"/>
    <mergeCell ref="C510:C511"/>
    <mergeCell ref="C591:C592"/>
    <mergeCell ref="C525:C526"/>
    <mergeCell ref="C214:C215"/>
    <mergeCell ref="A123:A125"/>
    <mergeCell ref="A421:A423"/>
    <mergeCell ref="C226:C227"/>
    <mergeCell ref="C93:C94"/>
    <mergeCell ref="A552:A554"/>
    <mergeCell ref="A24:A26"/>
    <mergeCell ref="B150:B152"/>
    <mergeCell ref="C576:C577"/>
    <mergeCell ref="A352:A354"/>
    <mergeCell ref="C57:C58"/>
    <mergeCell ref="B684:B686"/>
    <mergeCell ref="B513:B515"/>
    <mergeCell ref="B307:B309"/>
    <mergeCell ref="B190:B192"/>
    <mergeCell ref="A639:A641"/>
    <mergeCell ref="B21:B23"/>
    <mergeCell ref="C385:C386"/>
    <mergeCell ref="B208:B210"/>
    <mergeCell ref="B244:B246"/>
    <mergeCell ref="A370:A372"/>
    <mergeCell ref="C69:C70"/>
    <mergeCell ref="A205:A207"/>
    <mergeCell ref="A385:A387"/>
    <mergeCell ref="B606:B608"/>
    <mergeCell ref="B283:B285"/>
    <mergeCell ref="C6:C7"/>
    <mergeCell ref="C111:C112"/>
    <mergeCell ref="B519:B521"/>
    <mergeCell ref="C304:C305"/>
    <mergeCell ref="A238:A240"/>
    <mergeCell ref="C480:C481"/>
    <mergeCell ref="A42:A44"/>
    <mergeCell ref="C540:C541"/>
    <mergeCell ref="A645:A647"/>
    <mergeCell ref="A474:A476"/>
    <mergeCell ref="C702:C703"/>
    <mergeCell ref="C531:C532"/>
    <mergeCell ref="C696:C697"/>
    <mergeCell ref="B397:B399"/>
    <mergeCell ref="B310:B312"/>
    <mergeCell ref="A540:A542"/>
    <mergeCell ref="B126:B128"/>
    <mergeCell ref="B424:B426"/>
    <mergeCell ref="B666:B668"/>
    <mergeCell ref="B138:B140"/>
    <mergeCell ref="B3:B5"/>
    <mergeCell ref="A202:A204"/>
    <mergeCell ref="B301:B303"/>
    <mergeCell ref="A627:A629"/>
    <mergeCell ref="B537:B539"/>
    <mergeCell ref="A663:A665"/>
    <mergeCell ref="B232:B234"/>
    <mergeCell ref="A564:A566"/>
    <mergeCell ref="A442:A444"/>
    <mergeCell ref="A60:A62"/>
    <mergeCell ref="C253:C254"/>
    <mergeCell ref="C597:C598"/>
    <mergeCell ref="A268:A270"/>
    <mergeCell ref="B427:B429"/>
    <mergeCell ref="C534:C535"/>
    <mergeCell ref="C528:C529"/>
    <mergeCell ref="A126:A128"/>
    <mergeCell ref="C319:C320"/>
    <mergeCell ref="A424:A426"/>
    <mergeCell ref="B379:B381"/>
    <mergeCell ref="B718:B719"/>
    <mergeCell ref="C579:C580"/>
    <mergeCell ref="C457:C458"/>
    <mergeCell ref="B87:B89"/>
    <mergeCell ref="B627:B629"/>
    <mergeCell ref="B316:B318"/>
    <mergeCell ref="B543:B545"/>
    <mergeCell ref="C594:C595"/>
    <mergeCell ref="B24:B26"/>
    <mergeCell ref="A63:A65"/>
    <mergeCell ref="A150:A152"/>
    <mergeCell ref="B558:B560"/>
    <mergeCell ref="A684:A686"/>
    <mergeCell ref="A513:A515"/>
    <mergeCell ref="A99:O101"/>
    <mergeCell ref="B51:B53"/>
    <mergeCell ref="C12:C13"/>
    <mergeCell ref="B153:B155"/>
    <mergeCell ref="B591:B593"/>
    <mergeCell ref="C612:C613"/>
    <mergeCell ref="C418:C419"/>
    <mergeCell ref="C247:C248"/>
    <mergeCell ref="C412:C413"/>
    <mergeCell ref="C241:C242"/>
    <mergeCell ref="C483:C484"/>
    <mergeCell ref="A45:A47"/>
    <mergeCell ref="A343:A345"/>
    <mergeCell ref="A477:A479"/>
    <mergeCell ref="A361:O363"/>
    <mergeCell ref="C178:C179"/>
    <mergeCell ref="A87:A89"/>
    <mergeCell ref="B705:B707"/>
    <mergeCell ref="C78:C79"/>
    <mergeCell ref="C718:C719"/>
    <mergeCell ref="B382:B384"/>
    <mergeCell ref="B238:B240"/>
    <mergeCell ref="B42:B44"/>
    <mergeCell ref="C699:C700"/>
    <mergeCell ref="A193:A195"/>
    <mergeCell ref="B229:B231"/>
    <mergeCell ref="B471:B473"/>
    <mergeCell ref="C307:C308"/>
    <mergeCell ref="B253:B255"/>
    <mergeCell ref="A376:A378"/>
    <mergeCell ref="B669:B671"/>
    <mergeCell ref="A397:A399"/>
    <mergeCell ref="A468:A470"/>
    <mergeCell ref="B6:B8"/>
    <mergeCell ref="B448:B450"/>
    <mergeCell ref="B304:B306"/>
    <mergeCell ref="B298:B300"/>
    <mergeCell ref="A630:A632"/>
    <mergeCell ref="B540:B542"/>
    <mergeCell ref="C325:C326"/>
    <mergeCell ref="A666:A668"/>
    <mergeCell ref="C33:C34"/>
    <mergeCell ref="A147:A149"/>
    <mergeCell ref="C340:C341"/>
    <mergeCell ref="A594:A605"/>
    <mergeCell ref="B477:B479"/>
    <mergeCell ref="A445:A447"/>
    <mergeCell ref="C196:C197"/>
    <mergeCell ref="C600:C601"/>
    <mergeCell ref="C394:C395"/>
    <mergeCell ref="B331:B333"/>
    <mergeCell ref="B184:B186"/>
    <mergeCell ref="C433:C434"/>
    <mergeCell ref="B159:B161"/>
    <mergeCell ref="A427:A429"/>
    <mergeCell ref="B268:B270"/>
    <mergeCell ref="B693:B695"/>
    <mergeCell ref="B96:B98"/>
    <mergeCell ref="B90:B92"/>
    <mergeCell ref="B630:B632"/>
    <mergeCell ref="A379:A381"/>
    <mergeCell ref="B27:B29"/>
    <mergeCell ref="A579:A593"/>
    <mergeCell ref="A66:A68"/>
    <mergeCell ref="A522:A524"/>
    <mergeCell ref="A516:A518"/>
    <mergeCell ref="A316:A318"/>
    <mergeCell ref="C15:C16"/>
    <mergeCell ref="C313:C314"/>
    <mergeCell ref="C555:C556"/>
    <mergeCell ref="A331:A333"/>
    <mergeCell ref="C549:C550"/>
    <mergeCell ref="B250:B252"/>
    <mergeCell ref="C30:C31"/>
    <mergeCell ref="C184:C185"/>
    <mergeCell ref="C657:C658"/>
    <mergeCell ref="C486:C487"/>
    <mergeCell ref="B187:B189"/>
    <mergeCell ref="B510:B512"/>
    <mergeCell ref="A72:A74"/>
    <mergeCell ref="B108:B110"/>
    <mergeCell ref="B546:B548"/>
    <mergeCell ref="B564:B566"/>
    <mergeCell ref="C615:C616"/>
    <mergeCell ref="B45:B47"/>
    <mergeCell ref="B343:B345"/>
    <mergeCell ref="C123:C124"/>
    <mergeCell ref="B256:B258"/>
    <mergeCell ref="A705:A707"/>
    <mergeCell ref="B612:B614"/>
    <mergeCell ref="A471:A473"/>
    <mergeCell ref="C105:C106"/>
    <mergeCell ref="C639:C640"/>
    <mergeCell ref="C439:C440"/>
    <mergeCell ref="C710:C711"/>
    <mergeCell ref="C328:C329"/>
    <mergeCell ref="C675:C676"/>
    <mergeCell ref="A669:A671"/>
    <mergeCell ref="A6:A8"/>
    <mergeCell ref="A448:A450"/>
    <mergeCell ref="A277:A279"/>
    <mergeCell ref="C199:C200"/>
    <mergeCell ref="A108:A110"/>
    <mergeCell ref="B259:B261"/>
    <mergeCell ref="B567:B569"/>
    <mergeCell ref="B681:B683"/>
    <mergeCell ref="B211:B213"/>
    <mergeCell ref="B162:B164"/>
    <mergeCell ref="B702:B704"/>
    <mergeCell ref="B696:B698"/>
    <mergeCell ref="B525:B527"/>
    <mergeCell ref="A651:A653"/>
    <mergeCell ref="B561:B563"/>
    <mergeCell ref="A451:A453"/>
    <mergeCell ref="B33:B35"/>
    <mergeCell ref="C54:C55"/>
    <mergeCell ref="A159:A161"/>
    <mergeCell ref="B633:B635"/>
    <mergeCell ref="B498:B500"/>
    <mergeCell ref="A693:A695"/>
    <mergeCell ref="A382:A384"/>
    <mergeCell ref="A96:A98"/>
    <mergeCell ref="B193:B195"/>
    <mergeCell ref="A403:A405"/>
    <mergeCell ref="C621:C622"/>
    <mergeCell ref="C129:C130"/>
    <mergeCell ref="B585:B587"/>
    <mergeCell ref="C400:C401"/>
    <mergeCell ref="A436:A438"/>
    <mergeCell ref="C316:C317"/>
    <mergeCell ref="C120:C121"/>
    <mergeCell ref="C552:C553"/>
    <mergeCell ref="C454:C455"/>
    <mergeCell ref="B522:B524"/>
    <mergeCell ref="C60:C61"/>
    <mergeCell ref="C331:C332"/>
    <mergeCell ref="B117:B119"/>
    <mergeCell ref="C714:C715"/>
    <mergeCell ref="B111:B113"/>
    <mergeCell ref="B409:B411"/>
    <mergeCell ref="B651:B653"/>
    <mergeCell ref="B480:B482"/>
    <mergeCell ref="B328:B330"/>
    <mergeCell ref="A606:A608"/>
    <mergeCell ref="B48:B50"/>
    <mergeCell ref="B346:B348"/>
    <mergeCell ref="B175:B177"/>
    <mergeCell ref="A3:A5"/>
    <mergeCell ref="C126:C127"/>
    <mergeCell ref="B582:B584"/>
    <mergeCell ref="A301:A303"/>
    <mergeCell ref="A543:A545"/>
    <mergeCell ref="A537:A539"/>
    <mergeCell ref="C220:C221"/>
    <mergeCell ref="A18:A20"/>
    <mergeCell ref="C334:C335"/>
    <mergeCell ref="C570:C571"/>
    <mergeCell ref="C42:C43"/>
    <mergeCell ref="C642:C643"/>
    <mergeCell ref="C678:C679"/>
    <mergeCell ref="B648:B650"/>
    <mergeCell ref="A612:A614"/>
    <mergeCell ref="C507:C508"/>
    <mergeCell ref="A93:A95"/>
    <mergeCell ref="A111:A113"/>
    <mergeCell ref="B710:B711"/>
    <mergeCell ref="B406:B408"/>
    <mergeCell ref="B66:B68"/>
    <mergeCell ref="C546:C547"/>
    <mergeCell ref="C442:C443"/>
    <mergeCell ref="B277:B279"/>
    <mergeCell ref="B712:B713"/>
    <mergeCell ref="B295:B297"/>
    <mergeCell ref="B105:B107"/>
    <mergeCell ref="B214:B216"/>
    <mergeCell ref="A492:A494"/>
    <mergeCell ref="B639:B641"/>
    <mergeCell ref="A169:A171"/>
    <mergeCell ref="C660:C661"/>
    <mergeCell ref="C39:C40"/>
    <mergeCell ref="A690:A692"/>
    <mergeCell ref="A162:A164"/>
    <mergeCell ref="C355:C356"/>
    <mergeCell ref="A702:A704"/>
    <mergeCell ref="A531:A533"/>
    <mergeCell ref="C391:C392"/>
    <mergeCell ref="C468:C469"/>
    <mergeCell ref="A406:A408"/>
    <mergeCell ref="A235:A237"/>
    <mergeCell ref="B132:B134"/>
    <mergeCell ref="B430:B432"/>
    <mergeCell ref="B588:B590"/>
    <mergeCell ref="C259:C260"/>
    <mergeCell ref="C666:C667"/>
    <mergeCell ref="C495:C496"/>
    <mergeCell ref="B196:B198"/>
    <mergeCell ref="A322:A324"/>
    <mergeCell ref="A558:A560"/>
    <mergeCell ref="B54:B56"/>
    <mergeCell ref="B418:B420"/>
    <mergeCell ref="B114:B116"/>
    <mergeCell ref="C75:C76"/>
    <mergeCell ref="B654:B656"/>
    <mergeCell ref="B483:B485"/>
    <mergeCell ref="B464:B465"/>
    <mergeCell ref="A609:A611"/>
    <mergeCell ref="C561:C562"/>
    <mergeCell ref="A117:A119"/>
    <mergeCell ref="A304:A306"/>
    <mergeCell ref="A546:A548"/>
    <mergeCell ref="A480:A482"/>
    <mergeCell ref="C223:C224"/>
    <mergeCell ref="A328:A330"/>
    <mergeCell ref="A132:A134"/>
    <mergeCell ref="A325:A327"/>
    <mergeCell ref="A430:A432"/>
    <mergeCell ref="A48:A50"/>
    <mergeCell ref="A319:A321"/>
    <mergeCell ref="A561:A563"/>
    <mergeCell ref="C337:C338"/>
    <mergeCell ref="C573:C574"/>
    <mergeCell ref="B445:B447"/>
    <mergeCell ref="C585:C586"/>
    <mergeCell ref="C81:C82"/>
    <mergeCell ref="C352:C353"/>
    <mergeCell ref="B18:B20"/>
    <mergeCell ref="A394:A396"/>
    <mergeCell ref="B672:B674"/>
    <mergeCell ref="B9:B11"/>
    <mergeCell ref="A208:A210"/>
    <mergeCell ref="B69:B71"/>
    <mergeCell ref="B367:B369"/>
    <mergeCell ref="B603:B605"/>
    <mergeCell ref="C445:C446"/>
    <mergeCell ref="A710:A711"/>
    <mergeCell ref="A495:A497"/>
    <mergeCell ref="C63:C64"/>
    <mergeCell ref="A712:A713"/>
    <mergeCell ref="A274:A276"/>
    <mergeCell ref="C663:C664"/>
    <mergeCell ref="B123:B125"/>
    <mergeCell ref="A633:A635"/>
    <mergeCell ref="C705:C706"/>
    <mergeCell ref="A534:A536"/>
    <mergeCell ref="C211:C212"/>
    <mergeCell ref="A15:A17"/>
    <mergeCell ref="B489:B491"/>
    <mergeCell ref="A549:A551"/>
    <mergeCell ref="C471:C472"/>
    <mergeCell ref="B141:B143"/>
    <mergeCell ref="B135:B137"/>
    <mergeCell ref="B433:B435"/>
    <mergeCell ref="B504:B506"/>
    <mergeCell ref="B531:B533"/>
    <mergeCell ref="C66:C67"/>
    <mergeCell ref="B12:B14"/>
    <mergeCell ref="B322:B324"/>
    <mergeCell ref="B72:B74"/>
    <mergeCell ref="C669:C670"/>
    <mergeCell ref="C498:C499"/>
    <mergeCell ref="B199:B201"/>
    <mergeCell ref="B235:B237"/>
    <mergeCell ref="B660:B662"/>
    <mergeCell ref="A196:A198"/>
    <mergeCell ref="B57:B59"/>
    <mergeCell ref="A498:A500"/>
    <mergeCell ref="B597:B599"/>
    <mergeCell ref="B657:B659"/>
    <mergeCell ref="B364:B366"/>
    <mergeCell ref="C618:C619"/>
    <mergeCell ref="B436:B438"/>
    <mergeCell ref="C397:C398"/>
    <mergeCell ref="A418:A420"/>
    <mergeCell ref="A489:A491"/>
    <mergeCell ref="A654:A656"/>
    <mergeCell ref="A483:A485"/>
    <mergeCell ref="A135:A137"/>
    <mergeCell ref="C712:C713"/>
    <mergeCell ref="B609:B611"/>
    <mergeCell ref="A433:A435"/>
    <mergeCell ref="C451:C452"/>
    <mergeCell ref="C687:C688"/>
    <mergeCell ref="B388:B390"/>
    <mergeCell ref="B217:B219"/>
    <mergeCell ref="A199:A201"/>
    <mergeCell ref="C382:C383"/>
    <mergeCell ref="B714:B715"/>
    <mergeCell ref="C624:C625"/>
    <mergeCell ref="B325:B327"/>
    <mergeCell ref="B319:B321"/>
    <mergeCell ref="A280:A282"/>
    <mergeCell ref="B439:B441"/>
    <mergeCell ref="B675:B677"/>
    <mergeCell ref="B716:B717"/>
    <mergeCell ref="B156:B158"/>
    <mergeCell ref="A211:A213"/>
    <mergeCell ref="B370:B372"/>
    <mergeCell ref="A138:A140"/>
    <mergeCell ref="A567:A569"/>
    <mergeCell ref="A672:A674"/>
    <mergeCell ref="A51:A53"/>
    <mergeCell ref="C415:C416"/>
    <mergeCell ref="B385:B387"/>
    <mergeCell ref="A349:A351"/>
    <mergeCell ref="C244:C245"/>
    <mergeCell ref="A346:A348"/>
    <mergeCell ref="A153:A155"/>
    <mergeCell ref="A69:A71"/>
    <mergeCell ref="A340:A342"/>
    <mergeCell ref="A367:A369"/>
    <mergeCell ref="A54:A56"/>
    <mergeCell ref="C181:C182"/>
    <mergeCell ref="C606:C607"/>
    <mergeCell ref="C102:C103"/>
    <mergeCell ref="C87:C88"/>
    <mergeCell ref="C3:C4"/>
    <mergeCell ref="C543:C544"/>
    <mergeCell ref="C310:C311"/>
    <mergeCell ref="A415:A417"/>
    <mergeCell ref="C18:C19"/>
    <mergeCell ref="B274:B276"/>
    <mergeCell ref="B78:B80"/>
    <mergeCell ref="B376:B378"/>
    <mergeCell ref="B534:B536"/>
    <mergeCell ref="B15:B17"/>
    <mergeCell ref="A718:A719"/>
    <mergeCell ref="B373:B375"/>
    <mergeCell ref="B129:B131"/>
    <mergeCell ref="A504:A506"/>
    <mergeCell ref="B663:B665"/>
    <mergeCell ref="A295:A297"/>
    <mergeCell ref="C684:C685"/>
    <mergeCell ref="B144:B146"/>
    <mergeCell ref="B442:B444"/>
    <mergeCell ref="C21:C22"/>
    <mergeCell ref="B600:B602"/>
    <mergeCell ref="A555:A557"/>
    <mergeCell ref="A244:A267"/>
    <mergeCell ref="C238:C239"/>
    <mergeCell ref="A36:A38"/>
    <mergeCell ref="C474:C475"/>
    <mergeCell ref="A334:A336"/>
    <mergeCell ref="A30:A32"/>
    <mergeCell ref="A570:A572"/>
    <mergeCell ref="C492:C493"/>
    <mergeCell ref="A486:A488"/>
    <mergeCell ref="A364:A366"/>
    <mergeCell ref="B454:B456"/>
    <mergeCell ref="B93:B95"/>
    <mergeCell ref="C690:C691"/>
    <mergeCell ref="C519:C520"/>
    <mergeCell ref="B391:B393"/>
    <mergeCell ref="B220:B222"/>
    <mergeCell ref="B247:B249"/>
    <mergeCell ref="C298:C299"/>
    <mergeCell ref="B262:B264"/>
    <mergeCell ref="A90:A92"/>
    <mergeCell ref="A283:A285"/>
    <mergeCell ref="C406:C407"/>
    <mergeCell ref="A388:A390"/>
    <mergeCell ref="C235:C236"/>
    <mergeCell ref="A519:A521"/>
    <mergeCell ref="B618:B620"/>
    <mergeCell ref="B678:B680"/>
    <mergeCell ref="A27:A29"/>
    <mergeCell ref="B457:B459"/>
    <mergeCell ref="C421:C422"/>
    <mergeCell ref="B313:B315"/>
    <mergeCell ref="A141:A143"/>
    <mergeCell ref="B549:B551"/>
    <mergeCell ref="A439:A441"/>
    <mergeCell ref="A681:A683"/>
    <mergeCell ref="A510:A512"/>
    <mergeCell ref="A675:A677"/>
    <mergeCell ref="B30:B32"/>
    <mergeCell ref="C187:C188"/>
    <mergeCell ref="A156:A158"/>
    <mergeCell ref="C716:C717"/>
    <mergeCell ref="B486:B488"/>
    <mergeCell ref="A714:A715"/>
    <mergeCell ref="C672:C673"/>
    <mergeCell ref="A454:A456"/>
    <mergeCell ref="A708:A709"/>
    <mergeCell ref="C708:C709"/>
    <mergeCell ref="C9:C10"/>
    <mergeCell ref="A391:A393"/>
    <mergeCell ref="C609:C610"/>
    <mergeCell ref="C403:C404"/>
    <mergeCell ref="C645:C646"/>
    <mergeCell ref="C90:C91"/>
    <mergeCell ref="C117:C118"/>
    <mergeCell ref="C388:C389"/>
    <mergeCell ref="B340:B342"/>
    <mergeCell ref="A9:A11"/>
    <mergeCell ref="A232:A234"/>
    <mergeCell ref="B81:B83"/>
    <mergeCell ref="B615:B617"/>
    <mergeCell ref="A576:A578"/>
    <mergeCell ref="B468:B470"/>
    <mergeCell ref="A460:O462"/>
    <mergeCell ref="A78:A80"/>
    <mergeCell ref="A271:A273"/>
    <mergeCell ref="B181:B183"/>
    <mergeCell ref="A75:A77"/>
    <mergeCell ref="A507:A509"/>
    <mergeCell ref="B172:B174"/>
    <mergeCell ref="C627:C628"/>
    <mergeCell ref="A298:A300"/>
    <mergeCell ref="B147:B149"/>
    <mergeCell ref="C108:C109"/>
    <mergeCell ref="C24:C25"/>
    <mergeCell ref="A129:A131"/>
    <mergeCell ref="C322:C323"/>
    <mergeCell ref="C564:C565"/>
    <mergeCell ref="C558:C559"/>
  </mergeCells>
  <pageMargins left="0.7086614173228347" right="0.7086614173228347" top="0.7480314960629921" bottom="0.7480314960629921" header="0.3149606299212598" footer="0.3149606299212598"/>
  <pageSetup orientation="landscape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E1" sqref="E1"/>
    </sheetView>
  </sheetViews>
  <sheetFormatPr baseColWidth="8"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O302"/>
  <sheetViews>
    <sheetView zoomScaleNormal="100" workbookViewId="0">
      <pane ySplit="1" topLeftCell="A170" activePane="bottomLeft" state="frozen"/>
      <selection pane="bottomLeft" activeCell="B173" sqref="B173:B178"/>
    </sheetView>
  </sheetViews>
  <sheetFormatPr baseColWidth="8" defaultRowHeight="12.75"/>
  <cols>
    <col width="7.85546875" customWidth="1" style="1" min="1" max="1"/>
    <col width="11.5703125" customWidth="1" style="1" min="2" max="2"/>
    <col width="12.7109375" customWidth="1" style="1" min="3" max="3"/>
    <col width="9.28515625" customWidth="1" style="1" min="4" max="4"/>
    <col width="6.42578125" bestFit="1" customWidth="1" style="1" min="5" max="5"/>
    <col width="8.5703125" bestFit="1" customWidth="1" style="1" min="6" max="6"/>
    <col width="20.7109375" customWidth="1" style="1" min="7" max="7"/>
    <col width="12.7109375" customWidth="1" style="1" min="8" max="8"/>
    <col width="12.5703125" customWidth="1" style="1" min="9" max="9"/>
    <col width="6.7109375" bestFit="1" customWidth="1" style="1" min="10" max="10"/>
    <col width="12.85546875" customWidth="1" style="123" min="11" max="11"/>
    <col width="10.7109375" customWidth="1" style="2" min="12" max="12"/>
    <col width="6.7109375" bestFit="1" customWidth="1" min="13" max="13"/>
    <col width="11.28515625" customWidth="1" min="14" max="14"/>
    <col width="9.85546875" bestFit="1" customWidth="1" style="3" min="15" max="15"/>
  </cols>
  <sheetData>
    <row r="1" ht="45" customFormat="1" customHeight="1" s="7">
      <c r="A1" s="4" t="inlineStr">
        <is>
          <t>Sr No</t>
        </is>
      </c>
      <c r="B1" s="4" t="inlineStr">
        <is>
          <t>Item Name</t>
        </is>
      </c>
      <c r="C1" s="4" t="inlineStr">
        <is>
          <t>Compound</t>
        </is>
      </c>
      <c r="D1" s="4" t="inlineStr">
        <is>
          <t>Side</t>
        </is>
      </c>
      <c r="E1" s="4" t="inlineStr">
        <is>
          <t>Thou</t>
        </is>
      </c>
      <c r="F1" s="4" t="inlineStr">
        <is>
          <t>Die Type</t>
        </is>
      </c>
      <c r="G1" s="4" t="inlineStr">
        <is>
          <t>Die Name</t>
        </is>
      </c>
      <c r="H1" s="4" t="inlineStr">
        <is>
          <t>Die Size in MM</t>
        </is>
      </c>
      <c r="I1" s="4" t="inlineStr">
        <is>
          <t>Comp Sheet Size in Inch</t>
        </is>
      </c>
      <c r="J1" s="4" t="inlineStr">
        <is>
          <t>Per sheet item</t>
        </is>
      </c>
      <c r="K1" s="4" t="inlineStr">
        <is>
          <t>order</t>
        </is>
      </c>
      <c r="L1" s="5" t="inlineStr">
        <is>
          <t>Required sheet</t>
        </is>
      </c>
      <c r="M1" s="6" t="inlineStr">
        <is>
          <t>Per sheet Gm</t>
        </is>
      </c>
      <c r="N1" s="6" t="inlineStr">
        <is>
          <t>Per sheet Weight in Gm</t>
        </is>
      </c>
      <c r="O1" s="6" t="inlineStr">
        <is>
          <t>Total kg</t>
        </is>
      </c>
    </row>
    <row r="2" ht="17.25" customFormat="1" customHeight="1" s="17">
      <c r="A2" s="23" t="n">
        <v>1</v>
      </c>
      <c r="B2" s="132" t="inlineStr">
        <is>
          <t>MCX 08</t>
        </is>
      </c>
      <c r="C2" s="59" t="inlineStr">
        <is>
          <t>LVP</t>
        </is>
      </c>
      <c r="D2" s="11" t="inlineStr">
        <is>
          <t>Top</t>
        </is>
      </c>
      <c r="E2" s="11" t="n">
        <v>55</v>
      </c>
      <c r="F2" s="11" t="inlineStr">
        <is>
          <t>Single</t>
        </is>
      </c>
      <c r="G2" s="11" t="inlineStr">
        <is>
          <t>GNR 8 LVP</t>
        </is>
      </c>
      <c r="H2" s="12" t="inlineStr">
        <is>
          <t>35 X 55</t>
        </is>
      </c>
      <c r="I2" s="11" t="inlineStr">
        <is>
          <t>21 X 21</t>
        </is>
      </c>
      <c r="J2" s="11" t="n">
        <v>88</v>
      </c>
      <c r="K2" s="13" t="n"/>
      <c r="L2" s="14">
        <f>K2/J2</f>
        <v/>
      </c>
      <c r="M2" s="15" t="n">
        <v>1.042553191489362</v>
      </c>
      <c r="N2" s="14">
        <f>LEFT(I2,FIND("X",I2)-1)*RIGHT(I2,LEN(I2)-FIND("X",I2)-1)*M2</f>
        <v/>
      </c>
      <c r="O2" s="16">
        <f>(N2*L2)/1000</f>
        <v/>
      </c>
    </row>
    <row r="3" ht="17.25" customFormat="1" customHeight="1" s="17">
      <c r="A3" s="133" t="n"/>
      <c r="B3" s="133" t="n"/>
      <c r="C3" s="134" t="n"/>
      <c r="D3" s="11" t="inlineStr">
        <is>
          <t>Bottom</t>
        </is>
      </c>
      <c r="E3" s="11" t="n"/>
      <c r="F3" s="11" t="n"/>
      <c r="G3" s="11" t="n"/>
      <c r="H3" s="11" t="n"/>
      <c r="I3" s="11" t="n"/>
      <c r="J3" s="11" t="n"/>
      <c r="K3" s="13" t="n"/>
      <c r="L3" s="14">
        <f>K3/J3</f>
        <v/>
      </c>
      <c r="M3" s="15" t="e">
        <v>#N/A</v>
      </c>
      <c r="N3" s="14">
        <f>LEFT(I3,FIND("X",I3)-1)*RIGHT(I3,LEN(I3)-FIND("X",I3)-1)*M3</f>
        <v/>
      </c>
      <c r="O3" s="16">
        <f>(N3*L3)/1000</f>
        <v/>
      </c>
    </row>
    <row r="4" ht="17.25" customFormat="1" customHeight="1" s="17" thickBot="1">
      <c r="A4" s="135" t="n"/>
      <c r="B4" s="135" t="n"/>
      <c r="C4" s="22" t="inlineStr">
        <is>
          <t>SVG</t>
        </is>
      </c>
      <c r="D4" s="23" t="inlineStr">
        <is>
          <t>-</t>
        </is>
      </c>
      <c r="E4" s="23" t="n">
        <v>22</v>
      </c>
      <c r="F4" s="23" t="inlineStr">
        <is>
          <t>Single</t>
        </is>
      </c>
      <c r="G4" s="23" t="inlineStr">
        <is>
          <t>GNR 8 SVG</t>
        </is>
      </c>
      <c r="H4" s="23" t="inlineStr">
        <is>
          <t>45 X 65</t>
        </is>
      </c>
      <c r="I4" s="23" t="inlineStr">
        <is>
          <t>21 X 22</t>
        </is>
      </c>
      <c r="J4" s="23" t="n">
        <v>70</v>
      </c>
      <c r="K4" s="115" t="n"/>
      <c r="L4" s="25">
        <f>K4/J4</f>
        <v/>
      </c>
      <c r="M4" s="26" t="n">
        <v>0.4398148148148148</v>
      </c>
      <c r="N4" s="25">
        <f>LEFT(I4,FIND("X",I4)-1)*RIGHT(I4,LEN(I4)-FIND("X",I4)-1)*M4</f>
        <v/>
      </c>
      <c r="O4" s="27">
        <f>(N4*L4)/1000</f>
        <v/>
      </c>
    </row>
    <row r="5" ht="17.25" customFormat="1" customHeight="1" s="17">
      <c r="A5" s="121" t="n">
        <v>2</v>
      </c>
      <c r="B5" s="21" t="inlineStr">
        <is>
          <t>MCX 10</t>
        </is>
      </c>
      <c r="C5" s="58" t="inlineStr">
        <is>
          <t>LVP</t>
        </is>
      </c>
      <c r="D5" s="29" t="inlineStr">
        <is>
          <t>Top</t>
        </is>
      </c>
      <c r="E5" s="29" t="n">
        <v>60</v>
      </c>
      <c r="F5" s="29" t="inlineStr">
        <is>
          <t>Passing</t>
        </is>
      </c>
      <c r="G5" s="29" t="inlineStr">
        <is>
          <t>MCX 10 LVP</t>
        </is>
      </c>
      <c r="H5" s="29" t="inlineStr">
        <is>
          <t>40 X 60</t>
        </is>
      </c>
      <c r="I5" s="29" t="inlineStr">
        <is>
          <t>18.5 X 24</t>
        </is>
      </c>
      <c r="J5" s="29" t="n">
        <v>90</v>
      </c>
      <c r="K5" s="114" t="n">
        <v>2000</v>
      </c>
      <c r="L5" s="31">
        <f>K5/J5</f>
        <v/>
      </c>
      <c r="M5" s="32" t="n">
        <v>1.103988603988604</v>
      </c>
      <c r="N5" s="31">
        <f>LEFT(I5,FIND("X",I5)-1)*RIGHT(I5,LEN(I5)-FIND("X",I5)-1)*M5</f>
        <v/>
      </c>
      <c r="O5" s="33">
        <f>(N5*L5)/1000</f>
        <v/>
      </c>
    </row>
    <row r="6" ht="17.25" customFormat="1" customHeight="1" s="17">
      <c r="A6" s="133" t="n"/>
      <c r="B6" s="133" t="n"/>
      <c r="C6" s="136" t="n"/>
      <c r="D6" s="11" t="inlineStr">
        <is>
          <t>Bottom</t>
        </is>
      </c>
      <c r="E6" s="11" t="n"/>
      <c r="F6" s="11" t="n"/>
      <c r="G6" s="11" t="n"/>
      <c r="H6" s="11" t="n"/>
      <c r="I6" s="11" t="n"/>
      <c r="J6" s="11" t="n"/>
      <c r="K6" s="114" t="n">
        <v>2000</v>
      </c>
      <c r="L6" s="14">
        <f>K6/J6</f>
        <v/>
      </c>
      <c r="M6" s="15" t="e">
        <v>#N/A</v>
      </c>
      <c r="N6" s="14">
        <f>LEFT(I6,FIND("X",I6)-1)*RIGHT(I6,LEN(I6)-FIND("X",I6)-1)*M6</f>
        <v/>
      </c>
      <c r="O6" s="16">
        <f>(N6*L6)/1000</f>
        <v/>
      </c>
    </row>
    <row r="7" ht="17.25" customFormat="1" customHeight="1" s="17" thickBot="1">
      <c r="A7" s="135" t="n"/>
      <c r="B7" s="135" t="n"/>
      <c r="C7" s="22" t="inlineStr">
        <is>
          <t>SVG</t>
        </is>
      </c>
      <c r="D7" s="23" t="inlineStr">
        <is>
          <t>-</t>
        </is>
      </c>
      <c r="E7" s="23" t="n">
        <v>22</v>
      </c>
      <c r="F7" s="23" t="inlineStr">
        <is>
          <t>Passing</t>
        </is>
      </c>
      <c r="G7" s="23" t="inlineStr">
        <is>
          <t>MCX 10 SVG</t>
        </is>
      </c>
      <c r="H7" s="23" t="inlineStr">
        <is>
          <t>50 X 70</t>
        </is>
      </c>
      <c r="I7" s="23" t="inlineStr">
        <is>
          <t>18.5 X 25</t>
        </is>
      </c>
      <c r="J7" s="23" t="n">
        <v>66</v>
      </c>
      <c r="K7" s="114" t="n">
        <v>2000</v>
      </c>
      <c r="L7" s="25">
        <f>K7/J7</f>
        <v/>
      </c>
      <c r="M7" s="26" t="n">
        <v>0.4398148148148148</v>
      </c>
      <c r="N7" s="25">
        <f>LEFT(I7,FIND("X",I7)-1)*RIGHT(I7,LEN(I7)-FIND("X",I7)-1)*M7</f>
        <v/>
      </c>
      <c r="O7" s="27">
        <f>(N7*L7)/1000</f>
        <v/>
      </c>
    </row>
    <row r="8" ht="15" customHeight="1">
      <c r="A8" s="121" t="n">
        <v>3</v>
      </c>
      <c r="B8" s="21" t="inlineStr">
        <is>
          <t>MCX 12</t>
        </is>
      </c>
      <c r="C8" s="58" t="inlineStr">
        <is>
          <t>LVP</t>
        </is>
      </c>
      <c r="D8" s="29" t="inlineStr">
        <is>
          <t>Top</t>
        </is>
      </c>
      <c r="E8" s="29" t="n">
        <v>60</v>
      </c>
      <c r="F8" s="29" t="inlineStr">
        <is>
          <t>Passing</t>
        </is>
      </c>
      <c r="G8" s="29" t="inlineStr">
        <is>
          <t xml:space="preserve">MCX 12 LVP </t>
        </is>
      </c>
      <c r="H8" s="29" t="inlineStr">
        <is>
          <t>50 X 90</t>
        </is>
      </c>
      <c r="I8" s="29" t="inlineStr">
        <is>
          <t>18.5 X 23.5</t>
        </is>
      </c>
      <c r="J8" s="29" t="n">
        <v>48</v>
      </c>
      <c r="K8" s="114" t="n"/>
      <c r="L8" s="31">
        <f>K8/J8</f>
        <v/>
      </c>
      <c r="M8" s="32" t="n">
        <v>1.103988603988604</v>
      </c>
      <c r="N8" s="31">
        <f>LEFT(I8,FIND("X",I8)-1)*RIGHT(I8,LEN(I8)-FIND("X",I8)-1)*M8</f>
        <v/>
      </c>
      <c r="O8" s="33">
        <f>(N8*L8)/1000</f>
        <v/>
      </c>
    </row>
    <row r="9" ht="15" customHeight="1">
      <c r="A9" s="133" t="n"/>
      <c r="B9" s="133" t="n"/>
      <c r="C9" s="136" t="n"/>
      <c r="D9" s="11" t="inlineStr">
        <is>
          <t>Bottom</t>
        </is>
      </c>
      <c r="E9" s="11" t="n"/>
      <c r="F9" s="11" t="n"/>
      <c r="G9" s="11" t="n"/>
      <c r="H9" s="11" t="n"/>
      <c r="I9" s="11" t="n"/>
      <c r="J9" s="11" t="n"/>
      <c r="K9" s="34" t="n"/>
      <c r="L9" s="14">
        <f>K9/J9</f>
        <v/>
      </c>
      <c r="M9" s="15" t="e">
        <v>#N/A</v>
      </c>
      <c r="N9" s="14">
        <f>LEFT(I9,FIND("X",I9)-1)*RIGHT(I9,LEN(I9)-FIND("X",I9)-1)*M9</f>
        <v/>
      </c>
      <c r="O9" s="16">
        <f>(N9*L9)/1000</f>
        <v/>
      </c>
    </row>
    <row r="10" ht="15.75" customHeight="1" thickBot="1">
      <c r="A10" s="135" t="n"/>
      <c r="B10" s="135" t="n"/>
      <c r="C10" s="22" t="inlineStr">
        <is>
          <t>SVG</t>
        </is>
      </c>
      <c r="D10" s="23" t="inlineStr">
        <is>
          <t>-</t>
        </is>
      </c>
      <c r="E10" s="23" t="n">
        <v>22</v>
      </c>
      <c r="F10" s="23" t="inlineStr">
        <is>
          <t>Passing</t>
        </is>
      </c>
      <c r="G10" s="23" t="inlineStr">
        <is>
          <t>MCX 12 SVG</t>
        </is>
      </c>
      <c r="H10" s="23" t="inlineStr">
        <is>
          <t>61 X 101</t>
        </is>
      </c>
      <c r="I10" s="23" t="inlineStr">
        <is>
          <t>19 X 21.5</t>
        </is>
      </c>
      <c r="J10" s="23" t="n">
        <v>35</v>
      </c>
      <c r="K10" s="115" t="n"/>
      <c r="L10" s="25">
        <f>K10/J10</f>
        <v/>
      </c>
      <c r="M10" s="26" t="n">
        <v>0.4398148148148148</v>
      </c>
      <c r="N10" s="25">
        <f>LEFT(I10,FIND("X",I10)-1)*RIGHT(I10,LEN(I10)-FIND("X",I10)-1)*M10</f>
        <v/>
      </c>
      <c r="O10" s="27">
        <f>(N10*L10)/1000</f>
        <v/>
      </c>
    </row>
    <row r="11" ht="15" customHeight="1">
      <c r="A11" s="137" t="n">
        <v>4</v>
      </c>
      <c r="B11" s="21" t="inlineStr">
        <is>
          <t>MCX 14</t>
        </is>
      </c>
      <c r="C11" s="138" t="inlineStr">
        <is>
          <t>LVP</t>
        </is>
      </c>
      <c r="D11" s="29" t="inlineStr">
        <is>
          <t>Top</t>
        </is>
      </c>
      <c r="E11" s="29" t="n">
        <v>60</v>
      </c>
      <c r="F11" s="37" t="inlineStr">
        <is>
          <t>Passing</t>
        </is>
      </c>
      <c r="G11" s="29" t="inlineStr">
        <is>
          <t>MCX 14 LVP</t>
        </is>
      </c>
      <c r="H11" s="29" t="inlineStr">
        <is>
          <t>60 X 114</t>
        </is>
      </c>
      <c r="I11" s="29" t="inlineStr">
        <is>
          <t>19 X 24.5</t>
        </is>
      </c>
      <c r="J11" s="29" t="n">
        <v>35</v>
      </c>
      <c r="K11" s="114" t="n"/>
      <c r="L11" s="31">
        <f>K11/J11</f>
        <v/>
      </c>
      <c r="M11" s="32" t="n">
        <v>1.103988603988604</v>
      </c>
      <c r="N11" s="31">
        <f>LEFT(I11,FIND("X",I11)-1)*RIGHT(I11,LEN(I11)-FIND("X",I11)-1)*M11</f>
        <v/>
      </c>
      <c r="O11" s="33">
        <f>(N11*L11)/1000</f>
        <v/>
      </c>
    </row>
    <row r="12" ht="15" customHeight="1">
      <c r="A12" s="133" t="n"/>
      <c r="B12" s="133" t="n"/>
      <c r="C12" s="136" t="n"/>
      <c r="D12" s="11" t="inlineStr">
        <is>
          <t>Bottom</t>
        </is>
      </c>
      <c r="E12" s="11" t="n"/>
      <c r="F12" s="29" t="n"/>
      <c r="G12" s="11" t="n"/>
      <c r="H12" s="11" t="n"/>
      <c r="I12" s="11" t="n"/>
      <c r="J12" s="11" t="n"/>
      <c r="K12" s="34" t="n"/>
      <c r="L12" s="14">
        <f>K12/J12</f>
        <v/>
      </c>
      <c r="M12" s="15" t="e">
        <v>#N/A</v>
      </c>
      <c r="N12" s="14">
        <f>LEFT(I12,FIND("X",I12)-1)*RIGHT(I12,LEN(I12)-FIND("X",I12)-1)*M12</f>
        <v/>
      </c>
      <c r="O12" s="16">
        <f>(N12*L12)/1000</f>
        <v/>
      </c>
    </row>
    <row r="13" ht="15.75" customHeight="1" thickBot="1">
      <c r="A13" s="135" t="n"/>
      <c r="B13" s="135" t="n"/>
      <c r="C13" s="22" t="inlineStr">
        <is>
          <t>SVG</t>
        </is>
      </c>
      <c r="D13" s="23" t="inlineStr">
        <is>
          <t>-</t>
        </is>
      </c>
      <c r="E13" s="23" t="n">
        <v>22</v>
      </c>
      <c r="F13" s="23" t="inlineStr">
        <is>
          <t>Passing</t>
        </is>
      </c>
      <c r="G13" s="23" t="inlineStr">
        <is>
          <t>MCX 14 SVG</t>
        </is>
      </c>
      <c r="H13" s="23" t="inlineStr">
        <is>
          <t>70 X 125</t>
        </is>
      </c>
      <c r="I13" s="23" t="inlineStr">
        <is>
          <t>21.5 X 24.5</t>
        </is>
      </c>
      <c r="J13" s="23" t="n">
        <v>32</v>
      </c>
      <c r="K13" s="115" t="n"/>
      <c r="L13" s="25">
        <f>K13/J13</f>
        <v/>
      </c>
      <c r="M13" s="26" t="n">
        <v>0.4398148148148148</v>
      </c>
      <c r="N13" s="25">
        <f>LEFT(I13,FIND("X",I13)-1)*RIGHT(I13,LEN(I13)-FIND("X",I13)-1)*M13</f>
        <v/>
      </c>
      <c r="O13" s="27">
        <f>(N13*L13)/1000</f>
        <v/>
      </c>
    </row>
    <row r="14" ht="15" customHeight="1">
      <c r="A14" s="139" t="n">
        <v>5</v>
      </c>
      <c r="B14" s="140" t="inlineStr">
        <is>
          <t>MCX 15</t>
        </is>
      </c>
      <c r="C14" s="138" t="inlineStr">
        <is>
          <t>LVP</t>
        </is>
      </c>
      <c r="D14" s="29" t="inlineStr">
        <is>
          <t>Top</t>
        </is>
      </c>
      <c r="E14" s="29" t="n">
        <v>60</v>
      </c>
      <c r="F14" s="37" t="inlineStr">
        <is>
          <t>Passing</t>
        </is>
      </c>
      <c r="G14" s="29" t="inlineStr">
        <is>
          <t>MCX 15 LVP</t>
        </is>
      </c>
      <c r="H14" s="29" t="inlineStr">
        <is>
          <t>61 X 75</t>
        </is>
      </c>
      <c r="I14" s="29" t="inlineStr">
        <is>
          <t>19 X 23</t>
        </is>
      </c>
      <c r="J14" s="29" t="n">
        <v>49</v>
      </c>
      <c r="K14" s="114" t="n"/>
      <c r="L14" s="31">
        <f>K14/J14</f>
        <v/>
      </c>
      <c r="M14" s="32" t="n">
        <v>1.103988603988604</v>
      </c>
      <c r="N14" s="31">
        <f>LEFT(I14,FIND("X",I14)-1)*RIGHT(I14,LEN(I14)-FIND("X",I14)-1)*M14</f>
        <v/>
      </c>
      <c r="O14" s="33">
        <f>(N14*L14)/1000</f>
        <v/>
      </c>
    </row>
    <row r="15" ht="15" customHeight="1">
      <c r="A15" s="133" t="n"/>
      <c r="B15" s="133" t="n"/>
      <c r="C15" s="136" t="n"/>
      <c r="D15" s="11" t="inlineStr">
        <is>
          <t>Bottom</t>
        </is>
      </c>
      <c r="E15" s="11" t="n"/>
      <c r="F15" s="29" t="n"/>
      <c r="G15" s="11" t="n"/>
      <c r="H15" s="11" t="n"/>
      <c r="I15" s="11" t="n"/>
      <c r="J15" s="11" t="n"/>
      <c r="K15" s="34" t="n"/>
      <c r="L15" s="14">
        <f>K15/J15</f>
        <v/>
      </c>
      <c r="M15" s="15" t="e">
        <v>#N/A</v>
      </c>
      <c r="N15" s="14">
        <f>LEFT(I15,FIND("X",I15)-1)*RIGHT(I15,LEN(I15)-FIND("X",I15)-1)*M15</f>
        <v/>
      </c>
      <c r="O15" s="16">
        <f>(N15*L15)/1000</f>
        <v/>
      </c>
    </row>
    <row r="16" ht="15.75" customHeight="1" thickBot="1">
      <c r="A16" s="135" t="n"/>
      <c r="B16" s="135" t="n"/>
      <c r="C16" s="22" t="inlineStr">
        <is>
          <t>SVG</t>
        </is>
      </c>
      <c r="D16" s="23" t="inlineStr">
        <is>
          <t>-</t>
        </is>
      </c>
      <c r="E16" s="23" t="n">
        <v>22</v>
      </c>
      <c r="F16" s="23" t="inlineStr">
        <is>
          <t>Passing</t>
        </is>
      </c>
      <c r="G16" s="23" t="inlineStr">
        <is>
          <t>MCX 15 SVG</t>
        </is>
      </c>
      <c r="H16" s="23" t="inlineStr">
        <is>
          <t>71 X 85</t>
        </is>
      </c>
      <c r="I16" s="23" t="inlineStr">
        <is>
          <t>18.5 X 22</t>
        </is>
      </c>
      <c r="J16" s="23" t="n">
        <v>36</v>
      </c>
      <c r="K16" s="115" t="n"/>
      <c r="L16" s="25">
        <f>K16/J16</f>
        <v/>
      </c>
      <c r="M16" s="26" t="n">
        <v>0.4398148148148148</v>
      </c>
      <c r="N16" s="25">
        <f>LEFT(I16,FIND("X",I16)-1)*RIGHT(I16,LEN(I16)-FIND("X",I16)-1)*M16</f>
        <v/>
      </c>
      <c r="O16" s="27">
        <f>(N16*L16)/1000</f>
        <v/>
      </c>
    </row>
    <row r="17" ht="15" customHeight="1">
      <c r="A17" s="139" t="n">
        <v>6</v>
      </c>
      <c r="B17" s="140" t="inlineStr">
        <is>
          <t>MCX 18</t>
        </is>
      </c>
      <c r="C17" s="138" t="inlineStr">
        <is>
          <t>LVP</t>
        </is>
      </c>
      <c r="D17" s="29" t="inlineStr">
        <is>
          <t>Top</t>
        </is>
      </c>
      <c r="E17" s="29" t="n">
        <v>60</v>
      </c>
      <c r="F17" s="37" t="inlineStr">
        <is>
          <t>Single</t>
        </is>
      </c>
      <c r="G17" s="29" t="inlineStr">
        <is>
          <t>GNR 18 LVP</t>
        </is>
      </c>
      <c r="H17" s="29" t="inlineStr">
        <is>
          <t>60 X 86</t>
        </is>
      </c>
      <c r="I17" s="29" t="inlineStr">
        <is>
          <t>23 X 23</t>
        </is>
      </c>
      <c r="J17" s="29" t="n">
        <v>48</v>
      </c>
      <c r="K17" s="114" t="n"/>
      <c r="L17" s="31">
        <f>K17/J17</f>
        <v/>
      </c>
      <c r="M17" s="32" t="n">
        <v>1.103988603988604</v>
      </c>
      <c r="N17" s="31">
        <f>LEFT(I17,FIND("X",I17)-1)*RIGHT(I17,LEN(I17)-FIND("X",I17)-1)*M17</f>
        <v/>
      </c>
      <c r="O17" s="33">
        <f>(N17*L17)/1000</f>
        <v/>
      </c>
    </row>
    <row r="18" ht="15" customHeight="1">
      <c r="A18" s="133" t="n"/>
      <c r="B18" s="133" t="n"/>
      <c r="C18" s="136" t="n"/>
      <c r="D18" s="11" t="inlineStr">
        <is>
          <t>Bottom</t>
        </is>
      </c>
      <c r="E18" s="11" t="n"/>
      <c r="F18" s="29" t="n"/>
      <c r="G18" s="11" t="n"/>
      <c r="H18" s="11" t="n"/>
      <c r="I18" s="11" t="n"/>
      <c r="J18" s="11" t="n"/>
      <c r="K18" s="34" t="n"/>
      <c r="L18" s="14">
        <f>K18/J18</f>
        <v/>
      </c>
      <c r="M18" s="15" t="e">
        <v>#N/A</v>
      </c>
      <c r="N18" s="14">
        <f>LEFT(I18,FIND("X",I18)-1)*RIGHT(I18,LEN(I18)-FIND("X",I18)-1)*M18</f>
        <v/>
      </c>
      <c r="O18" s="16">
        <f>(N18*L18)/1000</f>
        <v/>
      </c>
    </row>
    <row r="19" ht="15.75" customHeight="1" thickBot="1">
      <c r="A19" s="135" t="n"/>
      <c r="B19" s="135" t="n"/>
      <c r="C19" s="22" t="inlineStr">
        <is>
          <t>SVG</t>
        </is>
      </c>
      <c r="D19" s="23" t="inlineStr">
        <is>
          <t>-</t>
        </is>
      </c>
      <c r="E19" s="23" t="n">
        <v>22</v>
      </c>
      <c r="F19" s="23" t="inlineStr">
        <is>
          <t>Single</t>
        </is>
      </c>
      <c r="G19" s="23" t="inlineStr">
        <is>
          <t>GNR 18 SVG</t>
        </is>
      </c>
      <c r="H19" s="23" t="inlineStr">
        <is>
          <t>71 X 97</t>
        </is>
      </c>
      <c r="I19" s="23" t="inlineStr">
        <is>
          <t>22 X 23</t>
        </is>
      </c>
      <c r="J19" s="23" t="n">
        <v>35</v>
      </c>
      <c r="K19" s="115" t="n"/>
      <c r="L19" s="25">
        <f>K19/J19</f>
        <v/>
      </c>
      <c r="M19" s="26" t="n">
        <v>0.4398148148148148</v>
      </c>
      <c r="N19" s="25">
        <f>LEFT(I19,FIND("X",I19)-1)*RIGHT(I19,LEN(I19)-FIND("X",I19)-1)*M19</f>
        <v/>
      </c>
      <c r="O19" s="27">
        <f>(N19*L19)/1000</f>
        <v/>
      </c>
    </row>
    <row r="20" ht="15" customHeight="1">
      <c r="A20" s="139" t="n">
        <v>7</v>
      </c>
      <c r="B20" s="140" t="inlineStr">
        <is>
          <t>MCX 20</t>
        </is>
      </c>
      <c r="C20" s="138" t="inlineStr">
        <is>
          <t>LVP</t>
        </is>
      </c>
      <c r="D20" s="29" t="inlineStr">
        <is>
          <t>Top</t>
        </is>
      </c>
      <c r="E20" s="29" t="n">
        <v>60</v>
      </c>
      <c r="F20" s="29" t="inlineStr">
        <is>
          <t>Passing</t>
        </is>
      </c>
      <c r="G20" s="29" t="inlineStr">
        <is>
          <t>MCX 20 LVP</t>
        </is>
      </c>
      <c r="H20" s="29" t="inlineStr">
        <is>
          <t>64 X 90</t>
        </is>
      </c>
      <c r="I20" s="29" t="inlineStr">
        <is>
          <t>17 X 23</t>
        </is>
      </c>
      <c r="J20" s="29" t="n">
        <v>36</v>
      </c>
      <c r="K20" s="114" t="n"/>
      <c r="L20" s="31">
        <f>K20/J20</f>
        <v/>
      </c>
      <c r="M20" s="32" t="n">
        <v>1.103988603988604</v>
      </c>
      <c r="N20" s="31">
        <f>LEFT(I20,FIND("X",I20)-1)*RIGHT(I20,LEN(I20)-FIND("X",I20)-1)*M20</f>
        <v/>
      </c>
      <c r="O20" s="33">
        <f>(N20*L20)/1000</f>
        <v/>
      </c>
    </row>
    <row r="21" ht="15" customHeight="1">
      <c r="A21" s="133" t="n"/>
      <c r="B21" s="133" t="n"/>
      <c r="C21" s="136" t="n"/>
      <c r="D21" s="11" t="inlineStr">
        <is>
          <t>Bottom</t>
        </is>
      </c>
      <c r="E21" s="11" t="n"/>
      <c r="F21" s="11" t="n"/>
      <c r="G21" s="11" t="n"/>
      <c r="H21" s="11" t="n"/>
      <c r="I21" s="11" t="n"/>
      <c r="J21" s="11" t="n"/>
      <c r="K21" s="34" t="n"/>
      <c r="L21" s="14">
        <f>K21/J21</f>
        <v/>
      </c>
      <c r="M21" s="15" t="e">
        <v>#N/A</v>
      </c>
      <c r="N21" s="14">
        <f>LEFT(I21,FIND("X",I21)-1)*RIGHT(I21,LEN(I21)-FIND("X",I21)-1)*M21</f>
        <v/>
      </c>
      <c r="O21" s="16">
        <f>(N21*L21)/1000</f>
        <v/>
      </c>
    </row>
    <row r="22" ht="15.75" customHeight="1" thickBot="1">
      <c r="A22" s="135" t="n"/>
      <c r="B22" s="135" t="n"/>
      <c r="C22" s="22" t="inlineStr">
        <is>
          <t>SVG</t>
        </is>
      </c>
      <c r="D22" s="23" t="inlineStr">
        <is>
          <t>-</t>
        </is>
      </c>
      <c r="E22" s="23" t="n">
        <v>22</v>
      </c>
      <c r="F22" s="23" t="inlineStr">
        <is>
          <t>Passing</t>
        </is>
      </c>
      <c r="G22" s="23" t="inlineStr">
        <is>
          <t>MCX 20 SVG</t>
        </is>
      </c>
      <c r="H22" s="23" t="inlineStr">
        <is>
          <t>76 X 102</t>
        </is>
      </c>
      <c r="I22" s="23" t="inlineStr">
        <is>
          <t>17 X 22</t>
        </is>
      </c>
      <c r="J22" s="23" t="n">
        <v>25</v>
      </c>
      <c r="K22" s="115" t="n"/>
      <c r="L22" s="25">
        <f>K22/J22</f>
        <v/>
      </c>
      <c r="M22" s="26" t="n">
        <v>0.4398148148148148</v>
      </c>
      <c r="N22" s="25">
        <f>LEFT(I22,FIND("X",I22)-1)*RIGHT(I22,LEN(I22)-FIND("X",I22)-1)*M22</f>
        <v/>
      </c>
      <c r="O22" s="27">
        <f>(N22*L22)/1000</f>
        <v/>
      </c>
    </row>
    <row r="23" ht="15" customHeight="1">
      <c r="A23" s="139" t="n">
        <v>8</v>
      </c>
      <c r="B23" s="140" t="inlineStr">
        <is>
          <t>MCX 22</t>
        </is>
      </c>
      <c r="C23" s="138" t="inlineStr">
        <is>
          <t>LVP</t>
        </is>
      </c>
      <c r="D23" s="29" t="inlineStr">
        <is>
          <t>Top</t>
        </is>
      </c>
      <c r="E23" s="29" t="n">
        <v>40</v>
      </c>
      <c r="F23" s="29" t="inlineStr">
        <is>
          <t>Single</t>
        </is>
      </c>
      <c r="G23" s="29" t="inlineStr">
        <is>
          <t>MCX 22 LVP</t>
        </is>
      </c>
      <c r="H23" s="29" t="inlineStr">
        <is>
          <t>60 X 140</t>
        </is>
      </c>
      <c r="I23" s="29" t="inlineStr">
        <is>
          <t>20 X 24</t>
        </is>
      </c>
      <c r="J23" s="29" t="n">
        <v>28</v>
      </c>
      <c r="K23" s="114" t="n">
        <v>2000</v>
      </c>
      <c r="L23" s="31">
        <f>K23/J23</f>
        <v/>
      </c>
      <c r="M23" s="32" t="n">
        <v>0.6977821913273751</v>
      </c>
      <c r="N23" s="31">
        <f>LEFT(I23,FIND("X",I23)-1)*RIGHT(I23,LEN(I23)-FIND("X",I23)-1)*M23</f>
        <v/>
      </c>
      <c r="O23" s="33">
        <f>(N23*L23)/1000</f>
        <v/>
      </c>
    </row>
    <row r="24" ht="15" customHeight="1">
      <c r="A24" s="133" t="n"/>
      <c r="B24" s="133" t="n"/>
      <c r="C24" s="136" t="n"/>
      <c r="D24" s="11" t="inlineStr">
        <is>
          <t>Bottom</t>
        </is>
      </c>
      <c r="E24" s="11" t="n">
        <v>40</v>
      </c>
      <c r="F24" s="11" t="inlineStr">
        <is>
          <t>Single</t>
        </is>
      </c>
      <c r="G24" s="29" t="inlineStr">
        <is>
          <t>MCX 22 LVP</t>
        </is>
      </c>
      <c r="H24" s="29" t="inlineStr">
        <is>
          <t>60 X 140</t>
        </is>
      </c>
      <c r="I24" s="29" t="inlineStr">
        <is>
          <t>20 X 24</t>
        </is>
      </c>
      <c r="J24" s="29" t="n">
        <v>28</v>
      </c>
      <c r="K24" s="34" t="n">
        <v>2000</v>
      </c>
      <c r="L24" s="14">
        <f>K24/J24</f>
        <v/>
      </c>
      <c r="M24" s="15" t="n">
        <v>0.6977821913273751</v>
      </c>
      <c r="N24" s="14">
        <f>LEFT(I24,FIND("X",I24)-1)*RIGHT(I24,LEN(I24)-FIND("X",I24)-1)*M24</f>
        <v/>
      </c>
      <c r="O24" s="16">
        <f>(N24*L24)/1000</f>
        <v/>
      </c>
    </row>
    <row r="25" ht="15.75" customHeight="1" thickBot="1">
      <c r="A25" s="135" t="n"/>
      <c r="B25" s="135" t="n"/>
      <c r="C25" s="22" t="inlineStr">
        <is>
          <t>SVG</t>
        </is>
      </c>
      <c r="D25" s="23" t="inlineStr">
        <is>
          <t>-</t>
        </is>
      </c>
      <c r="E25" s="23" t="n">
        <v>22</v>
      </c>
      <c r="F25" s="23" t="inlineStr">
        <is>
          <t>Single</t>
        </is>
      </c>
      <c r="G25" s="23" t="inlineStr">
        <is>
          <t>MCX 22 SVG</t>
        </is>
      </c>
      <c r="H25" s="23" t="inlineStr">
        <is>
          <t>74 X 154</t>
        </is>
      </c>
      <c r="I25" s="23" t="inlineStr">
        <is>
          <t>22 X 24</t>
        </is>
      </c>
      <c r="J25" s="23" t="n">
        <v>28</v>
      </c>
      <c r="K25" s="115" t="n">
        <v>2000</v>
      </c>
      <c r="L25" s="25">
        <f>K25/J25</f>
        <v/>
      </c>
      <c r="M25" s="26" t="n">
        <v>0.4398148148148148</v>
      </c>
      <c r="N25" s="25">
        <f>LEFT(I25,FIND("X",I25)-1)*RIGHT(I25,LEN(I25)-FIND("X",I25)-1)*M25</f>
        <v/>
      </c>
      <c r="O25" s="27">
        <f>(N25*L25)/1000</f>
        <v/>
      </c>
    </row>
    <row r="26" ht="15" customHeight="1">
      <c r="A26" s="139" t="n">
        <v>9</v>
      </c>
      <c r="B26" s="140" t="inlineStr">
        <is>
          <t>MCX 24</t>
        </is>
      </c>
      <c r="C26" s="138" t="inlineStr">
        <is>
          <t>LVP</t>
        </is>
      </c>
      <c r="D26" s="29" t="inlineStr">
        <is>
          <t>Top</t>
        </is>
      </c>
      <c r="E26" s="29" t="n">
        <v>40</v>
      </c>
      <c r="F26" s="29" t="inlineStr">
        <is>
          <t>Single</t>
        </is>
      </c>
      <c r="G26" s="29" t="inlineStr">
        <is>
          <t>MCX 24 LVP</t>
        </is>
      </c>
      <c r="H26" s="29" t="inlineStr">
        <is>
          <t>61 X 198</t>
        </is>
      </c>
      <c r="I26" s="29" t="inlineStr">
        <is>
          <t>20 X 25</t>
        </is>
      </c>
      <c r="J26" s="29" t="n">
        <v>21</v>
      </c>
      <c r="K26" s="114" t="n"/>
      <c r="L26" s="31">
        <f>K26/J26</f>
        <v/>
      </c>
      <c r="M26" s="32" t="n">
        <v>0.6977821913273751</v>
      </c>
      <c r="N26" s="31">
        <f>LEFT(I26,FIND("X",I26)-1)*RIGHT(I26,LEN(I26)-FIND("X",I26)-1)*M26</f>
        <v/>
      </c>
      <c r="O26" s="33">
        <f>(N26*L26)/1000</f>
        <v/>
      </c>
    </row>
    <row r="27" ht="15" customHeight="1">
      <c r="A27" s="133" t="n"/>
      <c r="B27" s="133" t="n"/>
      <c r="C27" s="136" t="n"/>
      <c r="D27" s="11" t="inlineStr">
        <is>
          <t>Bottom</t>
        </is>
      </c>
      <c r="E27" s="11" t="n">
        <v>40</v>
      </c>
      <c r="F27" s="11" t="inlineStr">
        <is>
          <t>Single</t>
        </is>
      </c>
      <c r="G27" s="29" t="inlineStr">
        <is>
          <t>MCX 24 LVP</t>
        </is>
      </c>
      <c r="H27" s="29" t="inlineStr">
        <is>
          <t>61 X 198</t>
        </is>
      </c>
      <c r="I27" s="29" t="inlineStr">
        <is>
          <t>20 X 25</t>
        </is>
      </c>
      <c r="J27" s="29" t="n">
        <v>21</v>
      </c>
      <c r="K27" s="34" t="n"/>
      <c r="L27" s="14">
        <f>K27/J27</f>
        <v/>
      </c>
      <c r="M27" s="15" t="n">
        <v>0.6977821913273751</v>
      </c>
      <c r="N27" s="14">
        <f>LEFT(I27,FIND("X",I27)-1)*RIGHT(I27,LEN(I27)-FIND("X",I27)-1)*M27</f>
        <v/>
      </c>
      <c r="O27" s="16">
        <f>(N27*L27)/1000</f>
        <v/>
      </c>
    </row>
    <row r="28" ht="15.75" customHeight="1" thickBot="1">
      <c r="A28" s="135" t="n"/>
      <c r="B28" s="135" t="n"/>
      <c r="C28" s="22" t="inlineStr">
        <is>
          <t>SVG</t>
        </is>
      </c>
      <c r="D28" s="23" t="inlineStr">
        <is>
          <t>-</t>
        </is>
      </c>
      <c r="E28" s="23" t="n">
        <v>22</v>
      </c>
      <c r="F28" s="23" t="inlineStr">
        <is>
          <t>Single</t>
        </is>
      </c>
      <c r="G28" s="23" t="inlineStr">
        <is>
          <t>MCX 24 SVG</t>
        </is>
      </c>
      <c r="H28" s="23" t="inlineStr">
        <is>
          <t>72 X 212</t>
        </is>
      </c>
      <c r="I28" s="23" t="inlineStr">
        <is>
          <t>20 X 25.5</t>
        </is>
      </c>
      <c r="J28" s="23" t="n">
        <v>18</v>
      </c>
      <c r="K28" s="115" t="n"/>
      <c r="L28" s="25">
        <f>K28/J28</f>
        <v/>
      </c>
      <c r="M28" s="26" t="n">
        <v>0.4398148148148148</v>
      </c>
      <c r="N28" s="25">
        <f>LEFT(I28,FIND("X",I28)-1)*RIGHT(I28,LEN(I28)-FIND("X",I28)-1)*M28</f>
        <v/>
      </c>
      <c r="O28" s="27">
        <f>(N28*L28)/1000</f>
        <v/>
      </c>
    </row>
    <row r="29" ht="15" customHeight="1">
      <c r="A29" s="139" t="n">
        <v>10</v>
      </c>
      <c r="B29" s="140" t="inlineStr">
        <is>
          <t>MCX 25</t>
        </is>
      </c>
      <c r="C29" s="138" t="inlineStr">
        <is>
          <t>LVP</t>
        </is>
      </c>
      <c r="D29" s="29" t="inlineStr">
        <is>
          <t>Top</t>
        </is>
      </c>
      <c r="E29" s="29" t="n">
        <v>40</v>
      </c>
      <c r="F29" s="29" t="inlineStr">
        <is>
          <t>Single</t>
        </is>
      </c>
      <c r="G29" s="29" t="inlineStr">
        <is>
          <t>TOP MCX 25 LVP</t>
        </is>
      </c>
      <c r="H29" s="29" t="inlineStr">
        <is>
          <t>85 X 98</t>
        </is>
      </c>
      <c r="I29" s="29" t="inlineStr">
        <is>
          <t>22 X 23</t>
        </is>
      </c>
      <c r="J29" s="29" t="n">
        <v>30</v>
      </c>
      <c r="K29" s="114" t="n"/>
      <c r="L29" s="31">
        <f>K29/J29</f>
        <v/>
      </c>
      <c r="M29" s="32" t="n">
        <v>0.6977821913273751</v>
      </c>
      <c r="N29" s="31">
        <f>LEFT(I29,FIND("X",I29)-1)*RIGHT(I29,LEN(I29)-FIND("X",I29)-1)*M29</f>
        <v/>
      </c>
      <c r="O29" s="33">
        <f>(N29*L29)/1000</f>
        <v/>
      </c>
    </row>
    <row r="30" ht="15" customHeight="1">
      <c r="A30" s="133" t="n"/>
      <c r="B30" s="133" t="n"/>
      <c r="C30" s="136" t="n"/>
      <c r="D30" s="11" t="inlineStr">
        <is>
          <t>Bottom</t>
        </is>
      </c>
      <c r="E30" s="11" t="n">
        <v>40</v>
      </c>
      <c r="F30" s="11" t="inlineStr">
        <is>
          <t>Single</t>
        </is>
      </c>
      <c r="G30" s="11" t="inlineStr">
        <is>
          <t>BOT.MCX 25 LVP</t>
        </is>
      </c>
      <c r="H30" s="11" t="inlineStr">
        <is>
          <t>94 X 108</t>
        </is>
      </c>
      <c r="I30" s="11" t="inlineStr">
        <is>
          <t>21 X 24</t>
        </is>
      </c>
      <c r="J30" s="11" t="n">
        <v>25</v>
      </c>
      <c r="K30" s="34" t="n"/>
      <c r="L30" s="14">
        <f>K30/J30</f>
        <v/>
      </c>
      <c r="M30" s="15" t="n">
        <v>0.6977821913273751</v>
      </c>
      <c r="N30" s="14">
        <f>LEFT(I30,FIND("X",I30)-1)*RIGHT(I30,LEN(I30)-FIND("X",I30)-1)*M30</f>
        <v/>
      </c>
      <c r="O30" s="16">
        <f>(N30*L30)/1000</f>
        <v/>
      </c>
    </row>
    <row r="31" ht="15.75" customHeight="1" thickBot="1">
      <c r="A31" s="135" t="n"/>
      <c r="B31" s="135" t="n"/>
      <c r="C31" s="22" t="inlineStr">
        <is>
          <t>SVG</t>
        </is>
      </c>
      <c r="D31" s="23" t="inlineStr">
        <is>
          <t>-</t>
        </is>
      </c>
      <c r="E31" s="23" t="n">
        <v>22</v>
      </c>
      <c r="F31" s="23" t="inlineStr">
        <is>
          <t>Single</t>
        </is>
      </c>
      <c r="G31" s="23" t="inlineStr">
        <is>
          <t>MCX 25 SVG</t>
        </is>
      </c>
      <c r="H31" s="23" t="inlineStr">
        <is>
          <t>108 X 120</t>
        </is>
      </c>
      <c r="I31" s="23" t="inlineStr">
        <is>
          <t>21 X 24</t>
        </is>
      </c>
      <c r="J31" s="23" t="n">
        <v>20</v>
      </c>
      <c r="K31" s="115" t="n"/>
      <c r="L31" s="25">
        <f>K31/J31</f>
        <v/>
      </c>
      <c r="M31" s="26" t="n">
        <v>0.4398148148148148</v>
      </c>
      <c r="N31" s="25">
        <f>LEFT(I31,FIND("X",I31)-1)*RIGHT(I31,LEN(I31)-FIND("X",I31)-1)*M31</f>
        <v/>
      </c>
      <c r="O31" s="27">
        <f>(N31*L31)/1000</f>
        <v/>
      </c>
    </row>
    <row r="32" ht="15" customHeight="1">
      <c r="A32" s="139" t="n">
        <v>11</v>
      </c>
      <c r="B32" s="140" t="inlineStr">
        <is>
          <t>MCX 26</t>
        </is>
      </c>
      <c r="C32" s="138" t="inlineStr">
        <is>
          <t>LVP</t>
        </is>
      </c>
      <c r="D32" s="29" t="inlineStr">
        <is>
          <t>Top</t>
        </is>
      </c>
      <c r="E32" s="29" t="n">
        <v>40</v>
      </c>
      <c r="F32" s="29" t="inlineStr">
        <is>
          <t>Single</t>
        </is>
      </c>
      <c r="G32" s="29" t="inlineStr">
        <is>
          <t>MCX 26  LVP</t>
        </is>
      </c>
      <c r="H32" s="29" t="inlineStr">
        <is>
          <t>64 X 248</t>
        </is>
      </c>
      <c r="I32" s="29" t="inlineStr">
        <is>
          <t>21 X 24</t>
        </is>
      </c>
      <c r="J32" s="29" t="n">
        <v>16</v>
      </c>
      <c r="K32" s="114" t="n"/>
      <c r="L32" s="31">
        <f>K32/J32</f>
        <v/>
      </c>
      <c r="M32" s="32" t="n">
        <v>0.6977821913273751</v>
      </c>
      <c r="N32" s="31">
        <f>LEFT(I32,FIND("X",I32)-1)*RIGHT(I32,LEN(I32)-FIND("X",I32)-1)*M32</f>
        <v/>
      </c>
      <c r="O32" s="33">
        <f>(N32*L32)/1000</f>
        <v/>
      </c>
    </row>
    <row r="33" ht="15" customHeight="1">
      <c r="A33" s="133" t="n"/>
      <c r="B33" s="133" t="n"/>
      <c r="C33" s="136" t="n"/>
      <c r="D33" s="11" t="inlineStr">
        <is>
          <t>Bottom</t>
        </is>
      </c>
      <c r="E33" s="11" t="n">
        <v>40</v>
      </c>
      <c r="F33" s="11" t="inlineStr">
        <is>
          <t>Single</t>
        </is>
      </c>
      <c r="G33" s="29" t="inlineStr">
        <is>
          <t>MCX 26  LVP</t>
        </is>
      </c>
      <c r="H33" s="29" t="inlineStr">
        <is>
          <t>64 X 248</t>
        </is>
      </c>
      <c r="I33" s="29" t="inlineStr">
        <is>
          <t>21 X 24</t>
        </is>
      </c>
      <c r="J33" s="29" t="n">
        <v>16</v>
      </c>
      <c r="K33" s="34" t="n"/>
      <c r="L33" s="14">
        <f>K33/J33</f>
        <v/>
      </c>
      <c r="M33" s="15" t="n">
        <v>0.6977821913273751</v>
      </c>
      <c r="N33" s="14">
        <f>LEFT(I33,FIND("X",I33)-1)*RIGHT(I33,LEN(I33)-FIND("X",I33)-1)*M33</f>
        <v/>
      </c>
      <c r="O33" s="16">
        <f>(N33*L33)/1000</f>
        <v/>
      </c>
    </row>
    <row r="34" ht="15.75" customHeight="1" thickBot="1">
      <c r="A34" s="135" t="n"/>
      <c r="B34" s="135" t="n"/>
      <c r="C34" s="22" t="inlineStr">
        <is>
          <t>SVG</t>
        </is>
      </c>
      <c r="D34" s="23" t="inlineStr">
        <is>
          <t>-</t>
        </is>
      </c>
      <c r="E34" s="23" t="n">
        <v>22</v>
      </c>
      <c r="F34" s="23" t="inlineStr">
        <is>
          <t>Single</t>
        </is>
      </c>
      <c r="G34" s="23" t="inlineStr">
        <is>
          <t>MCX 26 SVG</t>
        </is>
      </c>
      <c r="H34" s="23" t="inlineStr">
        <is>
          <t>76 X 260</t>
        </is>
      </c>
      <c r="I34" s="23" t="inlineStr">
        <is>
          <t>21 X 21.5</t>
        </is>
      </c>
      <c r="J34" s="23" t="n">
        <v>12</v>
      </c>
      <c r="K34" s="115" t="n"/>
      <c r="L34" s="25">
        <f>K34/J34</f>
        <v/>
      </c>
      <c r="M34" s="26" t="n">
        <v>0.4398148148148148</v>
      </c>
      <c r="N34" s="25">
        <f>LEFT(I34,FIND("X",I34)-1)*RIGHT(I34,LEN(I34)-FIND("X",I34)-1)*M34</f>
        <v/>
      </c>
      <c r="O34" s="27">
        <f>(N34*L34)/1000</f>
        <v/>
      </c>
    </row>
    <row r="35" ht="15" customHeight="1">
      <c r="A35" s="139" t="n">
        <v>12</v>
      </c>
      <c r="B35" s="140" t="inlineStr">
        <is>
          <t>MCX 28</t>
        </is>
      </c>
      <c r="C35" s="138" t="inlineStr">
        <is>
          <t>LVP</t>
        </is>
      </c>
      <c r="D35" s="29" t="inlineStr">
        <is>
          <t>Top</t>
        </is>
      </c>
      <c r="E35" s="29" t="n">
        <v>40</v>
      </c>
      <c r="F35" s="29" t="inlineStr">
        <is>
          <t>Single</t>
        </is>
      </c>
      <c r="G35" s="29" t="inlineStr">
        <is>
          <t>MCX 28 LVP</t>
        </is>
      </c>
      <c r="H35" s="29" t="inlineStr">
        <is>
          <t>58 X 311</t>
        </is>
      </c>
      <c r="I35" s="29" t="inlineStr">
        <is>
          <t>22.5 X 25.5</t>
        </is>
      </c>
      <c r="J35" s="29" t="n">
        <v>16</v>
      </c>
      <c r="K35" s="114" t="n"/>
      <c r="L35" s="31">
        <f>K35/J35</f>
        <v/>
      </c>
      <c r="M35" s="32" t="n">
        <v>0.6977821913273751</v>
      </c>
      <c r="N35" s="31">
        <f>LEFT(I35,FIND("X",I35)-1)*RIGHT(I35,LEN(I35)-FIND("X",I35)-1)*M35</f>
        <v/>
      </c>
      <c r="O35" s="33">
        <f>(N35*L35)/1000</f>
        <v/>
      </c>
    </row>
    <row r="36" ht="15" customHeight="1">
      <c r="A36" s="133" t="n"/>
      <c r="B36" s="133" t="n"/>
      <c r="C36" s="136" t="n"/>
      <c r="D36" s="11" t="inlineStr">
        <is>
          <t>Bottom</t>
        </is>
      </c>
      <c r="E36" s="11" t="n">
        <v>40</v>
      </c>
      <c r="F36" s="11" t="inlineStr">
        <is>
          <t>Single</t>
        </is>
      </c>
      <c r="G36" s="29" t="inlineStr">
        <is>
          <t>MCX 28 LVP</t>
        </is>
      </c>
      <c r="H36" s="29" t="inlineStr">
        <is>
          <t>58 X 311</t>
        </is>
      </c>
      <c r="I36" s="29" t="inlineStr">
        <is>
          <t>22.5 X 25.5</t>
        </is>
      </c>
      <c r="J36" s="11" t="n">
        <v>16</v>
      </c>
      <c r="K36" s="34" t="n"/>
      <c r="L36" s="14">
        <f>K36/J36</f>
        <v/>
      </c>
      <c r="M36" s="15" t="n">
        <v>0.6977821913273751</v>
      </c>
      <c r="N36" s="14">
        <f>LEFT(I36,FIND("X",I36)-1)*RIGHT(I36,LEN(I36)-FIND("X",I36)-1)*M36</f>
        <v/>
      </c>
      <c r="O36" s="16">
        <f>(N36*L36)/1000</f>
        <v/>
      </c>
    </row>
    <row r="37" ht="15.75" customHeight="1" thickBot="1">
      <c r="A37" s="135" t="n"/>
      <c r="B37" s="135" t="n"/>
      <c r="C37" s="22" t="inlineStr">
        <is>
          <t>SVG</t>
        </is>
      </c>
      <c r="D37" s="23" t="inlineStr">
        <is>
          <t>-</t>
        </is>
      </c>
      <c r="E37" s="23" t="n">
        <v>22</v>
      </c>
      <c r="F37" s="23" t="inlineStr">
        <is>
          <t>Single</t>
        </is>
      </c>
      <c r="G37" s="23" t="inlineStr">
        <is>
          <t>MCX 28 SVG</t>
        </is>
      </c>
      <c r="H37" s="23" t="inlineStr">
        <is>
          <t>69 X 323</t>
        </is>
      </c>
      <c r="I37" s="23" t="inlineStr">
        <is>
          <t>23 X 26.5</t>
        </is>
      </c>
      <c r="J37" s="23" t="n">
        <v>14</v>
      </c>
      <c r="K37" s="115" t="n"/>
      <c r="L37" s="25">
        <f>K37/J37</f>
        <v/>
      </c>
      <c r="M37" s="26" t="n">
        <v>0.4398148148148148</v>
      </c>
      <c r="N37" s="25">
        <f>LEFT(I37,FIND("X",I37)-1)*RIGHT(I37,LEN(I37)-FIND("X",I37)-1)*M37</f>
        <v/>
      </c>
      <c r="O37" s="27">
        <f>(N37*L37)/1000</f>
        <v/>
      </c>
    </row>
    <row r="38" ht="15" customHeight="1">
      <c r="A38" s="139" t="n">
        <v>13</v>
      </c>
      <c r="B38" s="140" t="inlineStr">
        <is>
          <t>MCX 35</t>
        </is>
      </c>
      <c r="C38" s="138" t="inlineStr">
        <is>
          <t>LVP</t>
        </is>
      </c>
      <c r="D38" s="29" t="inlineStr">
        <is>
          <t>Top</t>
        </is>
      </c>
      <c r="E38" s="29" t="n">
        <v>40</v>
      </c>
      <c r="F38" s="29" t="inlineStr">
        <is>
          <t>Single</t>
        </is>
      </c>
      <c r="G38" s="29" t="inlineStr">
        <is>
          <t>MCX 35 TOP LVP</t>
        </is>
      </c>
      <c r="H38" s="29" t="inlineStr">
        <is>
          <t>94 X 145</t>
        </is>
      </c>
      <c r="I38" s="29" t="inlineStr">
        <is>
          <t>21 X 25</t>
        </is>
      </c>
      <c r="J38" s="29" t="n">
        <v>20</v>
      </c>
      <c r="K38" s="114" t="n"/>
      <c r="L38" s="31">
        <f>K38/J38</f>
        <v/>
      </c>
      <c r="M38" s="32" t="n">
        <v>0.6977821913273751</v>
      </c>
      <c r="N38" s="31">
        <f>LEFT(I38,FIND("X",I38)-1)*RIGHT(I38,LEN(I38)-FIND("X",I38)-1)*M38</f>
        <v/>
      </c>
      <c r="O38" s="33">
        <f>(N38*L38)/1000</f>
        <v/>
      </c>
    </row>
    <row r="39" ht="15" customHeight="1">
      <c r="A39" s="133" t="n"/>
      <c r="B39" s="133" t="n"/>
      <c r="C39" s="136" t="n"/>
      <c r="D39" s="11" t="inlineStr">
        <is>
          <t>Bottom</t>
        </is>
      </c>
      <c r="E39" s="11" t="n">
        <v>40</v>
      </c>
      <c r="F39" s="11" t="inlineStr">
        <is>
          <t>Single</t>
        </is>
      </c>
      <c r="G39" s="11" t="inlineStr">
        <is>
          <t>MCX 35 BOT. LVP</t>
        </is>
      </c>
      <c r="H39" s="11" t="inlineStr">
        <is>
          <t>104 X 154</t>
        </is>
      </c>
      <c r="I39" s="11" t="inlineStr">
        <is>
          <t>20 X 23</t>
        </is>
      </c>
      <c r="J39" s="11" t="n">
        <v>15</v>
      </c>
      <c r="K39" s="34" t="n"/>
      <c r="L39" s="14">
        <f>K39/J39</f>
        <v/>
      </c>
      <c r="M39" s="15" t="n">
        <v>0.6977821913273751</v>
      </c>
      <c r="N39" s="14">
        <f>LEFT(I39,FIND("X",I39)-1)*RIGHT(I39,LEN(I39)-FIND("X",I39)-1)*M39</f>
        <v/>
      </c>
      <c r="O39" s="16">
        <f>(N39*L39)/1000</f>
        <v/>
      </c>
    </row>
    <row r="40" ht="15.75" customHeight="1" thickBot="1">
      <c r="A40" s="135" t="n"/>
      <c r="B40" s="135" t="n"/>
      <c r="C40" s="22" t="inlineStr">
        <is>
          <t>SVG</t>
        </is>
      </c>
      <c r="D40" s="23" t="inlineStr">
        <is>
          <t>-</t>
        </is>
      </c>
      <c r="E40" s="23" t="n">
        <v>22</v>
      </c>
      <c r="F40" s="23" t="inlineStr">
        <is>
          <t>Single</t>
        </is>
      </c>
      <c r="G40" s="23" t="inlineStr">
        <is>
          <t>MCX 35 SVG</t>
        </is>
      </c>
      <c r="H40" s="23" t="inlineStr">
        <is>
          <t>121 X 172</t>
        </is>
      </c>
      <c r="I40" s="23" t="inlineStr">
        <is>
          <t>21 X 22</t>
        </is>
      </c>
      <c r="J40" s="23" t="n">
        <v>12</v>
      </c>
      <c r="K40" s="115" t="n"/>
      <c r="L40" s="25">
        <f>K40/J40</f>
        <v/>
      </c>
      <c r="M40" s="26" t="n">
        <v>0.4398148148148148</v>
      </c>
      <c r="N40" s="25">
        <f>LEFT(I40,FIND("X",I40)-1)*RIGHT(I40,LEN(I40)-FIND("X",I40)-1)*M40</f>
        <v/>
      </c>
      <c r="O40" s="27">
        <f>(N40*L40)/1000</f>
        <v/>
      </c>
    </row>
    <row r="41" ht="15" customHeight="1">
      <c r="A41" s="139" t="n">
        <v>14</v>
      </c>
      <c r="B41" s="140" t="inlineStr">
        <is>
          <t>MCX 40</t>
        </is>
      </c>
      <c r="C41" s="138" t="inlineStr">
        <is>
          <t>LVP</t>
        </is>
      </c>
      <c r="D41" s="29" t="inlineStr">
        <is>
          <t>Top</t>
        </is>
      </c>
      <c r="E41" s="29" t="n">
        <v>60</v>
      </c>
      <c r="F41" s="29" t="inlineStr">
        <is>
          <t>Single</t>
        </is>
      </c>
      <c r="G41" s="29" t="inlineStr">
        <is>
          <t>MCX 40 TOP LVP</t>
        </is>
      </c>
      <c r="H41" s="29" t="inlineStr">
        <is>
          <t>76 X 168</t>
        </is>
      </c>
      <c r="I41" s="29" t="inlineStr">
        <is>
          <t>21 X 24</t>
        </is>
      </c>
      <c r="J41" s="29" t="n">
        <v>21</v>
      </c>
      <c r="K41" s="114" t="n"/>
      <c r="L41" s="31">
        <f>K41/J41</f>
        <v/>
      </c>
      <c r="M41" s="32" t="n">
        <v>1.103988603988604</v>
      </c>
      <c r="N41" s="31">
        <f>LEFT(I41,FIND("X",I41)-1)*RIGHT(I41,LEN(I41)-FIND("X",I41)-1)*M41</f>
        <v/>
      </c>
      <c r="O41" s="33">
        <f>(N41*L41)/1000</f>
        <v/>
      </c>
    </row>
    <row r="42" ht="15" customHeight="1">
      <c r="A42" s="133" t="n"/>
      <c r="B42" s="133" t="n"/>
      <c r="C42" s="136" t="n"/>
      <c r="D42" s="11" t="inlineStr">
        <is>
          <t>Bottom</t>
        </is>
      </c>
      <c r="E42" s="11" t="n">
        <v>40</v>
      </c>
      <c r="F42" s="11" t="inlineStr">
        <is>
          <t>Single</t>
        </is>
      </c>
      <c r="G42" s="11" t="inlineStr">
        <is>
          <t>MCX 40 BOT LVP</t>
        </is>
      </c>
      <c r="H42" s="11" t="inlineStr">
        <is>
          <t>88 X 178</t>
        </is>
      </c>
      <c r="I42" s="11" t="inlineStr">
        <is>
          <t>20 X 23</t>
        </is>
      </c>
      <c r="J42" s="11" t="n">
        <v>15</v>
      </c>
      <c r="K42" s="114" t="n"/>
      <c r="L42" s="14">
        <f>K42/J42</f>
        <v/>
      </c>
      <c r="M42" s="15" t="n">
        <v>0.6977821913273751</v>
      </c>
      <c r="N42" s="14">
        <f>LEFT(I42,FIND("X",I42)-1)*RIGHT(I42,LEN(I42)-FIND("X",I42)-1)*M42</f>
        <v/>
      </c>
      <c r="O42" s="16">
        <f>(N42*L42)/1000</f>
        <v/>
      </c>
    </row>
    <row r="43" ht="15.75" customHeight="1" thickBot="1">
      <c r="A43" s="135" t="n"/>
      <c r="B43" s="135" t="n"/>
      <c r="C43" s="22" t="inlineStr">
        <is>
          <t>SVG</t>
        </is>
      </c>
      <c r="D43" s="23" t="inlineStr">
        <is>
          <t>-</t>
        </is>
      </c>
      <c r="E43" s="23" t="n">
        <v>22</v>
      </c>
      <c r="F43" s="23" t="inlineStr">
        <is>
          <t>Single</t>
        </is>
      </c>
      <c r="G43" s="23" t="inlineStr">
        <is>
          <t>MCX 40 SVG</t>
        </is>
      </c>
      <c r="H43" s="23" t="inlineStr">
        <is>
          <t>103 X 193</t>
        </is>
      </c>
      <c r="I43" s="23" t="inlineStr">
        <is>
          <t>18 X 24</t>
        </is>
      </c>
      <c r="J43" s="23" t="n">
        <v>12</v>
      </c>
      <c r="K43" s="115" t="n"/>
      <c r="L43" s="25">
        <f>K43/J43</f>
        <v/>
      </c>
      <c r="M43" s="26" t="n">
        <v>0.4398148148148148</v>
      </c>
      <c r="N43" s="25">
        <f>LEFT(I43,FIND("X",I43)-1)*RIGHT(I43,LEN(I43)-FIND("X",I43)-1)*M43</f>
        <v/>
      </c>
      <c r="O43" s="27">
        <f>(N43*L43)/1000</f>
        <v/>
      </c>
    </row>
    <row r="44" ht="15" customHeight="1">
      <c r="A44" s="139" t="n">
        <v>15</v>
      </c>
      <c r="B44" s="140" t="inlineStr">
        <is>
          <t>MCX 42</t>
        </is>
      </c>
      <c r="C44" s="138" t="inlineStr">
        <is>
          <t>LVP</t>
        </is>
      </c>
      <c r="D44" s="29" t="inlineStr">
        <is>
          <t>Top</t>
        </is>
      </c>
      <c r="E44" s="29" t="n">
        <v>60</v>
      </c>
      <c r="F44" s="29" t="inlineStr">
        <is>
          <t>Single</t>
        </is>
      </c>
      <c r="G44" s="29" t="inlineStr">
        <is>
          <t>MCX 42 TOP LVP</t>
        </is>
      </c>
      <c r="H44" s="29" t="inlineStr">
        <is>
          <t>100 X 227</t>
        </is>
      </c>
      <c r="I44" s="29" t="inlineStr">
        <is>
          <t>19 X 22</t>
        </is>
      </c>
      <c r="J44" s="29" t="n">
        <v>10</v>
      </c>
      <c r="K44" s="114" t="n"/>
      <c r="L44" s="31">
        <f>K44/J44</f>
        <v/>
      </c>
      <c r="M44" s="32" t="n">
        <v>1.103988603988604</v>
      </c>
      <c r="N44" s="31">
        <f>LEFT(I44,FIND("X",I44)-1)*RIGHT(I44,LEN(I44)-FIND("X",I44)-1)*M44</f>
        <v/>
      </c>
      <c r="O44" s="33">
        <f>(N44*L44)/1000</f>
        <v/>
      </c>
    </row>
    <row r="45" ht="15" customHeight="1">
      <c r="A45" s="133" t="n"/>
      <c r="B45" s="133" t="n"/>
      <c r="C45" s="136" t="n"/>
      <c r="D45" s="11" t="inlineStr">
        <is>
          <t>Bottom</t>
        </is>
      </c>
      <c r="E45" s="11" t="n">
        <v>40</v>
      </c>
      <c r="F45" s="11" t="inlineStr">
        <is>
          <t>Single</t>
        </is>
      </c>
      <c r="G45" s="11" t="inlineStr">
        <is>
          <t>MCX 42 BOT LVP</t>
        </is>
      </c>
      <c r="H45" s="11" t="inlineStr">
        <is>
          <t>108 X 236</t>
        </is>
      </c>
      <c r="I45" s="11" t="inlineStr">
        <is>
          <t>20 X 24</t>
        </is>
      </c>
      <c r="J45" s="11" t="n">
        <v>10</v>
      </c>
      <c r="K45" s="34" t="n"/>
      <c r="L45" s="14">
        <f>K45/J45</f>
        <v/>
      </c>
      <c r="M45" s="15" t="n">
        <v>0.6977821913273751</v>
      </c>
      <c r="N45" s="14">
        <f>LEFT(I45,FIND("X",I45)-1)*RIGHT(I45,LEN(I45)-FIND("X",I45)-1)*M45</f>
        <v/>
      </c>
      <c r="O45" s="16">
        <f>(N45*L45)/1000</f>
        <v/>
      </c>
    </row>
    <row r="46" ht="15.75" customHeight="1" thickBot="1">
      <c r="A46" s="135" t="n"/>
      <c r="B46" s="135" t="n"/>
      <c r="C46" s="22" t="inlineStr">
        <is>
          <t>SVG</t>
        </is>
      </c>
      <c r="D46" s="23" t="inlineStr">
        <is>
          <t>-</t>
        </is>
      </c>
      <c r="E46" s="23" t="n">
        <v>22</v>
      </c>
      <c r="F46" s="23" t="inlineStr">
        <is>
          <t>Single</t>
        </is>
      </c>
      <c r="G46" s="23" t="inlineStr">
        <is>
          <t>MCX 42 SVG</t>
        </is>
      </c>
      <c r="H46" s="23" t="inlineStr">
        <is>
          <t>122 X 252</t>
        </is>
      </c>
      <c r="I46" s="23" t="inlineStr">
        <is>
          <t>21 X 21</t>
        </is>
      </c>
      <c r="J46" s="23" t="n">
        <v>8</v>
      </c>
      <c r="K46" s="115" t="n"/>
      <c r="L46" s="25">
        <f>K46/J46</f>
        <v/>
      </c>
      <c r="M46" s="26" t="n">
        <v>0.4398148148148148</v>
      </c>
      <c r="N46" s="25">
        <f>LEFT(I46,FIND("X",I46)-1)*RIGHT(I46,LEN(I46)-FIND("X",I46)-1)*M46</f>
        <v/>
      </c>
      <c r="O46" s="27">
        <f>(N46*L46)/1000</f>
        <v/>
      </c>
    </row>
    <row r="47" ht="15" customHeight="1">
      <c r="A47" s="139" t="n">
        <v>16</v>
      </c>
      <c r="B47" s="140" t="inlineStr">
        <is>
          <t>MCX 44</t>
        </is>
      </c>
      <c r="C47" s="138" t="inlineStr">
        <is>
          <t>LVP</t>
        </is>
      </c>
      <c r="D47" s="29" t="inlineStr">
        <is>
          <t>Top</t>
        </is>
      </c>
      <c r="E47" s="29" t="n">
        <v>60</v>
      </c>
      <c r="F47" s="29" t="inlineStr">
        <is>
          <t>Single</t>
        </is>
      </c>
      <c r="G47" s="29" t="inlineStr">
        <is>
          <t>MCX 44 TOP LVP</t>
        </is>
      </c>
      <c r="H47" s="29" t="inlineStr">
        <is>
          <t>100 X 308</t>
        </is>
      </c>
      <c r="I47" s="29" t="inlineStr">
        <is>
          <t>18 X 25</t>
        </is>
      </c>
      <c r="J47" s="29" t="n">
        <v>8</v>
      </c>
      <c r="K47" s="114" t="n"/>
      <c r="L47" s="31">
        <f>K47/J47</f>
        <v/>
      </c>
      <c r="M47" s="32" t="n">
        <v>1.103988603988604</v>
      </c>
      <c r="N47" s="31">
        <f>LEFT(I47,FIND("X",I47)-1)*RIGHT(I47,LEN(I47)-FIND("X",I47)-1)*M47</f>
        <v/>
      </c>
      <c r="O47" s="33">
        <f>(N47*L47)/1000</f>
        <v/>
      </c>
    </row>
    <row r="48" ht="15" customHeight="1">
      <c r="A48" s="133" t="n"/>
      <c r="B48" s="133" t="n"/>
      <c r="C48" s="136" t="n"/>
      <c r="D48" s="11" t="inlineStr">
        <is>
          <t>Bottom</t>
        </is>
      </c>
      <c r="E48" s="11" t="n">
        <v>40</v>
      </c>
      <c r="F48" s="11" t="inlineStr">
        <is>
          <t>Single</t>
        </is>
      </c>
      <c r="G48" s="11" t="inlineStr">
        <is>
          <t>MCX 44 BOT LVP</t>
        </is>
      </c>
      <c r="H48" s="11" t="inlineStr">
        <is>
          <t>110 X 320</t>
        </is>
      </c>
      <c r="I48" s="11" t="inlineStr">
        <is>
          <t>24 X 26</t>
        </is>
      </c>
      <c r="J48" s="11" t="n">
        <v>10</v>
      </c>
      <c r="K48" s="34" t="n"/>
      <c r="L48" s="14">
        <f>K48/J48</f>
        <v/>
      </c>
      <c r="M48" s="15" t="n">
        <v>0.6977821913273751</v>
      </c>
      <c r="N48" s="14">
        <f>LEFT(I48,FIND("X",I48)-1)*RIGHT(I48,LEN(I48)-FIND("X",I48)-1)*M48</f>
        <v/>
      </c>
      <c r="O48" s="16">
        <f>(N48*L48)/1000</f>
        <v/>
      </c>
    </row>
    <row r="49" ht="15.75" customHeight="1" thickBot="1">
      <c r="A49" s="135" t="n"/>
      <c r="B49" s="135" t="n"/>
      <c r="C49" s="22" t="inlineStr">
        <is>
          <t>SVG</t>
        </is>
      </c>
      <c r="D49" s="23" t="inlineStr">
        <is>
          <t>-</t>
        </is>
      </c>
      <c r="E49" s="23" t="n">
        <v>22</v>
      </c>
      <c r="F49" s="23" t="inlineStr">
        <is>
          <t>Single</t>
        </is>
      </c>
      <c r="G49" s="23" t="inlineStr">
        <is>
          <t>MCX 44 SVG</t>
        </is>
      </c>
      <c r="H49" s="23" t="inlineStr">
        <is>
          <t>125 X 338</t>
        </is>
      </c>
      <c r="I49" s="23" t="inlineStr">
        <is>
          <t>14 X 22</t>
        </is>
      </c>
      <c r="J49" s="23" t="n">
        <v>4</v>
      </c>
      <c r="K49" s="115" t="n"/>
      <c r="L49" s="25">
        <f>K49/J49</f>
        <v/>
      </c>
      <c r="M49" s="26" t="n">
        <v>0.4398148148148148</v>
      </c>
      <c r="N49" s="25">
        <f>LEFT(I49,FIND("X",I49)-1)*RIGHT(I49,LEN(I49)-FIND("X",I49)-1)*M49</f>
        <v/>
      </c>
      <c r="O49" s="27">
        <f>(N49*L49)/1000</f>
        <v/>
      </c>
    </row>
    <row r="50" ht="15" customHeight="1">
      <c r="A50" s="139" t="n">
        <v>16</v>
      </c>
      <c r="B50" s="140" t="inlineStr">
        <is>
          <t>MCX 45</t>
        </is>
      </c>
      <c r="C50" s="138" t="inlineStr">
        <is>
          <t>LVP</t>
        </is>
      </c>
      <c r="D50" s="29" t="inlineStr">
        <is>
          <t>Top</t>
        </is>
      </c>
      <c r="E50" s="29" t="n">
        <v>40</v>
      </c>
      <c r="F50" s="29" t="inlineStr">
        <is>
          <t>Single</t>
        </is>
      </c>
      <c r="G50" s="29" t="inlineStr">
        <is>
          <t>MCX 45 LVP</t>
        </is>
      </c>
      <c r="H50" s="29" t="inlineStr">
        <is>
          <t>158 X 209</t>
        </is>
      </c>
      <c r="I50" s="29" t="inlineStr">
        <is>
          <t>18 X 20</t>
        </is>
      </c>
      <c r="J50" s="29" t="n">
        <v>6</v>
      </c>
      <c r="K50" s="114" t="n"/>
      <c r="L50" s="31">
        <f>K50/J50</f>
        <v/>
      </c>
      <c r="M50" s="32" t="n">
        <v>0.6977821913273751</v>
      </c>
      <c r="N50" s="31">
        <f>LEFT(I50,FIND("X",I50)-1)*RIGHT(I50,LEN(I50)-FIND("X",I50)-1)*M50</f>
        <v/>
      </c>
      <c r="O50" s="33">
        <f>(N50*L50)/1000</f>
        <v/>
      </c>
    </row>
    <row r="51" ht="15" customHeight="1">
      <c r="A51" s="133" t="n"/>
      <c r="B51" s="133" t="n"/>
      <c r="C51" s="136" t="n"/>
      <c r="D51" s="11" t="inlineStr">
        <is>
          <t>Bottom</t>
        </is>
      </c>
      <c r="E51" s="11" t="n">
        <v>40</v>
      </c>
      <c r="F51" s="11" t="inlineStr">
        <is>
          <t>Single</t>
        </is>
      </c>
      <c r="G51" s="29" t="inlineStr">
        <is>
          <t>MCX 45 LVP</t>
        </is>
      </c>
      <c r="H51" s="29" t="inlineStr">
        <is>
          <t>158 X 209</t>
        </is>
      </c>
      <c r="I51" s="29" t="inlineStr">
        <is>
          <t>18 X 20</t>
        </is>
      </c>
      <c r="J51" s="29" t="n">
        <v>6</v>
      </c>
      <c r="K51" s="34" t="n"/>
      <c r="L51" s="14">
        <f>K51/J51</f>
        <v/>
      </c>
      <c r="M51" s="15" t="n">
        <v>0.6977821913273751</v>
      </c>
      <c r="N51" s="14">
        <f>LEFT(I51,FIND("X",I51)-1)*RIGHT(I51,LEN(I51)-FIND("X",I51)-1)*M51</f>
        <v/>
      </c>
      <c r="O51" s="16">
        <f>(N51*L51)/1000</f>
        <v/>
      </c>
    </row>
    <row r="52" ht="15.75" customHeight="1" thickBot="1">
      <c r="A52" s="135" t="n"/>
      <c r="B52" s="135" t="n"/>
      <c r="C52" s="22" t="inlineStr">
        <is>
          <t>SVG</t>
        </is>
      </c>
      <c r="D52" s="23" t="inlineStr">
        <is>
          <t>-</t>
        </is>
      </c>
      <c r="E52" s="23" t="n">
        <v>22</v>
      </c>
      <c r="F52" s="23" t="inlineStr">
        <is>
          <t>Single</t>
        </is>
      </c>
      <c r="G52" s="23" t="inlineStr">
        <is>
          <t>MCX 45 SVG</t>
        </is>
      </c>
      <c r="H52" s="23" t="inlineStr">
        <is>
          <t>171 X 222</t>
        </is>
      </c>
      <c r="I52" s="23" t="inlineStr">
        <is>
          <t>18.5 X 22</t>
        </is>
      </c>
      <c r="J52" s="23" t="n">
        <v>6</v>
      </c>
      <c r="K52" s="115" t="n"/>
      <c r="L52" s="25">
        <f>K52/J52</f>
        <v/>
      </c>
      <c r="M52" s="26" t="n">
        <v>0.4398148148148148</v>
      </c>
      <c r="N52" s="25">
        <f>LEFT(I52,FIND("X",I52)-1)*RIGHT(I52,LEN(I52)-FIND("X",I52)-1)*M52</f>
        <v/>
      </c>
      <c r="O52" s="27">
        <f>(N52*L52)/1000</f>
        <v/>
      </c>
    </row>
    <row r="53" ht="15" customHeight="1">
      <c r="A53" s="139" t="n">
        <v>17</v>
      </c>
      <c r="B53" s="140" t="inlineStr">
        <is>
          <t>MCX 46</t>
        </is>
      </c>
      <c r="C53" s="138" t="inlineStr">
        <is>
          <t>LVP</t>
        </is>
      </c>
      <c r="D53" s="29" t="inlineStr">
        <is>
          <t>Top</t>
        </is>
      </c>
      <c r="E53" s="29" t="n">
        <v>40</v>
      </c>
      <c r="F53" s="29" t="inlineStr">
        <is>
          <t>Single</t>
        </is>
      </c>
      <c r="G53" s="29" t="inlineStr">
        <is>
          <t>MCX 46 LVP</t>
        </is>
      </c>
      <c r="H53" s="29" t="inlineStr">
        <is>
          <t>128 X 389</t>
        </is>
      </c>
      <c r="I53" s="29" t="inlineStr">
        <is>
          <t>16 X 23</t>
        </is>
      </c>
      <c r="J53" s="29" t="n">
        <v>4</v>
      </c>
      <c r="K53" s="114" t="n"/>
      <c r="L53" s="31">
        <f>K53/J53</f>
        <v/>
      </c>
      <c r="M53" s="32" t="n">
        <v>0.6977821913273751</v>
      </c>
      <c r="N53" s="31">
        <f>LEFT(I53,FIND("X",I53)-1)*RIGHT(I53,LEN(I53)-FIND("X",I53)-1)*M53</f>
        <v/>
      </c>
      <c r="O53" s="33">
        <f>(N53*L53)/1000</f>
        <v/>
      </c>
    </row>
    <row r="54" ht="15" customHeight="1">
      <c r="A54" s="133" t="n"/>
      <c r="B54" s="133" t="n"/>
      <c r="C54" s="136" t="n"/>
      <c r="D54" s="11" t="inlineStr">
        <is>
          <t>Bottom</t>
        </is>
      </c>
      <c r="E54" s="11" t="n">
        <v>40</v>
      </c>
      <c r="F54" s="11" t="inlineStr">
        <is>
          <t>Single</t>
        </is>
      </c>
      <c r="G54" s="29" t="inlineStr">
        <is>
          <t>MCX 46 LVP</t>
        </is>
      </c>
      <c r="H54" s="29" t="inlineStr">
        <is>
          <t>128 X 389</t>
        </is>
      </c>
      <c r="I54" s="29" t="inlineStr">
        <is>
          <t>16 X 23</t>
        </is>
      </c>
      <c r="J54" s="29" t="n">
        <v>4</v>
      </c>
      <c r="K54" s="34" t="n"/>
      <c r="L54" s="14">
        <f>K54/J54</f>
        <v/>
      </c>
      <c r="M54" s="15" t="n">
        <v>0.6977821913273751</v>
      </c>
      <c r="N54" s="14">
        <f>LEFT(I54,FIND("X",I54)-1)*RIGHT(I54,LEN(I54)-FIND("X",I54)-1)*M54</f>
        <v/>
      </c>
      <c r="O54" s="16">
        <f>(N54*L54)/1000</f>
        <v/>
      </c>
    </row>
    <row r="55" ht="15.75" customHeight="1" thickBot="1">
      <c r="A55" s="135" t="n"/>
      <c r="B55" s="135" t="n"/>
      <c r="C55" s="22" t="inlineStr">
        <is>
          <t>SVG</t>
        </is>
      </c>
      <c r="D55" s="23" t="inlineStr">
        <is>
          <t>-</t>
        </is>
      </c>
      <c r="E55" s="23" t="n">
        <v>22</v>
      </c>
      <c r="F55" s="23" t="inlineStr">
        <is>
          <t>Single</t>
        </is>
      </c>
      <c r="G55" s="23" t="inlineStr">
        <is>
          <t>MCX 46 SVG</t>
        </is>
      </c>
      <c r="H55" s="23" t="inlineStr">
        <is>
          <t>145 X 406</t>
        </is>
      </c>
      <c r="I55" s="23" t="inlineStr">
        <is>
          <t>17 X 25</t>
        </is>
      </c>
      <c r="J55" s="23" t="n">
        <v>4</v>
      </c>
      <c r="K55" s="115" t="n"/>
      <c r="L55" s="25">
        <f>K55/J55</f>
        <v/>
      </c>
      <c r="M55" s="26" t="n">
        <v>0.4398148148148148</v>
      </c>
      <c r="N55" s="25">
        <f>LEFT(I55,FIND("X",I55)-1)*RIGHT(I55,LEN(I55)-FIND("X",I55)-1)*M55</f>
        <v/>
      </c>
      <c r="O55" s="27">
        <f>(N55*L55)/1000</f>
        <v/>
      </c>
    </row>
    <row r="56" ht="15" customHeight="1">
      <c r="A56" s="139" t="n">
        <v>18</v>
      </c>
      <c r="B56" s="140" t="inlineStr">
        <is>
          <t>MCX 50</t>
        </is>
      </c>
      <c r="C56" s="138" t="inlineStr">
        <is>
          <t>LVP</t>
        </is>
      </c>
      <c r="D56" s="29" t="inlineStr">
        <is>
          <t>Top</t>
        </is>
      </c>
      <c r="E56" s="29" t="n">
        <v>60</v>
      </c>
      <c r="F56" s="29" t="inlineStr">
        <is>
          <t>Single</t>
        </is>
      </c>
      <c r="G56" s="29" t="inlineStr">
        <is>
          <t>MCX 50 LVP</t>
        </is>
      </c>
      <c r="H56" s="29" t="inlineStr">
        <is>
          <t>178 X 539</t>
        </is>
      </c>
      <c r="I56" s="29" t="inlineStr">
        <is>
          <t>22 X 23</t>
        </is>
      </c>
      <c r="J56" s="29" t="n">
        <v>3</v>
      </c>
      <c r="K56" s="114" t="n"/>
      <c r="L56" s="31">
        <f>K56/J56</f>
        <v/>
      </c>
      <c r="M56" s="32" t="n">
        <v>1.103988603988604</v>
      </c>
      <c r="N56" s="31">
        <f>LEFT(I56,FIND("X",I56)-1)*RIGHT(I56,LEN(I56)-FIND("X",I56)-1)*M56</f>
        <v/>
      </c>
      <c r="O56" s="33">
        <f>(N56*L56)/1000</f>
        <v/>
      </c>
    </row>
    <row r="57" ht="15" customHeight="1">
      <c r="A57" s="133" t="n"/>
      <c r="B57" s="133" t="n"/>
      <c r="C57" s="136" t="n"/>
      <c r="D57" s="11" t="inlineStr">
        <is>
          <t>Bottom</t>
        </is>
      </c>
      <c r="E57" s="11" t="n">
        <v>40</v>
      </c>
      <c r="F57" s="11" t="inlineStr">
        <is>
          <t>Single</t>
        </is>
      </c>
      <c r="G57" s="29" t="inlineStr">
        <is>
          <t>MCX 50 LVP</t>
        </is>
      </c>
      <c r="H57" s="29" t="inlineStr">
        <is>
          <t>178 X 539</t>
        </is>
      </c>
      <c r="I57" s="29" t="inlineStr">
        <is>
          <t>22 X 23</t>
        </is>
      </c>
      <c r="J57" s="29" t="n">
        <v>3</v>
      </c>
      <c r="K57" s="34" t="n"/>
      <c r="L57" s="14">
        <f>K57/J57</f>
        <v/>
      </c>
      <c r="M57" s="15" t="n">
        <v>0.6977821913273751</v>
      </c>
      <c r="N57" s="14">
        <f>LEFT(I57,FIND("X",I57)-1)*RIGHT(I57,LEN(I57)-FIND("X",I57)-1)*M57</f>
        <v/>
      </c>
      <c r="O57" s="16">
        <f>(N57*L57)/1000</f>
        <v/>
      </c>
    </row>
    <row r="58" ht="15.75" customHeight="1" thickBot="1">
      <c r="A58" s="135" t="n"/>
      <c r="B58" s="135" t="n"/>
      <c r="C58" s="22" t="inlineStr">
        <is>
          <t>SVG</t>
        </is>
      </c>
      <c r="D58" s="23" t="inlineStr">
        <is>
          <t>-</t>
        </is>
      </c>
      <c r="E58" s="23" t="n">
        <v>22</v>
      </c>
      <c r="F58" s="23" t="inlineStr">
        <is>
          <t>Single</t>
        </is>
      </c>
      <c r="G58" s="23" t="inlineStr">
        <is>
          <t>MCX 50 SVG</t>
        </is>
      </c>
      <c r="H58" s="23" t="inlineStr">
        <is>
          <t>196 X 558</t>
        </is>
      </c>
      <c r="I58" s="23" t="inlineStr">
        <is>
          <t>22.5 X 25</t>
        </is>
      </c>
      <c r="J58" s="23" t="n">
        <v>3</v>
      </c>
      <c r="K58" s="115" t="n"/>
      <c r="L58" s="25">
        <f>K58/J58</f>
        <v/>
      </c>
      <c r="M58" s="26" t="n">
        <v>0.4398148148148148</v>
      </c>
      <c r="N58" s="25">
        <f>LEFT(I58,FIND("X",I58)-1)*RIGHT(I58,LEN(I58)-FIND("X",I58)-1)*M58</f>
        <v/>
      </c>
      <c r="O58" s="27">
        <f>(N58*L58)/1000</f>
        <v/>
      </c>
    </row>
    <row r="59" ht="15" customHeight="1">
      <c r="A59" s="139" t="n">
        <v>19</v>
      </c>
      <c r="B59" s="140" t="inlineStr">
        <is>
          <t>MCX 52</t>
        </is>
      </c>
      <c r="C59" s="138" t="inlineStr">
        <is>
          <t>LVP</t>
        </is>
      </c>
      <c r="D59" s="29" t="inlineStr">
        <is>
          <t>Top</t>
        </is>
      </c>
      <c r="E59" s="29" t="n">
        <v>60</v>
      </c>
      <c r="F59" s="29" t="inlineStr">
        <is>
          <t>Single</t>
        </is>
      </c>
      <c r="G59" s="29" t="inlineStr">
        <is>
          <t>MCX 52/54 LVP</t>
        </is>
      </c>
      <c r="H59" s="29" t="inlineStr">
        <is>
          <t>240 X 559</t>
        </is>
      </c>
      <c r="I59" s="29" t="inlineStr">
        <is>
          <t>22 X 23</t>
        </is>
      </c>
      <c r="J59" s="29" t="n">
        <v>2</v>
      </c>
      <c r="K59" s="114" t="n"/>
      <c r="L59" s="31">
        <f>K59/J59</f>
        <v/>
      </c>
      <c r="M59" s="32" t="n">
        <v>1.103988603988604</v>
      </c>
      <c r="N59" s="31">
        <f>LEFT(I59,FIND("X",I59)-1)*RIGHT(I59,LEN(I59)-FIND("X",I59)-1)*M59</f>
        <v/>
      </c>
      <c r="O59" s="33">
        <f>(N59*L59)/1000</f>
        <v/>
      </c>
    </row>
    <row r="60" ht="15" customHeight="1">
      <c r="A60" s="133" t="n"/>
      <c r="B60" s="133" t="n"/>
      <c r="C60" s="136" t="n"/>
      <c r="D60" s="11" t="inlineStr">
        <is>
          <t>Bottom</t>
        </is>
      </c>
      <c r="E60" s="11" t="n">
        <v>40</v>
      </c>
      <c r="F60" s="11" t="inlineStr">
        <is>
          <t>Single</t>
        </is>
      </c>
      <c r="G60" s="29" t="inlineStr">
        <is>
          <t>MCX 52/54 LVP</t>
        </is>
      </c>
      <c r="H60" s="29" t="inlineStr">
        <is>
          <t>240 X 559</t>
        </is>
      </c>
      <c r="I60" s="29" t="inlineStr">
        <is>
          <t>22 X 23</t>
        </is>
      </c>
      <c r="J60" s="29" t="n">
        <v>2</v>
      </c>
      <c r="K60" s="34" t="n"/>
      <c r="L60" s="14">
        <f>K60/J60</f>
        <v/>
      </c>
      <c r="M60" s="15" t="n">
        <v>0.6977821913273751</v>
      </c>
      <c r="N60" s="14">
        <f>LEFT(I60,FIND("X",I60)-1)*RIGHT(I60,LEN(I60)-FIND("X",I60)-1)*M60</f>
        <v/>
      </c>
      <c r="O60" s="16">
        <f>(N60*L60)/1000</f>
        <v/>
      </c>
    </row>
    <row r="61" ht="15.75" customHeight="1" thickBot="1">
      <c r="A61" s="135" t="n"/>
      <c r="B61" s="135" t="n"/>
      <c r="C61" s="22" t="inlineStr">
        <is>
          <t>SVG</t>
        </is>
      </c>
      <c r="D61" s="23" t="inlineStr">
        <is>
          <t>-</t>
        </is>
      </c>
      <c r="E61" s="23" t="n">
        <v>22</v>
      </c>
      <c r="F61" s="23" t="inlineStr">
        <is>
          <t>Single</t>
        </is>
      </c>
      <c r="G61" s="23" t="inlineStr">
        <is>
          <t>MCX 52/54 SVG</t>
        </is>
      </c>
      <c r="H61" s="23" t="inlineStr">
        <is>
          <t>258 X 577</t>
        </is>
      </c>
      <c r="I61" s="23" t="inlineStr">
        <is>
          <t>21 X 22.5</t>
        </is>
      </c>
      <c r="J61" s="23" t="n">
        <v>2</v>
      </c>
      <c r="K61" s="115" t="n"/>
      <c r="L61" s="25">
        <f>K61/J61</f>
        <v/>
      </c>
      <c r="M61" s="26" t="n">
        <v>0.4398148148148148</v>
      </c>
      <c r="N61" s="25">
        <f>LEFT(I61,FIND("X",I61)-1)*RIGHT(I61,LEN(I61)-FIND("X",I61)-1)*M61</f>
        <v/>
      </c>
      <c r="O61" s="27">
        <f>(N61*L61)/1000</f>
        <v/>
      </c>
    </row>
    <row r="62" ht="15" customHeight="1">
      <c r="A62" s="139" t="n">
        <v>20</v>
      </c>
      <c r="B62" s="140" t="inlineStr">
        <is>
          <t>MCX 54</t>
        </is>
      </c>
      <c r="C62" s="138" t="inlineStr">
        <is>
          <t>LVP</t>
        </is>
      </c>
      <c r="D62" s="29" t="inlineStr">
        <is>
          <t>Top</t>
        </is>
      </c>
      <c r="E62" s="29" t="n">
        <v>60</v>
      </c>
      <c r="F62" s="29" t="inlineStr">
        <is>
          <t>Single</t>
        </is>
      </c>
      <c r="G62" s="29" t="inlineStr">
        <is>
          <t>MCX 52/54 LVP</t>
        </is>
      </c>
      <c r="H62" s="29" t="inlineStr">
        <is>
          <t>240 X 559</t>
        </is>
      </c>
      <c r="I62" s="29" t="inlineStr">
        <is>
          <t>22 X 23</t>
        </is>
      </c>
      <c r="J62" s="29" t="n">
        <v>2</v>
      </c>
      <c r="K62" s="114" t="n"/>
      <c r="L62" s="31">
        <f>K62/J62</f>
        <v/>
      </c>
      <c r="M62" s="32" t="n">
        <v>1.103988603988604</v>
      </c>
      <c r="N62" s="31">
        <f>LEFT(I62,FIND("X",I62)-1)*RIGHT(I62,LEN(I62)-FIND("X",I62)-1)*M62</f>
        <v/>
      </c>
      <c r="O62" s="33">
        <f>(N62*L62)/1000</f>
        <v/>
      </c>
    </row>
    <row r="63" ht="15" customHeight="1">
      <c r="A63" s="133" t="n"/>
      <c r="B63" s="133" t="n"/>
      <c r="C63" s="136" t="n"/>
      <c r="D63" s="11" t="inlineStr">
        <is>
          <t>Bottom</t>
        </is>
      </c>
      <c r="E63" s="11" t="n">
        <v>40</v>
      </c>
      <c r="F63" s="11" t="inlineStr">
        <is>
          <t>Single</t>
        </is>
      </c>
      <c r="G63" s="29" t="inlineStr">
        <is>
          <t>MCX 52/54 LVP</t>
        </is>
      </c>
      <c r="H63" s="29" t="inlineStr">
        <is>
          <t>240 X 559</t>
        </is>
      </c>
      <c r="I63" s="29" t="inlineStr">
        <is>
          <t>22 X 23</t>
        </is>
      </c>
      <c r="J63" s="29" t="n">
        <v>2</v>
      </c>
      <c r="K63" s="34" t="n"/>
      <c r="L63" s="14">
        <f>K63/J63</f>
        <v/>
      </c>
      <c r="M63" s="15" t="n">
        <v>0.6977821913273751</v>
      </c>
      <c r="N63" s="14">
        <f>LEFT(I63,FIND("X",I63)-1)*RIGHT(I63,LEN(I63)-FIND("X",I63)-1)*M63</f>
        <v/>
      </c>
      <c r="O63" s="16">
        <f>(N63*L63)/1000</f>
        <v/>
      </c>
    </row>
    <row r="64" ht="15.75" customHeight="1" thickBot="1">
      <c r="A64" s="135" t="n"/>
      <c r="B64" s="135" t="n"/>
      <c r="C64" s="22" t="inlineStr">
        <is>
          <t>SVG</t>
        </is>
      </c>
      <c r="D64" s="23" t="inlineStr">
        <is>
          <t>-</t>
        </is>
      </c>
      <c r="E64" s="23" t="n">
        <v>22</v>
      </c>
      <c r="F64" s="23" t="inlineStr">
        <is>
          <t>Single</t>
        </is>
      </c>
      <c r="G64" s="23" t="inlineStr">
        <is>
          <t>MCX 52/54 SVG</t>
        </is>
      </c>
      <c r="H64" s="23" t="inlineStr">
        <is>
          <t>258 X 577</t>
        </is>
      </c>
      <c r="I64" s="23" t="inlineStr">
        <is>
          <t>21 X 22.5</t>
        </is>
      </c>
      <c r="J64" s="23" t="n">
        <v>2</v>
      </c>
      <c r="K64" s="115" t="n"/>
      <c r="L64" s="25">
        <f>K64/J64</f>
        <v/>
      </c>
      <c r="M64" s="26" t="n">
        <v>0.4398148148148148</v>
      </c>
      <c r="N64" s="25">
        <f>LEFT(I64,FIND("X",I64)-1)*RIGHT(I64,LEN(I64)-FIND("X",I64)-1)*M64</f>
        <v/>
      </c>
      <c r="O64" s="27">
        <f>(N64*L64)/1000</f>
        <v/>
      </c>
    </row>
    <row r="65" ht="15" customHeight="1">
      <c r="A65" s="139" t="n">
        <v>21</v>
      </c>
      <c r="B65" s="140" t="inlineStr">
        <is>
          <t>MCX 55</t>
        </is>
      </c>
      <c r="C65" s="138" t="inlineStr">
        <is>
          <t>LVP</t>
        </is>
      </c>
      <c r="D65" s="29" t="inlineStr">
        <is>
          <t>Top</t>
        </is>
      </c>
      <c r="E65" s="29" t="n">
        <v>60</v>
      </c>
      <c r="F65" s="29" t="inlineStr">
        <is>
          <t>Single</t>
        </is>
      </c>
      <c r="G65" s="29" t="inlineStr">
        <is>
          <t>MCX 55 LVP</t>
        </is>
      </c>
      <c r="H65" s="29" t="inlineStr">
        <is>
          <t>237 X 308</t>
        </is>
      </c>
      <c r="I65" s="29" t="inlineStr">
        <is>
          <t>20 X 25</t>
        </is>
      </c>
      <c r="J65" s="29" t="n">
        <v>4</v>
      </c>
      <c r="K65" s="114" t="n"/>
      <c r="L65" s="31">
        <f>K65/J65</f>
        <v/>
      </c>
      <c r="M65" s="32" t="n">
        <v>1.103988603988604</v>
      </c>
      <c r="N65" s="31">
        <f>LEFT(I65,FIND("X",I65)-1)*RIGHT(I65,LEN(I65)-FIND("X",I65)-1)*M65</f>
        <v/>
      </c>
      <c r="O65" s="33">
        <f>(N65*L65)/1000</f>
        <v/>
      </c>
    </row>
    <row r="66" ht="15" customHeight="1">
      <c r="A66" s="133" t="n"/>
      <c r="B66" s="133" t="n"/>
      <c r="C66" s="136" t="n"/>
      <c r="D66" s="11" t="inlineStr">
        <is>
          <t>Bottom</t>
        </is>
      </c>
      <c r="E66" s="11" t="n">
        <v>40</v>
      </c>
      <c r="F66" s="11" t="inlineStr">
        <is>
          <t>Single</t>
        </is>
      </c>
      <c r="G66" s="29" t="inlineStr">
        <is>
          <t>MCX 55 LVP</t>
        </is>
      </c>
      <c r="H66" s="29" t="inlineStr">
        <is>
          <t>237 X 308</t>
        </is>
      </c>
      <c r="I66" s="29" t="inlineStr">
        <is>
          <t>20 X 25</t>
        </is>
      </c>
      <c r="J66" s="29" t="n">
        <v>4</v>
      </c>
      <c r="K66" s="34" t="n"/>
      <c r="L66" s="14">
        <f>K66/J66</f>
        <v/>
      </c>
      <c r="M66" s="15" t="n">
        <v>0.6977821913273751</v>
      </c>
      <c r="N66" s="14">
        <f>LEFT(I66,FIND("X",I66)-1)*RIGHT(I66,LEN(I66)-FIND("X",I66)-1)*M66</f>
        <v/>
      </c>
      <c r="O66" s="16">
        <f>(N66*L66)/1000</f>
        <v/>
      </c>
    </row>
    <row r="67" ht="15.75" customHeight="1" thickBot="1">
      <c r="A67" s="135" t="n"/>
      <c r="B67" s="135" t="n"/>
      <c r="C67" s="22" t="inlineStr">
        <is>
          <t>SVG</t>
        </is>
      </c>
      <c r="D67" s="23" t="inlineStr">
        <is>
          <t>-</t>
        </is>
      </c>
      <c r="E67" s="23" t="n">
        <v>22</v>
      </c>
      <c r="F67" s="23" t="inlineStr">
        <is>
          <t>Single</t>
        </is>
      </c>
      <c r="G67" s="23" t="inlineStr">
        <is>
          <t>MCX 55 SVG</t>
        </is>
      </c>
      <c r="H67" s="23" t="inlineStr">
        <is>
          <t>254 X 320</t>
        </is>
      </c>
      <c r="I67" s="23" t="inlineStr">
        <is>
          <t xml:space="preserve">21 X 26 </t>
        </is>
      </c>
      <c r="J67" s="23" t="n">
        <v>4</v>
      </c>
      <c r="K67" s="115" t="n"/>
      <c r="L67" s="25">
        <f>K67/J67</f>
        <v/>
      </c>
      <c r="M67" s="26" t="n">
        <v>0.4398148148148148</v>
      </c>
      <c r="N67" s="25">
        <f>LEFT(I67,FIND("X",I67)-1)*RIGHT(I67,LEN(I67)-FIND("X",I67)-1)*M67</f>
        <v/>
      </c>
      <c r="O67" s="27">
        <f>(N67*L67)/1000</f>
        <v/>
      </c>
    </row>
    <row r="68" ht="15" customHeight="1">
      <c r="A68" s="139" t="n">
        <v>22</v>
      </c>
      <c r="B68" s="140" t="inlineStr">
        <is>
          <t>MCX 56</t>
        </is>
      </c>
      <c r="C68" s="138" t="inlineStr">
        <is>
          <t>LVP</t>
        </is>
      </c>
      <c r="D68" s="29" t="inlineStr">
        <is>
          <t>Top</t>
        </is>
      </c>
      <c r="E68" s="29" t="n">
        <v>60</v>
      </c>
      <c r="F68" s="29" t="inlineStr">
        <is>
          <t>H.C.</t>
        </is>
      </c>
      <c r="G68" s="29" t="inlineStr">
        <is>
          <t>Hand Cutting</t>
        </is>
      </c>
      <c r="H68" s="29" t="inlineStr">
        <is>
          <t>250 X 719</t>
        </is>
      </c>
      <c r="I68" s="29" t="inlineStr">
        <is>
          <t>21 X 29</t>
        </is>
      </c>
      <c r="J68" s="29" t="n">
        <v>2</v>
      </c>
      <c r="K68" s="114" t="n"/>
      <c r="L68" s="31">
        <f>K68/J68</f>
        <v/>
      </c>
      <c r="M68" s="32" t="n">
        <v>1.103988603988604</v>
      </c>
      <c r="N68" s="31">
        <f>LEFT(I68,FIND("X",I68)-1)*RIGHT(I68,LEN(I68)-FIND("X",I68)-1)*M68</f>
        <v/>
      </c>
      <c r="O68" s="33">
        <f>(N68*L68)/1000</f>
        <v/>
      </c>
    </row>
    <row r="69" ht="15" customHeight="1">
      <c r="A69" s="133" t="n"/>
      <c r="B69" s="133" t="n"/>
      <c r="C69" s="136" t="n"/>
      <c r="D69" s="11" t="inlineStr">
        <is>
          <t>Bottom</t>
        </is>
      </c>
      <c r="E69" s="11" t="n">
        <v>40</v>
      </c>
      <c r="F69" s="11" t="inlineStr">
        <is>
          <t>H.C.</t>
        </is>
      </c>
      <c r="G69" s="29" t="inlineStr">
        <is>
          <t>Hand Cutting</t>
        </is>
      </c>
      <c r="H69" s="11" t="inlineStr">
        <is>
          <t>250 X 719</t>
        </is>
      </c>
      <c r="I69" s="29" t="inlineStr">
        <is>
          <t>21 X 29</t>
        </is>
      </c>
      <c r="J69" s="29" t="n">
        <v>2</v>
      </c>
      <c r="K69" s="34" t="n"/>
      <c r="L69" s="14">
        <f>K69/J69</f>
        <v/>
      </c>
      <c r="M69" s="15" t="n">
        <v>0.6977821913273751</v>
      </c>
      <c r="N69" s="14">
        <f>LEFT(I69,FIND("X",I69)-1)*RIGHT(I69,LEN(I69)-FIND("X",I69)-1)*M69</f>
        <v/>
      </c>
      <c r="O69" s="16">
        <f>(N69*L69)/1000</f>
        <v/>
      </c>
    </row>
    <row r="70" ht="15.75" customHeight="1" thickBot="1">
      <c r="A70" s="135" t="n"/>
      <c r="B70" s="135" t="n"/>
      <c r="C70" s="22" t="inlineStr">
        <is>
          <t>SVG</t>
        </is>
      </c>
      <c r="D70" s="23" t="inlineStr">
        <is>
          <t>-</t>
        </is>
      </c>
      <c r="E70" s="23" t="n">
        <v>22</v>
      </c>
      <c r="F70" s="23" t="inlineStr">
        <is>
          <t>H.C.</t>
        </is>
      </c>
      <c r="G70" s="23" t="inlineStr">
        <is>
          <t>Hand Cutting</t>
        </is>
      </c>
      <c r="H70" s="23" t="inlineStr">
        <is>
          <t>266 X 735</t>
        </is>
      </c>
      <c r="I70" s="23" t="inlineStr">
        <is>
          <t>22 X 29</t>
        </is>
      </c>
      <c r="J70" s="23" t="n">
        <v>2</v>
      </c>
      <c r="K70" s="115" t="n"/>
      <c r="L70" s="25">
        <f>K70/J70</f>
        <v/>
      </c>
      <c r="M70" s="26" t="n">
        <v>0.4398148148148148</v>
      </c>
      <c r="N70" s="25">
        <f>LEFT(I70,FIND("X",I70)-1)*RIGHT(I70,LEN(I70)-FIND("X",I70)-1)*M70</f>
        <v/>
      </c>
      <c r="O70" s="27">
        <f>(N70*L70)/1000</f>
        <v/>
      </c>
    </row>
    <row r="71" ht="15" customHeight="1">
      <c r="A71" s="139" t="n">
        <v>23</v>
      </c>
      <c r="B71" s="140" t="inlineStr">
        <is>
          <t>MCX 60</t>
        </is>
      </c>
      <c r="C71" s="138" t="inlineStr">
        <is>
          <t>LVP</t>
        </is>
      </c>
      <c r="D71" s="29" t="inlineStr">
        <is>
          <t>Top</t>
        </is>
      </c>
      <c r="E71" s="29" t="n">
        <v>60</v>
      </c>
      <c r="F71" s="29" t="inlineStr">
        <is>
          <t>H.C.</t>
        </is>
      </c>
      <c r="G71" s="29" t="inlineStr">
        <is>
          <t>Hand Cutting</t>
        </is>
      </c>
      <c r="H71" s="29" t="inlineStr">
        <is>
          <t>243 X 998</t>
        </is>
      </c>
      <c r="I71" s="29" t="inlineStr">
        <is>
          <t>20 X 40</t>
        </is>
      </c>
      <c r="J71" s="29" t="n">
        <v>2</v>
      </c>
      <c r="K71" s="114" t="n"/>
      <c r="L71" s="31">
        <f>K71/J71</f>
        <v/>
      </c>
      <c r="M71" s="32" t="n">
        <v>1.103988603988604</v>
      </c>
      <c r="N71" s="31">
        <f>LEFT(I71,FIND("X",I71)-1)*RIGHT(I71,LEN(I71)-FIND("X",I71)-1)*M71</f>
        <v/>
      </c>
      <c r="O71" s="33">
        <f>(N71*L71)/1000</f>
        <v/>
      </c>
    </row>
    <row r="72" ht="15" customHeight="1">
      <c r="A72" s="133" t="n"/>
      <c r="B72" s="133" t="n"/>
      <c r="C72" s="136" t="n"/>
      <c r="D72" s="11" t="inlineStr">
        <is>
          <t>Bottom</t>
        </is>
      </c>
      <c r="E72" s="11" t="n">
        <v>40</v>
      </c>
      <c r="F72" s="11" t="inlineStr">
        <is>
          <t>H.C.</t>
        </is>
      </c>
      <c r="G72" s="29" t="inlineStr">
        <is>
          <t>Hand Cutting</t>
        </is>
      </c>
      <c r="H72" s="29" t="inlineStr">
        <is>
          <t>243 X 998</t>
        </is>
      </c>
      <c r="I72" s="29" t="inlineStr">
        <is>
          <t>20 X 40</t>
        </is>
      </c>
      <c r="J72" s="29" t="n">
        <v>2</v>
      </c>
      <c r="K72" s="34" t="n"/>
      <c r="L72" s="14">
        <f>K72/J72</f>
        <v/>
      </c>
      <c r="M72" s="15" t="n">
        <v>0.6977821913273751</v>
      </c>
      <c r="N72" s="14">
        <f>LEFT(I72,FIND("X",I72)-1)*RIGHT(I72,LEN(I72)-FIND("X",I72)-1)*M72</f>
        <v/>
      </c>
      <c r="O72" s="16">
        <f>(N72*L72)/1000</f>
        <v/>
      </c>
    </row>
    <row r="73" ht="15.75" customHeight="1" thickBot="1">
      <c r="A73" s="135" t="n"/>
      <c r="B73" s="135" t="n"/>
      <c r="C73" s="22" t="inlineStr">
        <is>
          <t>SVG</t>
        </is>
      </c>
      <c r="D73" s="23" t="inlineStr">
        <is>
          <t>-</t>
        </is>
      </c>
      <c r="E73" s="23" t="n">
        <v>22</v>
      </c>
      <c r="F73" s="23" t="inlineStr">
        <is>
          <t>H.C.</t>
        </is>
      </c>
      <c r="G73" s="23" t="inlineStr">
        <is>
          <t>Hand Cutting</t>
        </is>
      </c>
      <c r="H73" s="23" t="inlineStr">
        <is>
          <t>266 X 1015</t>
        </is>
      </c>
      <c r="I73" s="23" t="inlineStr">
        <is>
          <t>22 X 40.5</t>
        </is>
      </c>
      <c r="J73" s="23" t="n">
        <v>2</v>
      </c>
      <c r="K73" s="115" t="n"/>
      <c r="L73" s="25">
        <f>K73/J73</f>
        <v/>
      </c>
      <c r="M73" s="26" t="n">
        <v>0.4398148148148148</v>
      </c>
      <c r="N73" s="25">
        <f>LEFT(I73,FIND("X",I73)-1)*RIGHT(I73,LEN(I73)-FIND("X",I73)-1)*M73</f>
        <v/>
      </c>
      <c r="O73" s="27">
        <f>(N73*L73)/1000</f>
        <v/>
      </c>
    </row>
    <row r="74" ht="15" customHeight="1">
      <c r="A74" s="139" t="n">
        <v>24</v>
      </c>
      <c r="B74" s="140" t="inlineStr">
        <is>
          <t>MCX 62</t>
        </is>
      </c>
      <c r="C74" s="138" t="inlineStr">
        <is>
          <t>LVP</t>
        </is>
      </c>
      <c r="D74" s="29" t="inlineStr">
        <is>
          <t>Top</t>
        </is>
      </c>
      <c r="E74" s="29" t="n">
        <v>60</v>
      </c>
      <c r="F74" s="29" t="inlineStr">
        <is>
          <t>H.C.</t>
        </is>
      </c>
      <c r="G74" s="29" t="inlineStr">
        <is>
          <t>Hand Cutting</t>
        </is>
      </c>
      <c r="H74" s="29" t="inlineStr">
        <is>
          <t>302 X 1027</t>
        </is>
      </c>
      <c r="I74" s="29" t="inlineStr">
        <is>
          <t>25 X 41</t>
        </is>
      </c>
      <c r="J74" s="29" t="n">
        <v>2</v>
      </c>
      <c r="K74" s="114" t="n"/>
      <c r="L74" s="31">
        <f>K74/J74</f>
        <v/>
      </c>
      <c r="M74" s="32" t="n">
        <v>1.103988603988604</v>
      </c>
      <c r="N74" s="31">
        <f>LEFT(I74,FIND("X",I74)-1)*RIGHT(I74,LEN(I74)-FIND("X",I74)-1)*M74</f>
        <v/>
      </c>
      <c r="O74" s="33">
        <f>(N74*L74)/1000</f>
        <v/>
      </c>
    </row>
    <row r="75" ht="15" customHeight="1">
      <c r="A75" s="133" t="n"/>
      <c r="B75" s="133" t="n"/>
      <c r="C75" s="136" t="n"/>
      <c r="D75" s="11" t="inlineStr">
        <is>
          <t>Bottom</t>
        </is>
      </c>
      <c r="E75" s="11" t="n">
        <v>40</v>
      </c>
      <c r="F75" s="11" t="inlineStr">
        <is>
          <t>H.C.</t>
        </is>
      </c>
      <c r="G75" s="29" t="inlineStr">
        <is>
          <t>Hand Cutting</t>
        </is>
      </c>
      <c r="H75" s="29" t="inlineStr">
        <is>
          <t>302 X 1027</t>
        </is>
      </c>
      <c r="I75" s="29" t="inlineStr">
        <is>
          <t>25 X 41</t>
        </is>
      </c>
      <c r="J75" s="29" t="n">
        <v>2</v>
      </c>
      <c r="K75" s="34" t="n"/>
      <c r="L75" s="14">
        <f>K75/J75</f>
        <v/>
      </c>
      <c r="M75" s="15" t="n">
        <v>0.6977821913273751</v>
      </c>
      <c r="N75" s="14">
        <f>LEFT(I75,FIND("X",I75)-1)*RIGHT(I75,LEN(I75)-FIND("X",I75)-1)*M75</f>
        <v/>
      </c>
      <c r="O75" s="16">
        <f>(N75*L75)/1000</f>
        <v/>
      </c>
    </row>
    <row r="76" ht="15.75" customHeight="1" thickBot="1">
      <c r="A76" s="135" t="n"/>
      <c r="B76" s="135" t="n"/>
      <c r="C76" s="22" t="inlineStr">
        <is>
          <t>SVG</t>
        </is>
      </c>
      <c r="D76" s="23" t="inlineStr">
        <is>
          <t>-</t>
        </is>
      </c>
      <c r="E76" s="23" t="n">
        <v>22</v>
      </c>
      <c r="F76" s="23" t="inlineStr">
        <is>
          <t>H.C.</t>
        </is>
      </c>
      <c r="G76" s="23" t="inlineStr">
        <is>
          <t>Hand Cutting</t>
        </is>
      </c>
      <c r="H76" s="23" t="inlineStr">
        <is>
          <t>322 X 1047</t>
        </is>
      </c>
      <c r="I76" s="23" t="inlineStr">
        <is>
          <t>26.5 X 42</t>
        </is>
      </c>
      <c r="J76" s="23" t="n">
        <v>2</v>
      </c>
      <c r="K76" s="115" t="n"/>
      <c r="L76" s="25">
        <f>K76/J76</f>
        <v/>
      </c>
      <c r="M76" s="26" t="n">
        <v>0.4398148148148148</v>
      </c>
      <c r="N76" s="25">
        <f>LEFT(I76,FIND("X",I76)-1)*RIGHT(I76,LEN(I76)-FIND("X",I76)-1)*M76</f>
        <v/>
      </c>
      <c r="O76" s="27">
        <f>(N76*L76)/1000</f>
        <v/>
      </c>
    </row>
    <row r="77" ht="15" customHeight="1">
      <c r="A77" s="139" t="n">
        <v>25</v>
      </c>
      <c r="B77" s="140" t="inlineStr">
        <is>
          <t>MCX 65</t>
        </is>
      </c>
      <c r="C77" s="138" t="inlineStr">
        <is>
          <t>LVP</t>
        </is>
      </c>
      <c r="D77" s="29" t="inlineStr">
        <is>
          <t>Top</t>
        </is>
      </c>
      <c r="E77" s="29" t="n">
        <v>60</v>
      </c>
      <c r="F77" s="29" t="inlineStr">
        <is>
          <t>Single</t>
        </is>
      </c>
      <c r="G77" s="29" t="inlineStr">
        <is>
          <t>MCX 65 LVP</t>
        </is>
      </c>
      <c r="H77" s="29" t="inlineStr">
        <is>
          <t>307 X 398</t>
        </is>
      </c>
      <c r="I77" s="29" t="inlineStr">
        <is>
          <t>16 X 25</t>
        </is>
      </c>
      <c r="J77" s="29" t="n">
        <v>2</v>
      </c>
      <c r="K77" s="114" t="n"/>
      <c r="L77" s="31">
        <f>K77/J77</f>
        <v/>
      </c>
      <c r="M77" s="32" t="n">
        <v>1.103988603988604</v>
      </c>
      <c r="N77" s="31">
        <f>LEFT(I77,FIND("X",I77)-1)*RIGHT(I77,LEN(I77)-FIND("X",I77)-1)*M77</f>
        <v/>
      </c>
      <c r="O77" s="33">
        <f>(N77*L77)/1000</f>
        <v/>
      </c>
    </row>
    <row r="78" ht="15" customHeight="1">
      <c r="A78" s="133" t="n"/>
      <c r="B78" s="133" t="n"/>
      <c r="C78" s="136" t="n"/>
      <c r="D78" s="11" t="inlineStr">
        <is>
          <t>Bottom</t>
        </is>
      </c>
      <c r="E78" s="11" t="n">
        <v>40</v>
      </c>
      <c r="F78" s="11" t="inlineStr">
        <is>
          <t>Single</t>
        </is>
      </c>
      <c r="G78" s="29" t="inlineStr">
        <is>
          <t>MCX 65 LVP</t>
        </is>
      </c>
      <c r="H78" s="29" t="inlineStr">
        <is>
          <t>307 X 398</t>
        </is>
      </c>
      <c r="I78" s="29" t="inlineStr">
        <is>
          <t>16 X 25</t>
        </is>
      </c>
      <c r="J78" s="29" t="n">
        <v>2</v>
      </c>
      <c r="K78" s="34" t="n"/>
      <c r="L78" s="14">
        <f>K78/J78</f>
        <v/>
      </c>
      <c r="M78" s="15" t="n">
        <v>0.6977821913273751</v>
      </c>
      <c r="N78" s="14">
        <f>LEFT(I78,FIND("X",I78)-1)*RIGHT(I78,LEN(I78)-FIND("X",I78)-1)*M78</f>
        <v/>
      </c>
      <c r="O78" s="16">
        <f>(N78*L78)/1000</f>
        <v/>
      </c>
    </row>
    <row r="79" ht="15.75" customHeight="1" thickBot="1">
      <c r="A79" s="135" t="n"/>
      <c r="B79" s="135" t="n"/>
      <c r="C79" s="22" t="inlineStr">
        <is>
          <t>SVG</t>
        </is>
      </c>
      <c r="D79" s="23" t="inlineStr">
        <is>
          <t>-</t>
        </is>
      </c>
      <c r="E79" s="23" t="n">
        <v>22</v>
      </c>
      <c r="F79" s="23" t="inlineStr">
        <is>
          <t>Single</t>
        </is>
      </c>
      <c r="G79" s="23" t="inlineStr">
        <is>
          <t>MCX 65 SVG</t>
        </is>
      </c>
      <c r="H79" s="23" t="inlineStr">
        <is>
          <t>325 X 412</t>
        </is>
      </c>
      <c r="I79" s="23" t="inlineStr">
        <is>
          <t>16.5 X 26.5</t>
        </is>
      </c>
      <c r="J79" s="23" t="n">
        <v>2</v>
      </c>
      <c r="K79" s="115" t="n"/>
      <c r="L79" s="25">
        <f>K79/J79</f>
        <v/>
      </c>
      <c r="M79" s="26" t="n">
        <v>0.4398148148148148</v>
      </c>
      <c r="N79" s="25">
        <f>LEFT(I79,FIND("X",I79)-1)*RIGHT(I79,LEN(I79)-FIND("X",I79)-1)*M79</f>
        <v/>
      </c>
      <c r="O79" s="27">
        <f>(N79*L79)/1000</f>
        <v/>
      </c>
    </row>
    <row r="80" ht="15" customHeight="1">
      <c r="A80" s="139" t="n">
        <v>26</v>
      </c>
      <c r="B80" s="140" t="inlineStr">
        <is>
          <t>MCX 68</t>
        </is>
      </c>
      <c r="C80" s="138" t="inlineStr">
        <is>
          <t>LVP</t>
        </is>
      </c>
      <c r="D80" s="29" t="inlineStr">
        <is>
          <t>Top</t>
        </is>
      </c>
      <c r="E80" s="29" t="n">
        <v>60</v>
      </c>
      <c r="F80" s="29" t="inlineStr">
        <is>
          <t>H.C.</t>
        </is>
      </c>
      <c r="G80" s="29" t="inlineStr">
        <is>
          <t>Hand Cutting</t>
        </is>
      </c>
      <c r="H80" s="29" t="inlineStr">
        <is>
          <t>327 X 732</t>
        </is>
      </c>
      <c r="I80" s="29" t="inlineStr">
        <is>
          <t>27 X 29</t>
        </is>
      </c>
      <c r="J80" s="29" t="n">
        <v>2</v>
      </c>
      <c r="K80" s="114" t="n"/>
      <c r="L80" s="31">
        <f>K80/J80</f>
        <v/>
      </c>
      <c r="M80" s="32" t="n">
        <v>1.103988603988604</v>
      </c>
      <c r="N80" s="31">
        <f>LEFT(I80,FIND("X",I80)-1)*RIGHT(I80,LEN(I80)-FIND("X",I80)-1)*M80</f>
        <v/>
      </c>
      <c r="O80" s="33">
        <f>(N80*L80)/1000</f>
        <v/>
      </c>
    </row>
    <row r="81" ht="15" customHeight="1">
      <c r="A81" s="133" t="n"/>
      <c r="B81" s="133" t="n"/>
      <c r="C81" s="136" t="n"/>
      <c r="D81" s="11" t="inlineStr">
        <is>
          <t>Bottom</t>
        </is>
      </c>
      <c r="E81" s="11" t="n">
        <v>40</v>
      </c>
      <c r="F81" s="11" t="inlineStr">
        <is>
          <t>H.C.</t>
        </is>
      </c>
      <c r="G81" s="29" t="inlineStr">
        <is>
          <t>Hand Cutting</t>
        </is>
      </c>
      <c r="H81" s="29" t="inlineStr">
        <is>
          <t>327 X 732</t>
        </is>
      </c>
      <c r="I81" s="29" t="inlineStr">
        <is>
          <t>27 X 29</t>
        </is>
      </c>
      <c r="J81" s="29" t="n">
        <v>2</v>
      </c>
      <c r="K81" s="34" t="n"/>
      <c r="L81" s="14">
        <f>K81/J81</f>
        <v/>
      </c>
      <c r="M81" s="15" t="n">
        <v>0.6977821913273751</v>
      </c>
      <c r="N81" s="14">
        <f>LEFT(I81,FIND("X",I81)-1)*RIGHT(I81,LEN(I81)-FIND("X",I81)-1)*M81</f>
        <v/>
      </c>
      <c r="O81" s="16">
        <f>(N81*L81)/1000</f>
        <v/>
      </c>
    </row>
    <row r="82" ht="15.75" customHeight="1" thickBot="1">
      <c r="A82" s="135" t="n"/>
      <c r="B82" s="135" t="n"/>
      <c r="C82" s="22" t="inlineStr">
        <is>
          <t>SVG</t>
        </is>
      </c>
      <c r="D82" s="23" t="inlineStr">
        <is>
          <t>-</t>
        </is>
      </c>
      <c r="E82" s="23" t="n">
        <v>22</v>
      </c>
      <c r="F82" s="23" t="inlineStr">
        <is>
          <t>H.C.</t>
        </is>
      </c>
      <c r="G82" s="23" t="inlineStr">
        <is>
          <t>Hand Cutting</t>
        </is>
      </c>
      <c r="H82" s="23" t="inlineStr">
        <is>
          <t>345 X 750</t>
        </is>
      </c>
      <c r="I82" s="23" t="inlineStr">
        <is>
          <t>28 X 30</t>
        </is>
      </c>
      <c r="J82" s="23" t="n">
        <v>2</v>
      </c>
      <c r="K82" s="115" t="n"/>
      <c r="L82" s="25">
        <f>K82/J82</f>
        <v/>
      </c>
      <c r="M82" s="26" t="n">
        <v>0.4398148148148148</v>
      </c>
      <c r="N82" s="25">
        <f>LEFT(I82,FIND("X",I82)-1)*RIGHT(I82,LEN(I82)-FIND("X",I82)-1)*M82</f>
        <v/>
      </c>
      <c r="O82" s="27">
        <f>(N82*L82)/1000</f>
        <v/>
      </c>
    </row>
    <row r="83" ht="15" customHeight="1">
      <c r="A83" s="139" t="n">
        <v>27</v>
      </c>
      <c r="B83" s="140" t="inlineStr">
        <is>
          <t>MCX 75</t>
        </is>
      </c>
      <c r="C83" s="138" t="inlineStr">
        <is>
          <t>LVP</t>
        </is>
      </c>
      <c r="D83" s="29" t="inlineStr">
        <is>
          <t>Top</t>
        </is>
      </c>
      <c r="E83" s="29" t="n">
        <v>60</v>
      </c>
      <c r="F83" s="29" t="inlineStr">
        <is>
          <t>Single</t>
        </is>
      </c>
      <c r="G83" s="29" t="inlineStr">
        <is>
          <t>MCX 75 LVP</t>
        </is>
      </c>
      <c r="H83" s="29" t="inlineStr">
        <is>
          <t>427 X 508</t>
        </is>
      </c>
      <c r="I83" s="29" t="inlineStr">
        <is>
          <t>20.5 X 34.5</t>
        </is>
      </c>
      <c r="J83" s="29" t="n">
        <v>2</v>
      </c>
      <c r="K83" s="114" t="n"/>
      <c r="L83" s="31">
        <f>K83/J83</f>
        <v/>
      </c>
      <c r="M83" s="32" t="n">
        <v>1.103988603988604</v>
      </c>
      <c r="N83" s="31">
        <f>LEFT(I83,FIND("X",I83)-1)*RIGHT(I83,LEN(I83)-FIND("X",I83)-1)*M83</f>
        <v/>
      </c>
      <c r="O83" s="33">
        <f>(N83*L83)/1000</f>
        <v/>
      </c>
    </row>
    <row r="84" ht="15" customHeight="1">
      <c r="A84" s="133" t="n"/>
      <c r="B84" s="133" t="n"/>
      <c r="C84" s="136" t="n"/>
      <c r="D84" s="11" t="inlineStr">
        <is>
          <t>Bottom</t>
        </is>
      </c>
      <c r="E84" s="11" t="n">
        <v>40</v>
      </c>
      <c r="F84" s="11" t="inlineStr">
        <is>
          <t>Single</t>
        </is>
      </c>
      <c r="G84" s="29" t="inlineStr">
        <is>
          <t>MCX 75 LVP</t>
        </is>
      </c>
      <c r="H84" s="29" t="inlineStr">
        <is>
          <t>427 X 508</t>
        </is>
      </c>
      <c r="I84" s="29" t="inlineStr">
        <is>
          <t>20.5 X 34.5</t>
        </is>
      </c>
      <c r="J84" s="11" t="n">
        <v>2</v>
      </c>
      <c r="K84" s="34" t="n"/>
      <c r="L84" s="14">
        <f>K84/J84</f>
        <v/>
      </c>
      <c r="M84" s="15" t="n">
        <v>0.6977821913273751</v>
      </c>
      <c r="N84" s="14">
        <f>LEFT(I84,FIND("X",I84)-1)*RIGHT(I84,LEN(I84)-FIND("X",I84)-1)*M84</f>
        <v/>
      </c>
      <c r="O84" s="16">
        <f>(N84*L84)/1000</f>
        <v/>
      </c>
    </row>
    <row r="85" ht="15.75" customHeight="1" thickBot="1">
      <c r="A85" s="135" t="n"/>
      <c r="B85" s="135" t="n"/>
      <c r="C85" s="22" t="inlineStr">
        <is>
          <t>SVG</t>
        </is>
      </c>
      <c r="D85" s="23" t="inlineStr">
        <is>
          <t>-</t>
        </is>
      </c>
      <c r="E85" s="23" t="n">
        <v>22</v>
      </c>
      <c r="F85" s="23" t="inlineStr">
        <is>
          <t>Single</t>
        </is>
      </c>
      <c r="G85" s="23" t="inlineStr">
        <is>
          <t>MCX 75 SVG</t>
        </is>
      </c>
      <c r="H85" s="23" t="inlineStr">
        <is>
          <t>445 X 522</t>
        </is>
      </c>
      <c r="I85" s="23" t="inlineStr">
        <is>
          <t>21 X 36</t>
        </is>
      </c>
      <c r="J85" s="23" t="n">
        <v>2</v>
      </c>
      <c r="K85" s="115" t="n"/>
      <c r="L85" s="25">
        <f>K85/J85</f>
        <v/>
      </c>
      <c r="M85" s="26" t="n">
        <v>0.4398148148148148</v>
      </c>
      <c r="N85" s="25">
        <f>LEFT(I85,FIND("X",I85)-1)*RIGHT(I85,LEN(I85)-FIND("X",I85)-1)*M85</f>
        <v/>
      </c>
      <c r="O85" s="27">
        <f>(N85*L85)/1000</f>
        <v/>
      </c>
    </row>
    <row r="86" ht="15" customHeight="1">
      <c r="A86" s="139" t="n">
        <v>28</v>
      </c>
      <c r="B86" s="140" t="inlineStr">
        <is>
          <t>MCX 80</t>
        </is>
      </c>
      <c r="C86" s="138" t="inlineStr">
        <is>
          <t>LVP</t>
        </is>
      </c>
      <c r="D86" s="29" t="inlineStr">
        <is>
          <t>Top</t>
        </is>
      </c>
      <c r="E86" s="29" t="n">
        <v>60</v>
      </c>
      <c r="F86" s="29" t="inlineStr">
        <is>
          <t>Single</t>
        </is>
      </c>
      <c r="G86" s="29" t="inlineStr">
        <is>
          <t>MCX 80 LVP</t>
        </is>
      </c>
      <c r="H86" s="29" t="inlineStr">
        <is>
          <t>127 X 192</t>
        </is>
      </c>
      <c r="I86" s="29" t="inlineStr">
        <is>
          <t>22 X 24</t>
        </is>
      </c>
      <c r="J86" s="29" t="n">
        <v>9</v>
      </c>
      <c r="K86" s="114" t="n"/>
      <c r="L86" s="31">
        <f>K86/J86</f>
        <v/>
      </c>
      <c r="M86" s="32" t="n">
        <v>1.103988603988604</v>
      </c>
      <c r="N86" s="31">
        <f>LEFT(I86,FIND("X",I86)-1)*RIGHT(I86,LEN(I86)-FIND("X",I86)-1)*M86</f>
        <v/>
      </c>
      <c r="O86" s="33">
        <f>(N86*L86)/1000</f>
        <v/>
      </c>
    </row>
    <row r="87" ht="15" customHeight="1">
      <c r="A87" s="133" t="n"/>
      <c r="B87" s="133" t="n"/>
      <c r="C87" s="136" t="n"/>
      <c r="D87" s="11" t="inlineStr">
        <is>
          <t>Bottom</t>
        </is>
      </c>
      <c r="E87" s="11" t="n">
        <v>40</v>
      </c>
      <c r="F87" s="11" t="inlineStr">
        <is>
          <t>Single</t>
        </is>
      </c>
      <c r="G87" s="29" t="inlineStr">
        <is>
          <t>MCX 80 LVP</t>
        </is>
      </c>
      <c r="H87" s="29" t="inlineStr">
        <is>
          <t>127 X 192</t>
        </is>
      </c>
      <c r="I87" s="29" t="inlineStr">
        <is>
          <t>22 X 24</t>
        </is>
      </c>
      <c r="J87" s="29" t="n">
        <v>9</v>
      </c>
      <c r="K87" s="34" t="n"/>
      <c r="L87" s="14">
        <f>K87/J87</f>
        <v/>
      </c>
      <c r="M87" s="15" t="n">
        <v>0.6977821913273751</v>
      </c>
      <c r="N87" s="14">
        <f>LEFT(I87,FIND("X",I87)-1)*RIGHT(I87,LEN(I87)-FIND("X",I87)-1)*M87</f>
        <v/>
      </c>
      <c r="O87" s="16">
        <f>(N87*L87)/1000</f>
        <v/>
      </c>
    </row>
    <row r="88" ht="15.75" customHeight="1" thickBot="1">
      <c r="A88" s="135" t="n"/>
      <c r="B88" s="135" t="n"/>
      <c r="C88" s="22" t="inlineStr">
        <is>
          <t>SVG</t>
        </is>
      </c>
      <c r="D88" s="23" t="inlineStr">
        <is>
          <t>-</t>
        </is>
      </c>
      <c r="E88" s="23" t="n">
        <v>22</v>
      </c>
      <c r="F88" s="23" t="inlineStr">
        <is>
          <t>Single</t>
        </is>
      </c>
      <c r="G88" s="23" t="inlineStr">
        <is>
          <t>MCX 80 SVG</t>
        </is>
      </c>
      <c r="H88" s="23" t="inlineStr">
        <is>
          <t>139 X 201</t>
        </is>
      </c>
      <c r="I88" s="23" t="inlineStr">
        <is>
          <t>24 X 25</t>
        </is>
      </c>
      <c r="J88" s="23" t="n">
        <v>12</v>
      </c>
      <c r="K88" s="115" t="n"/>
      <c r="L88" s="25">
        <f>K88/J88</f>
        <v/>
      </c>
      <c r="M88" s="26" t="n">
        <v>0.4398148148148148</v>
      </c>
      <c r="N88" s="25">
        <f>LEFT(I88,FIND("X",I88)-1)*RIGHT(I88,LEN(I88)-FIND("X",I88)-1)*M88</f>
        <v/>
      </c>
      <c r="O88" s="27">
        <f>(N88*L88)/1000</f>
        <v/>
      </c>
    </row>
    <row r="89" ht="15" customHeight="1">
      <c r="A89" s="139" t="n">
        <v>29</v>
      </c>
      <c r="B89" s="140" t="inlineStr">
        <is>
          <t>MCX 82</t>
        </is>
      </c>
      <c r="C89" s="138" t="inlineStr">
        <is>
          <t>LVP</t>
        </is>
      </c>
      <c r="D89" s="29" t="inlineStr">
        <is>
          <t>Top</t>
        </is>
      </c>
      <c r="E89" s="29" t="n">
        <v>60</v>
      </c>
      <c r="F89" s="29" t="inlineStr">
        <is>
          <t>Single</t>
        </is>
      </c>
      <c r="G89" s="29" t="inlineStr">
        <is>
          <t>MCX 82 LVP</t>
        </is>
      </c>
      <c r="H89" s="29" t="inlineStr">
        <is>
          <t>178 X 254</t>
        </is>
      </c>
      <c r="I89" s="29" t="inlineStr">
        <is>
          <t>21 X 23</t>
        </is>
      </c>
      <c r="J89" s="29" t="n">
        <v>6</v>
      </c>
      <c r="K89" s="114" t="n"/>
      <c r="L89" s="31">
        <f>K89/J89</f>
        <v/>
      </c>
      <c r="M89" s="32" t="n">
        <v>1.103988603988604</v>
      </c>
      <c r="N89" s="31">
        <f>LEFT(I89,FIND("X",I89)-1)*RIGHT(I89,LEN(I89)-FIND("X",I89)-1)*M89</f>
        <v/>
      </c>
      <c r="O89" s="33">
        <f>(N89*L89)/1000</f>
        <v/>
      </c>
    </row>
    <row r="90" ht="15" customHeight="1">
      <c r="A90" s="133" t="n"/>
      <c r="B90" s="133" t="n"/>
      <c r="C90" s="136" t="n"/>
      <c r="D90" s="11" t="inlineStr">
        <is>
          <t>Bottom</t>
        </is>
      </c>
      <c r="E90" s="11" t="n">
        <v>40</v>
      </c>
      <c r="F90" s="11" t="inlineStr">
        <is>
          <t>Single</t>
        </is>
      </c>
      <c r="G90" s="29" t="inlineStr">
        <is>
          <t>MCX 82 LVP</t>
        </is>
      </c>
      <c r="H90" s="29" t="inlineStr">
        <is>
          <t>178 X 254</t>
        </is>
      </c>
      <c r="I90" s="29" t="inlineStr">
        <is>
          <t>21 X 23</t>
        </is>
      </c>
      <c r="J90" s="29" t="n">
        <v>6</v>
      </c>
      <c r="K90" s="34" t="n"/>
      <c r="L90" s="14">
        <f>K90/J90</f>
        <v/>
      </c>
      <c r="M90" s="15" t="n">
        <v>0.6977821913273751</v>
      </c>
      <c r="N90" s="14">
        <f>LEFT(I90,FIND("X",I90)-1)*RIGHT(I90,LEN(I90)-FIND("X",I90)-1)*M90</f>
        <v/>
      </c>
      <c r="O90" s="16">
        <f>(N90*L90)/1000</f>
        <v/>
      </c>
    </row>
    <row r="91" ht="15.75" customHeight="1" thickBot="1">
      <c r="A91" s="135" t="n"/>
      <c r="B91" s="135" t="n"/>
      <c r="C91" s="22" t="inlineStr">
        <is>
          <t>SVG</t>
        </is>
      </c>
      <c r="D91" s="23" t="inlineStr">
        <is>
          <t>-</t>
        </is>
      </c>
      <c r="E91" s="23" t="n">
        <v>22</v>
      </c>
      <c r="F91" s="23" t="inlineStr">
        <is>
          <t>Single</t>
        </is>
      </c>
      <c r="G91" s="23" t="inlineStr">
        <is>
          <t>MCX 82 SVG</t>
        </is>
      </c>
      <c r="H91" s="23" t="inlineStr">
        <is>
          <t>191 X 268</t>
        </is>
      </c>
      <c r="I91" s="23" t="inlineStr">
        <is>
          <t>22 X 24</t>
        </is>
      </c>
      <c r="J91" s="23" t="n">
        <v>6</v>
      </c>
      <c r="K91" s="115" t="n"/>
      <c r="L91" s="25">
        <f>K91/J91</f>
        <v/>
      </c>
      <c r="M91" s="26" t="n">
        <v>0.4398148148148148</v>
      </c>
      <c r="N91" s="25">
        <f>LEFT(I91,FIND("X",I91)-1)*RIGHT(I91,LEN(I91)-FIND("X",I91)-1)*M91</f>
        <v/>
      </c>
      <c r="O91" s="27">
        <f>(N91*L91)/1000</f>
        <v/>
      </c>
    </row>
    <row r="92" ht="15" customHeight="1">
      <c r="A92" s="139" t="n">
        <v>30</v>
      </c>
      <c r="B92" s="140" t="inlineStr">
        <is>
          <t>MCX 84</t>
        </is>
      </c>
      <c r="C92" s="138" t="inlineStr">
        <is>
          <t>LVP</t>
        </is>
      </c>
      <c r="D92" s="29" t="inlineStr">
        <is>
          <t>Top</t>
        </is>
      </c>
      <c r="E92" s="29" t="n">
        <v>60</v>
      </c>
      <c r="F92" s="29" t="inlineStr">
        <is>
          <t>Single</t>
        </is>
      </c>
      <c r="G92" s="29" t="inlineStr">
        <is>
          <t>MCX 84 LVP</t>
        </is>
      </c>
      <c r="H92" s="29" t="inlineStr">
        <is>
          <t>204 X 273</t>
        </is>
      </c>
      <c r="I92" s="29" t="inlineStr">
        <is>
          <t>17 X 23</t>
        </is>
      </c>
      <c r="J92" s="29" t="n">
        <v>4</v>
      </c>
      <c r="K92" s="114" t="n"/>
      <c r="L92" s="31">
        <f>K92/J92</f>
        <v/>
      </c>
      <c r="M92" s="32" t="n">
        <v>1.103988603988604</v>
      </c>
      <c r="N92" s="31">
        <f>LEFT(I92,FIND("X",I92)-1)*RIGHT(I92,LEN(I92)-FIND("X",I92)-1)*M92</f>
        <v/>
      </c>
      <c r="O92" s="33">
        <f>(N92*L92)/1000</f>
        <v/>
      </c>
    </row>
    <row r="93" ht="15" customHeight="1">
      <c r="A93" s="133" t="n"/>
      <c r="B93" s="133" t="n"/>
      <c r="C93" s="136" t="n"/>
      <c r="D93" s="11" t="inlineStr">
        <is>
          <t>Bottom</t>
        </is>
      </c>
      <c r="E93" s="11" t="n">
        <v>40</v>
      </c>
      <c r="F93" s="11" t="inlineStr">
        <is>
          <t>Single</t>
        </is>
      </c>
      <c r="G93" s="29" t="inlineStr">
        <is>
          <t>MCX 84 LVP</t>
        </is>
      </c>
      <c r="H93" s="29" t="inlineStr">
        <is>
          <t>204 X 273</t>
        </is>
      </c>
      <c r="I93" s="29" t="inlineStr">
        <is>
          <t>17 X 23</t>
        </is>
      </c>
      <c r="J93" s="29" t="n">
        <v>4</v>
      </c>
      <c r="K93" s="34" t="n"/>
      <c r="L93" s="14">
        <f>K93/J93</f>
        <v/>
      </c>
      <c r="M93" s="15" t="n">
        <v>0.6977821913273751</v>
      </c>
      <c r="N93" s="14">
        <f>LEFT(I93,FIND("X",I93)-1)*RIGHT(I93,LEN(I93)-FIND("X",I93)-1)*M93</f>
        <v/>
      </c>
      <c r="O93" s="16">
        <f>(N93*L93)/1000</f>
        <v/>
      </c>
    </row>
    <row r="94" ht="15.75" customHeight="1" thickBot="1">
      <c r="A94" s="135" t="n"/>
      <c r="B94" s="135" t="n"/>
      <c r="C94" s="22" t="inlineStr">
        <is>
          <t>SVG</t>
        </is>
      </c>
      <c r="D94" s="23" t="inlineStr">
        <is>
          <t>-</t>
        </is>
      </c>
      <c r="E94" s="23" t="n">
        <v>22</v>
      </c>
      <c r="F94" s="23" t="inlineStr">
        <is>
          <t>Single</t>
        </is>
      </c>
      <c r="G94" s="23" t="inlineStr">
        <is>
          <t>MCX 84 SVG</t>
        </is>
      </c>
      <c r="H94" s="23" t="inlineStr">
        <is>
          <t>217 X 287</t>
        </is>
      </c>
      <c r="I94" s="23" t="inlineStr">
        <is>
          <t>18 X 23.5</t>
        </is>
      </c>
      <c r="J94" s="23" t="n">
        <v>4</v>
      </c>
      <c r="K94" s="115" t="n"/>
      <c r="L94" s="25">
        <f>K94/J94</f>
        <v/>
      </c>
      <c r="M94" s="26" t="n">
        <v>0.4398148148148148</v>
      </c>
      <c r="N94" s="25">
        <f>LEFT(I94,FIND("X",I94)-1)*RIGHT(I94,LEN(I94)-FIND("X",I94)-1)*M94</f>
        <v/>
      </c>
      <c r="O94" s="27">
        <f>(N94*L94)/1000</f>
        <v/>
      </c>
    </row>
    <row r="95" ht="15" customHeight="1">
      <c r="A95" s="139" t="n">
        <v>31</v>
      </c>
      <c r="B95" s="140" t="inlineStr">
        <is>
          <t>MCX 86</t>
        </is>
      </c>
      <c r="C95" s="138" t="inlineStr">
        <is>
          <t>LVP</t>
        </is>
      </c>
      <c r="D95" s="29" t="inlineStr">
        <is>
          <t>Top</t>
        </is>
      </c>
      <c r="E95" s="29" t="n">
        <v>60</v>
      </c>
      <c r="F95" s="29" t="inlineStr">
        <is>
          <t>Single</t>
        </is>
      </c>
      <c r="G95" s="29" t="inlineStr">
        <is>
          <t>MCX 86 LVP</t>
        </is>
      </c>
      <c r="H95" s="29" t="inlineStr">
        <is>
          <t>235 X 330</t>
        </is>
      </c>
      <c r="I95" s="29" t="inlineStr">
        <is>
          <t>14 X 20</t>
        </is>
      </c>
      <c r="J95" s="29" t="n">
        <v>2</v>
      </c>
      <c r="K95" s="114" t="n"/>
      <c r="L95" s="31">
        <f>K95/J95</f>
        <v/>
      </c>
      <c r="M95" s="32" t="n">
        <v>1.103988603988604</v>
      </c>
      <c r="N95" s="31">
        <f>LEFT(I95,FIND("X",I95)-1)*RIGHT(I95,LEN(I95)-FIND("X",I95)-1)*M95</f>
        <v/>
      </c>
      <c r="O95" s="33">
        <f>(N95*L95)/1000</f>
        <v/>
      </c>
    </row>
    <row r="96" ht="15" customHeight="1">
      <c r="A96" s="133" t="n"/>
      <c r="B96" s="133" t="n"/>
      <c r="C96" s="136" t="n"/>
      <c r="D96" s="11" t="inlineStr">
        <is>
          <t>Bottom</t>
        </is>
      </c>
      <c r="E96" s="11" t="n">
        <v>40</v>
      </c>
      <c r="F96" s="11" t="inlineStr">
        <is>
          <t>Single</t>
        </is>
      </c>
      <c r="G96" s="29" t="inlineStr">
        <is>
          <t>MCX 86 LVP</t>
        </is>
      </c>
      <c r="H96" s="29" t="inlineStr">
        <is>
          <t>235 X 330</t>
        </is>
      </c>
      <c r="I96" s="29" t="inlineStr">
        <is>
          <t>14 X 20</t>
        </is>
      </c>
      <c r="J96" s="29" t="n">
        <v>2</v>
      </c>
      <c r="K96" s="34" t="n"/>
      <c r="L96" s="14">
        <f>K96/J96</f>
        <v/>
      </c>
      <c r="M96" s="15" t="n">
        <v>0.6977821913273751</v>
      </c>
      <c r="N96" s="14">
        <f>LEFT(I96,FIND("X",I96)-1)*RIGHT(I96,LEN(I96)-FIND("X",I96)-1)*M96</f>
        <v/>
      </c>
      <c r="O96" s="16">
        <f>(N96*L96)/1000</f>
        <v/>
      </c>
    </row>
    <row r="97" ht="15.75" customHeight="1" thickBot="1">
      <c r="A97" s="135" t="n"/>
      <c r="B97" s="135" t="n"/>
      <c r="C97" s="22" t="inlineStr">
        <is>
          <t>SVG</t>
        </is>
      </c>
      <c r="D97" s="23" t="inlineStr">
        <is>
          <t>-</t>
        </is>
      </c>
      <c r="E97" s="23" t="n">
        <v>22</v>
      </c>
      <c r="F97" s="23" t="inlineStr">
        <is>
          <t>Single</t>
        </is>
      </c>
      <c r="G97" s="23" t="inlineStr">
        <is>
          <t>MCX 86 SVG</t>
        </is>
      </c>
      <c r="H97" s="23" t="inlineStr">
        <is>
          <t>248 X 344</t>
        </is>
      </c>
      <c r="I97" s="23" t="inlineStr">
        <is>
          <t>21 X 28</t>
        </is>
      </c>
      <c r="J97" s="23" t="n">
        <v>4</v>
      </c>
      <c r="K97" s="115" t="n"/>
      <c r="L97" s="25">
        <f>K97/J97</f>
        <v/>
      </c>
      <c r="M97" s="26" t="n">
        <v>0.4398148148148148</v>
      </c>
      <c r="N97" s="25">
        <f>LEFT(I97,FIND("X",I97)-1)*RIGHT(I97,LEN(I97)-FIND("X",I97)-1)*M97</f>
        <v/>
      </c>
      <c r="O97" s="27">
        <f>(N97*L97)/1000</f>
        <v/>
      </c>
    </row>
    <row r="98" ht="14.25" customHeight="1">
      <c r="A98" s="141" t="inlineStr">
        <is>
          <t>C Series</t>
        </is>
      </c>
      <c r="B98" s="142" t="n"/>
      <c r="C98" s="142" t="n"/>
      <c r="D98" s="142" t="n"/>
      <c r="E98" s="142" t="n"/>
      <c r="F98" s="142" t="n"/>
      <c r="G98" s="142" t="n"/>
      <c r="H98" s="142" t="n"/>
      <c r="I98" s="142" t="n"/>
      <c r="J98" s="142" t="n"/>
      <c r="K98" s="142" t="n"/>
      <c r="L98" s="142" t="n"/>
      <c r="M98" s="142" t="n"/>
      <c r="N98" s="142" t="n"/>
      <c r="O98" s="143" t="n"/>
    </row>
    <row r="99">
      <c r="A99" s="144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45" t="n"/>
    </row>
    <row r="100" ht="13.5" customHeight="1" thickBot="1">
      <c r="A100" s="146" t="n"/>
      <c r="B100" s="147" t="n"/>
      <c r="C100" s="147" t="n"/>
      <c r="D100" s="147" t="n"/>
      <c r="E100" s="147" t="n"/>
      <c r="F100" s="147" t="n"/>
      <c r="G100" s="147" t="n"/>
      <c r="H100" s="147" t="n"/>
      <c r="I100" s="147" t="n"/>
      <c r="J100" s="147" t="n"/>
      <c r="K100" s="147" t="n"/>
      <c r="L100" s="147" t="n"/>
      <c r="M100" s="147" t="n"/>
      <c r="N100" s="147" t="n"/>
      <c r="O100" s="148" t="n"/>
    </row>
    <row r="101" ht="15" customHeight="1">
      <c r="A101" s="149" t="n">
        <v>1</v>
      </c>
      <c r="B101" s="150" t="inlineStr">
        <is>
          <t>C 0</t>
        </is>
      </c>
      <c r="C101" s="138" t="inlineStr">
        <is>
          <t>Fabric</t>
        </is>
      </c>
      <c r="D101" s="29" t="inlineStr">
        <is>
          <t>Top</t>
        </is>
      </c>
      <c r="E101" s="29" t="n"/>
      <c r="F101" s="29" t="n"/>
      <c r="G101" s="29" t="n"/>
      <c r="H101" s="29" t="n"/>
      <c r="I101" s="29" t="n"/>
      <c r="J101" s="29" t="n"/>
      <c r="K101" s="114" t="n"/>
      <c r="L101" s="31">
        <f>K101/J101</f>
        <v/>
      </c>
      <c r="M101" s="32" t="e">
        <v>#N/A</v>
      </c>
      <c r="N101" s="31">
        <f>LEFT(I101,FIND("X",I101)-1)*RIGHT(I101,LEN(I101)-FIND("X",I101)-1)*M101</f>
        <v/>
      </c>
      <c r="O101" s="33">
        <f>(N101*L101)/1000</f>
        <v/>
      </c>
    </row>
    <row r="102" ht="15" customHeight="1">
      <c r="A102" s="133" t="n"/>
      <c r="B102" s="133" t="n"/>
      <c r="C102" s="136" t="n"/>
      <c r="D102" s="11" t="inlineStr">
        <is>
          <t>Bottom</t>
        </is>
      </c>
      <c r="E102" s="11" t="n"/>
      <c r="F102" s="11" t="n"/>
      <c r="G102" s="11" t="n"/>
      <c r="H102" s="11" t="n"/>
      <c r="I102" s="11" t="n"/>
      <c r="J102" s="11" t="n"/>
      <c r="K102" s="34" t="n"/>
      <c r="L102" s="14">
        <f>K102/J102</f>
        <v/>
      </c>
      <c r="M102" s="15" t="e">
        <v>#N/A</v>
      </c>
      <c r="N102" s="14">
        <f>LEFT(I102,FIND("X",I102)-1)*RIGHT(I102,LEN(I102)-FIND("X",I102)-1)*M102</f>
        <v/>
      </c>
      <c r="O102" s="16">
        <f>(N102*L102)/1000</f>
        <v/>
      </c>
    </row>
    <row r="103" ht="15.75" customHeight="1" thickBot="1">
      <c r="A103" s="135" t="n"/>
      <c r="B103" s="135" t="n"/>
      <c r="C103" s="22" t="inlineStr">
        <is>
          <t>SVG</t>
        </is>
      </c>
      <c r="D103" s="23" t="inlineStr">
        <is>
          <t>-</t>
        </is>
      </c>
      <c r="E103" s="23" t="n">
        <v>22</v>
      </c>
      <c r="F103" s="23" t="inlineStr">
        <is>
          <t>Passing</t>
        </is>
      </c>
      <c r="G103" s="23" t="inlineStr">
        <is>
          <t>C 0 SVG</t>
        </is>
      </c>
      <c r="H103" s="23" t="n">
        <v>27</v>
      </c>
      <c r="I103" s="23" t="inlineStr">
        <is>
          <t>9 X 15.5</t>
        </is>
      </c>
      <c r="J103" s="23" t="n">
        <v>45</v>
      </c>
      <c r="K103" s="115" t="n"/>
      <c r="L103" s="25">
        <f>K103/J103</f>
        <v/>
      </c>
      <c r="M103" s="26" t="n">
        <v>0.4398148148148148</v>
      </c>
      <c r="N103" s="25">
        <f>LEFT(I103,FIND("X",I103)-1)*RIGHT(I103,LEN(I103)-FIND("X",I103)-1)*M103</f>
        <v/>
      </c>
      <c r="O103" s="27">
        <f>(N103*L103)/1000</f>
        <v/>
      </c>
    </row>
    <row r="104" ht="15" customHeight="1">
      <c r="A104" s="149" t="n">
        <v>2</v>
      </c>
      <c r="B104" s="150" t="inlineStr">
        <is>
          <t>C 1</t>
        </is>
      </c>
      <c r="C104" s="138" t="inlineStr">
        <is>
          <t>Fabric</t>
        </is>
      </c>
      <c r="D104" s="29" t="inlineStr">
        <is>
          <t>Top</t>
        </is>
      </c>
      <c r="E104" s="29" t="n"/>
      <c r="F104" s="29" t="n"/>
      <c r="G104" s="29" t="n"/>
      <c r="H104" s="29" t="n"/>
      <c r="I104" s="29" t="n"/>
      <c r="J104" s="29" t="n"/>
      <c r="K104" s="114" t="n"/>
      <c r="L104" s="31">
        <f>K104/J104</f>
        <v/>
      </c>
      <c r="M104" s="32" t="e">
        <v>#N/A</v>
      </c>
      <c r="N104" s="31">
        <f>LEFT(I104,FIND("X",I104)-1)*RIGHT(I104,LEN(I104)-FIND("X",I104)-1)*M104</f>
        <v/>
      </c>
      <c r="O104" s="33">
        <f>(N104*L104)/1000</f>
        <v/>
      </c>
    </row>
    <row r="105" ht="15" customHeight="1">
      <c r="A105" s="133" t="n"/>
      <c r="B105" s="133" t="n"/>
      <c r="C105" s="136" t="n"/>
      <c r="D105" s="11" t="inlineStr">
        <is>
          <t>Bottom</t>
        </is>
      </c>
      <c r="E105" s="11" t="n"/>
      <c r="F105" s="11" t="n"/>
      <c r="G105" s="11" t="n"/>
      <c r="H105" s="11" t="n"/>
      <c r="I105" s="11" t="n"/>
      <c r="J105" s="11" t="n"/>
      <c r="K105" s="34" t="n"/>
      <c r="L105" s="14">
        <f>K105/J105</f>
        <v/>
      </c>
      <c r="M105" s="15" t="e">
        <v>#N/A</v>
      </c>
      <c r="N105" s="14">
        <f>LEFT(I105,FIND("X",I105)-1)*RIGHT(I105,LEN(I105)-FIND("X",I105)-1)*M105</f>
        <v/>
      </c>
      <c r="O105" s="16">
        <f>(N105*L105)/1000</f>
        <v/>
      </c>
    </row>
    <row r="106" ht="15.75" customHeight="1" thickBot="1">
      <c r="A106" s="135" t="n"/>
      <c r="B106" s="135" t="n"/>
      <c r="C106" s="22" t="inlineStr">
        <is>
          <t>SVG</t>
        </is>
      </c>
      <c r="D106" s="23" t="inlineStr">
        <is>
          <t>-</t>
        </is>
      </c>
      <c r="E106" s="23" t="n">
        <v>22</v>
      </c>
      <c r="F106" s="23" t="inlineStr">
        <is>
          <t>Passing</t>
        </is>
      </c>
      <c r="G106" s="23" t="inlineStr">
        <is>
          <t>C1 SVG</t>
        </is>
      </c>
      <c r="H106" s="23" t="n">
        <v>38</v>
      </c>
      <c r="I106" s="23" t="inlineStr">
        <is>
          <t>15 X 18.5</t>
        </is>
      </c>
      <c r="J106" s="23" t="n">
        <v>105</v>
      </c>
      <c r="K106" s="115" t="n"/>
      <c r="L106" s="25">
        <f>K106/J106</f>
        <v/>
      </c>
      <c r="M106" s="26" t="n">
        <v>0.4398148148148148</v>
      </c>
      <c r="N106" s="25">
        <f>LEFT(I106,FIND("X",I106)-1)*RIGHT(I106,LEN(I106)-FIND("X",I106)-1)*M106</f>
        <v/>
      </c>
      <c r="O106" s="27">
        <f>(N106*L106)/1000</f>
        <v/>
      </c>
    </row>
    <row r="107" ht="15" customHeight="1">
      <c r="A107" s="149" t="n">
        <v>3</v>
      </c>
      <c r="B107" s="150" t="inlineStr">
        <is>
          <t>C 2</t>
        </is>
      </c>
      <c r="C107" s="138" t="inlineStr">
        <is>
          <t>Fabric</t>
        </is>
      </c>
      <c r="D107" s="29" t="inlineStr">
        <is>
          <t>Top</t>
        </is>
      </c>
      <c r="E107" s="29" t="n"/>
      <c r="F107" s="29" t="n"/>
      <c r="G107" s="29" t="n"/>
      <c r="H107" s="29" t="n"/>
      <c r="I107" s="29" t="n"/>
      <c r="J107" s="29" t="n"/>
      <c r="K107" s="114" t="n"/>
      <c r="L107" s="31">
        <f>K107/J107</f>
        <v/>
      </c>
      <c r="M107" s="32" t="e">
        <v>#N/A</v>
      </c>
      <c r="N107" s="31">
        <f>LEFT(I107,FIND("X",I107)-1)*RIGHT(I107,LEN(I107)-FIND("X",I107)-1)*M107</f>
        <v/>
      </c>
      <c r="O107" s="33">
        <f>(N107*L107)/1000</f>
        <v/>
      </c>
    </row>
    <row r="108" ht="15" customHeight="1">
      <c r="A108" s="133" t="n"/>
      <c r="B108" s="133" t="n"/>
      <c r="C108" s="136" t="n"/>
      <c r="D108" s="11" t="inlineStr">
        <is>
          <t>Bottom</t>
        </is>
      </c>
      <c r="E108" s="11" t="n"/>
      <c r="F108" s="11" t="n"/>
      <c r="G108" s="11" t="n"/>
      <c r="H108" s="11" t="n"/>
      <c r="I108" s="11" t="n"/>
      <c r="J108" s="11" t="n"/>
      <c r="K108" s="34" t="n"/>
      <c r="L108" s="14">
        <f>K108/J108</f>
        <v/>
      </c>
      <c r="M108" s="15" t="e">
        <v>#N/A</v>
      </c>
      <c r="N108" s="14">
        <f>LEFT(I108,FIND("X",I108)-1)*RIGHT(I108,LEN(I108)-FIND("X",I108)-1)*M108</f>
        <v/>
      </c>
      <c r="O108" s="16">
        <f>(N108*L108)/1000</f>
        <v/>
      </c>
    </row>
    <row r="109" ht="15.75" customHeight="1" thickBot="1">
      <c r="A109" s="135" t="n"/>
      <c r="B109" s="135" t="n"/>
      <c r="C109" s="22" t="inlineStr">
        <is>
          <t>SVG</t>
        </is>
      </c>
      <c r="D109" s="23" t="inlineStr">
        <is>
          <t>-</t>
        </is>
      </c>
      <c r="E109" s="23" t="n">
        <v>22</v>
      </c>
      <c r="F109" s="23" t="inlineStr">
        <is>
          <t>Passing</t>
        </is>
      </c>
      <c r="G109" s="23" t="inlineStr">
        <is>
          <t>C2 SVG</t>
        </is>
      </c>
      <c r="H109" s="23" t="n">
        <v>56</v>
      </c>
      <c r="I109" s="23" t="inlineStr">
        <is>
          <t>17.5 X 24</t>
        </is>
      </c>
      <c r="J109" s="23" t="n">
        <v>72</v>
      </c>
      <c r="K109" s="115" t="n"/>
      <c r="L109" s="25">
        <f>K109/J109</f>
        <v/>
      </c>
      <c r="M109" s="26" t="n">
        <v>0.4398148148148148</v>
      </c>
      <c r="N109" s="25">
        <f>LEFT(I109,FIND("X",I109)-1)*RIGHT(I109,LEN(I109)-FIND("X",I109)-1)*M109</f>
        <v/>
      </c>
      <c r="O109" s="27">
        <f>(N109*L109)/1000</f>
        <v/>
      </c>
    </row>
    <row r="110" ht="15" customHeight="1">
      <c r="A110" s="149" t="n">
        <v>4</v>
      </c>
      <c r="B110" s="150" t="inlineStr">
        <is>
          <t>C 3</t>
        </is>
      </c>
      <c r="C110" s="138" t="inlineStr">
        <is>
          <t>Fabric</t>
        </is>
      </c>
      <c r="D110" s="29" t="inlineStr">
        <is>
          <t>Top</t>
        </is>
      </c>
      <c r="E110" s="29" t="n"/>
      <c r="F110" s="29" t="n"/>
      <c r="G110" s="29" t="n"/>
      <c r="H110" s="29" t="n"/>
      <c r="I110" s="29" t="n"/>
      <c r="J110" s="29" t="n"/>
      <c r="K110" s="114" t="n"/>
      <c r="L110" s="31">
        <f>K110/J110</f>
        <v/>
      </c>
      <c r="M110" s="32" t="e">
        <v>#N/A</v>
      </c>
      <c r="N110" s="31">
        <f>LEFT(I110,FIND("X",I110)-1)*RIGHT(I110,LEN(I110)-FIND("X",I110)-1)*M110</f>
        <v/>
      </c>
      <c r="O110" s="33">
        <f>(N110*L110)/1000</f>
        <v/>
      </c>
    </row>
    <row r="111" ht="15" customHeight="1">
      <c r="A111" s="133" t="n"/>
      <c r="B111" s="133" t="n"/>
      <c r="C111" s="136" t="n"/>
      <c r="D111" s="11" t="inlineStr">
        <is>
          <t>Bottom</t>
        </is>
      </c>
      <c r="E111" s="11" t="n"/>
      <c r="F111" s="11" t="n"/>
      <c r="G111" s="11" t="n"/>
      <c r="H111" s="11" t="n"/>
      <c r="I111" s="11" t="n"/>
      <c r="J111" s="11" t="n"/>
      <c r="K111" s="34" t="n"/>
      <c r="L111" s="14">
        <f>K111/J111</f>
        <v/>
      </c>
      <c r="M111" s="15" t="e">
        <v>#N/A</v>
      </c>
      <c r="N111" s="14">
        <f>LEFT(I111,FIND("X",I111)-1)*RIGHT(I111,LEN(I111)-FIND("X",I111)-1)*M111</f>
        <v/>
      </c>
      <c r="O111" s="16">
        <f>(N111*L111)/1000</f>
        <v/>
      </c>
    </row>
    <row r="112" ht="15.75" customHeight="1" thickBot="1">
      <c r="A112" s="135" t="n"/>
      <c r="B112" s="135" t="n"/>
      <c r="C112" s="22" t="inlineStr">
        <is>
          <t>SVG</t>
        </is>
      </c>
      <c r="D112" s="23" t="inlineStr">
        <is>
          <t>-</t>
        </is>
      </c>
      <c r="E112" s="23" t="n">
        <v>22</v>
      </c>
      <c r="F112" s="23" t="inlineStr">
        <is>
          <t>Single</t>
        </is>
      </c>
      <c r="G112" s="23" t="inlineStr">
        <is>
          <t>C3 SVG</t>
        </is>
      </c>
      <c r="H112" s="23" t="n">
        <v>65</v>
      </c>
      <c r="I112" s="23" t="inlineStr">
        <is>
          <t>21.5 X 21.5</t>
        </is>
      </c>
      <c r="J112" s="23" t="n">
        <v>49</v>
      </c>
      <c r="K112" s="115" t="n"/>
      <c r="L112" s="25">
        <f>K112/J112</f>
        <v/>
      </c>
      <c r="M112" s="26" t="n">
        <v>0.4398148148148148</v>
      </c>
      <c r="N112" s="25">
        <f>LEFT(I112,FIND("X",I112)-1)*RIGHT(I112,LEN(I112)-FIND("X",I112)-1)*M112</f>
        <v/>
      </c>
      <c r="O112" s="27">
        <f>(N112*L112)/1000</f>
        <v/>
      </c>
    </row>
    <row r="113" ht="15" customHeight="1">
      <c r="A113" s="149" t="n">
        <v>5</v>
      </c>
      <c r="B113" s="150" t="inlineStr">
        <is>
          <t>C 4</t>
        </is>
      </c>
      <c r="C113" s="138" t="inlineStr">
        <is>
          <t>Fabric</t>
        </is>
      </c>
      <c r="D113" s="29" t="inlineStr">
        <is>
          <t>Top</t>
        </is>
      </c>
      <c r="E113" s="29" t="n"/>
      <c r="F113" s="29" t="n"/>
      <c r="G113" s="29" t="n"/>
      <c r="H113" s="29" t="n"/>
      <c r="I113" s="29" t="n"/>
      <c r="J113" s="29" t="n"/>
      <c r="K113" s="114" t="n"/>
      <c r="L113" s="31">
        <f>K113/J113</f>
        <v/>
      </c>
      <c r="M113" s="32" t="e">
        <v>#N/A</v>
      </c>
      <c r="N113" s="31">
        <f>LEFT(I113,FIND("X",I113)-1)*RIGHT(I113,LEN(I113)-FIND("X",I113)-1)*M113</f>
        <v/>
      </c>
      <c r="O113" s="33">
        <f>(N113*L113)/1000</f>
        <v/>
      </c>
    </row>
    <row r="114" ht="15" customHeight="1">
      <c r="A114" s="133" t="n"/>
      <c r="B114" s="133" t="n"/>
      <c r="C114" s="136" t="n"/>
      <c r="D114" s="11" t="inlineStr">
        <is>
          <t>Bottom</t>
        </is>
      </c>
      <c r="E114" s="11" t="n"/>
      <c r="F114" s="11" t="n"/>
      <c r="G114" s="11" t="n"/>
      <c r="H114" s="11" t="n"/>
      <c r="I114" s="11" t="n"/>
      <c r="J114" s="11" t="n"/>
      <c r="K114" s="34" t="n"/>
      <c r="L114" s="14">
        <f>K114/J114</f>
        <v/>
      </c>
      <c r="M114" s="15" t="e">
        <v>#N/A</v>
      </c>
      <c r="N114" s="14">
        <f>LEFT(I114,FIND("X",I114)-1)*RIGHT(I114,LEN(I114)-FIND("X",I114)-1)*M114</f>
        <v/>
      </c>
      <c r="O114" s="16">
        <f>(N114*L114)/1000</f>
        <v/>
      </c>
    </row>
    <row r="115" ht="15.75" customHeight="1" thickBot="1">
      <c r="A115" s="135" t="n"/>
      <c r="B115" s="135" t="n"/>
      <c r="C115" s="22" t="inlineStr">
        <is>
          <t>SVG</t>
        </is>
      </c>
      <c r="D115" s="23" t="inlineStr">
        <is>
          <t>-</t>
        </is>
      </c>
      <c r="E115" s="23" t="n">
        <v>22</v>
      </c>
      <c r="F115" s="23" t="inlineStr">
        <is>
          <t>Single</t>
        </is>
      </c>
      <c r="G115" s="23" t="inlineStr">
        <is>
          <t>C4 SVG</t>
        </is>
      </c>
      <c r="H115" s="23" t="n">
        <v>70</v>
      </c>
      <c r="I115" s="23" t="inlineStr">
        <is>
          <t>23 X 23</t>
        </is>
      </c>
      <c r="J115" s="23" t="n">
        <v>49</v>
      </c>
      <c r="K115" s="115" t="n"/>
      <c r="L115" s="25">
        <f>K115/J115</f>
        <v/>
      </c>
      <c r="M115" s="26" t="n">
        <v>0.4398148148148148</v>
      </c>
      <c r="N115" s="25">
        <f>LEFT(I115,FIND("X",I115)-1)*RIGHT(I115,LEN(I115)-FIND("X",I115)-1)*M115</f>
        <v/>
      </c>
      <c r="O115" s="27">
        <f>(N115*L115)/1000</f>
        <v/>
      </c>
    </row>
    <row r="116" ht="15" customHeight="1">
      <c r="A116" s="149" t="n">
        <v>6</v>
      </c>
      <c r="B116" s="150" t="inlineStr">
        <is>
          <t>C 32</t>
        </is>
      </c>
      <c r="C116" s="138" t="inlineStr">
        <is>
          <t>LVP</t>
        </is>
      </c>
      <c r="D116" s="29" t="inlineStr">
        <is>
          <t>Top</t>
        </is>
      </c>
      <c r="E116" s="29" t="n">
        <v>75</v>
      </c>
      <c r="F116" s="29" t="inlineStr">
        <is>
          <t>Passing</t>
        </is>
      </c>
      <c r="G116" s="29" t="inlineStr">
        <is>
          <t>C32 LVP</t>
        </is>
      </c>
      <c r="H116" s="29" t="n">
        <v>70</v>
      </c>
      <c r="I116" s="29" t="inlineStr">
        <is>
          <t>18.5 X 21.5</t>
        </is>
      </c>
      <c r="J116" s="29" t="n">
        <v>42</v>
      </c>
      <c r="K116" s="114" t="n"/>
      <c r="L116" s="31">
        <f>K116/J116</f>
        <v/>
      </c>
      <c r="M116" s="32" t="n">
        <v>1.433962264150943</v>
      </c>
      <c r="N116" s="31">
        <f>LEFT(I116,FIND("X",I116)-1)*RIGHT(I116,LEN(I116)-FIND("X",I116)-1)*M116</f>
        <v/>
      </c>
      <c r="O116" s="33">
        <f>(N116*L116)/1000</f>
        <v/>
      </c>
    </row>
    <row r="117" ht="15" customHeight="1">
      <c r="A117" s="133" t="n"/>
      <c r="B117" s="133" t="n"/>
      <c r="C117" s="136" t="n"/>
      <c r="D117" s="11" t="inlineStr">
        <is>
          <t>Bottom</t>
        </is>
      </c>
      <c r="E117" s="11" t="n"/>
      <c r="F117" s="11" t="n"/>
      <c r="G117" s="11" t="n"/>
      <c r="H117" s="11" t="n"/>
      <c r="I117" s="11" t="n"/>
      <c r="J117" s="11" t="n"/>
      <c r="K117" s="34" t="n"/>
      <c r="L117" s="14">
        <f>K117/J117</f>
        <v/>
      </c>
      <c r="M117" s="15" t="e">
        <v>#N/A</v>
      </c>
      <c r="N117" s="14">
        <f>LEFT(I117,FIND("X",I117)-1)*RIGHT(I117,LEN(I117)-FIND("X",I117)-1)*M117</f>
        <v/>
      </c>
      <c r="O117" s="16">
        <f>(N117*L117)/1000</f>
        <v/>
      </c>
    </row>
    <row r="118" ht="15.75" customHeight="1" thickBot="1">
      <c r="A118" s="135" t="n"/>
      <c r="B118" s="135" t="n"/>
      <c r="C118" s="22" t="inlineStr">
        <is>
          <t>SVG</t>
        </is>
      </c>
      <c r="D118" s="23" t="inlineStr">
        <is>
          <t>-</t>
        </is>
      </c>
      <c r="E118" s="23" t="n">
        <v>22</v>
      </c>
      <c r="F118" s="23" t="inlineStr">
        <is>
          <t>Passing</t>
        </is>
      </c>
      <c r="G118" s="23" t="inlineStr">
        <is>
          <t>C 32 SVG</t>
        </is>
      </c>
      <c r="H118" s="23" t="n">
        <v>78</v>
      </c>
      <c r="I118" s="23" t="inlineStr">
        <is>
          <t>17 X 23.5</t>
        </is>
      </c>
      <c r="J118" s="23" t="n">
        <v>35</v>
      </c>
      <c r="K118" s="115" t="n"/>
      <c r="L118" s="25">
        <f>K118/J118</f>
        <v/>
      </c>
      <c r="M118" s="26" t="n">
        <v>0.4398148148148148</v>
      </c>
      <c r="N118" s="25">
        <f>LEFT(I118,FIND("X",I118)-1)*RIGHT(I118,LEN(I118)-FIND("X",I118)-1)*M118</f>
        <v/>
      </c>
      <c r="O118" s="27">
        <f>(N118*L118)/1000</f>
        <v/>
      </c>
    </row>
    <row r="119" ht="15" customHeight="1">
      <c r="A119" s="149" t="n">
        <v>7</v>
      </c>
      <c r="B119" s="150" t="inlineStr">
        <is>
          <t>C 42</t>
        </is>
      </c>
      <c r="C119" s="138" t="inlineStr">
        <is>
          <t>LVP</t>
        </is>
      </c>
      <c r="D119" s="29" t="inlineStr">
        <is>
          <t>Top</t>
        </is>
      </c>
      <c r="E119" s="29" t="n">
        <v>75</v>
      </c>
      <c r="F119" s="29" t="inlineStr">
        <is>
          <t>Single</t>
        </is>
      </c>
      <c r="G119" s="29" t="inlineStr">
        <is>
          <t>C42 LVP</t>
        </is>
      </c>
      <c r="H119" s="29" t="inlineStr">
        <is>
          <t>102 X 102</t>
        </is>
      </c>
      <c r="I119" s="29" t="inlineStr">
        <is>
          <t>23 X 23</t>
        </is>
      </c>
      <c r="J119" s="29" t="n">
        <v>25</v>
      </c>
      <c r="K119" s="114" t="n"/>
      <c r="L119" s="31">
        <f>K119/J119</f>
        <v/>
      </c>
      <c r="M119" s="32" t="n">
        <v>1.433962264150943</v>
      </c>
      <c r="N119" s="31">
        <f>LEFT(I119,FIND("X",I119)-1)*RIGHT(I119,LEN(I119)-FIND("X",I119)-1)*M119</f>
        <v/>
      </c>
      <c r="O119" s="33">
        <f>(N119*L119)/1000</f>
        <v/>
      </c>
    </row>
    <row r="120" ht="15" customHeight="1">
      <c r="A120" s="133" t="n"/>
      <c r="B120" s="133" t="n"/>
      <c r="C120" s="136" t="n"/>
      <c r="D120" s="11" t="inlineStr">
        <is>
          <t>Bottom</t>
        </is>
      </c>
      <c r="E120" s="11" t="n"/>
      <c r="F120" s="11" t="n"/>
      <c r="G120" s="11" t="n"/>
      <c r="H120" s="11" t="n"/>
      <c r="I120" s="11" t="n"/>
      <c r="J120" s="11" t="n"/>
      <c r="K120" s="34" t="n"/>
      <c r="L120" s="14">
        <f>K120/J120</f>
        <v/>
      </c>
      <c r="M120" s="15" t="e">
        <v>#N/A</v>
      </c>
      <c r="N120" s="14">
        <f>LEFT(I120,FIND("X",I120)-1)*RIGHT(I120,LEN(I120)-FIND("X",I120)-1)*M120</f>
        <v/>
      </c>
      <c r="O120" s="16">
        <f>(N120*L120)/1000</f>
        <v/>
      </c>
    </row>
    <row r="121" ht="15.75" customHeight="1" thickBot="1">
      <c r="A121" s="135" t="n"/>
      <c r="B121" s="135" t="n"/>
      <c r="C121" s="22" t="inlineStr">
        <is>
          <t>SVG</t>
        </is>
      </c>
      <c r="D121" s="23" t="inlineStr">
        <is>
          <t>-</t>
        </is>
      </c>
      <c r="E121" s="23" t="n">
        <v>22</v>
      </c>
      <c r="F121" s="23" t="inlineStr">
        <is>
          <t>Single</t>
        </is>
      </c>
      <c r="G121" s="23" t="inlineStr">
        <is>
          <t>C42 SVG</t>
        </is>
      </c>
      <c r="H121" s="23" t="inlineStr">
        <is>
          <t>114 X 114</t>
        </is>
      </c>
      <c r="I121" s="23" t="inlineStr">
        <is>
          <t>25 X 25</t>
        </is>
      </c>
      <c r="J121" s="23" t="n">
        <v>25</v>
      </c>
      <c r="K121" s="115" t="n"/>
      <c r="L121" s="25">
        <f>K121/J121</f>
        <v/>
      </c>
      <c r="M121" s="26" t="n">
        <v>0.4398148148148148</v>
      </c>
      <c r="N121" s="25">
        <f>LEFT(I121,FIND("X",I121)-1)*RIGHT(I121,LEN(I121)-FIND("X",I121)-1)*M121</f>
        <v/>
      </c>
      <c r="O121" s="27">
        <f>(N121*L121)/1000</f>
        <v/>
      </c>
    </row>
    <row r="122" ht="15" customHeight="1">
      <c r="A122" s="149" t="n">
        <v>8</v>
      </c>
      <c r="B122" s="150" t="inlineStr">
        <is>
          <t>C 52</t>
        </is>
      </c>
      <c r="C122" s="138" t="inlineStr">
        <is>
          <t>LVP</t>
        </is>
      </c>
      <c r="D122" s="29" t="inlineStr">
        <is>
          <t>Top</t>
        </is>
      </c>
      <c r="E122" s="29" t="n">
        <v>40</v>
      </c>
      <c r="F122" s="29" t="inlineStr">
        <is>
          <t>Single</t>
        </is>
      </c>
      <c r="G122" s="29" t="inlineStr">
        <is>
          <t>C52 LVP</t>
        </is>
      </c>
      <c r="H122" s="29" t="inlineStr">
        <is>
          <t>130 X 130</t>
        </is>
      </c>
      <c r="I122" s="29" t="inlineStr">
        <is>
          <t>22.5 X 22.5</t>
        </is>
      </c>
      <c r="J122" s="29" t="n">
        <v>16</v>
      </c>
      <c r="K122" s="114" t="n"/>
      <c r="L122" s="31">
        <f>K122/J122</f>
        <v/>
      </c>
      <c r="M122" s="32" t="n">
        <v>0.6977821913273751</v>
      </c>
      <c r="N122" s="31">
        <f>LEFT(I122,FIND("X",I122)-1)*RIGHT(I122,LEN(I122)-FIND("X",I122)-1)*M122</f>
        <v/>
      </c>
      <c r="O122" s="33">
        <f>(N122*L122)/1000</f>
        <v/>
      </c>
    </row>
    <row r="123" ht="15" customHeight="1">
      <c r="A123" s="133" t="n"/>
      <c r="B123" s="133" t="n"/>
      <c r="C123" s="136" t="n"/>
      <c r="D123" s="11" t="inlineStr">
        <is>
          <t>Bottom</t>
        </is>
      </c>
      <c r="E123" s="11" t="n">
        <v>40</v>
      </c>
      <c r="F123" s="11" t="inlineStr">
        <is>
          <t>Single</t>
        </is>
      </c>
      <c r="G123" s="29" t="inlineStr">
        <is>
          <t>C52 LVP</t>
        </is>
      </c>
      <c r="H123" s="29" t="inlineStr">
        <is>
          <t>130 X 130</t>
        </is>
      </c>
      <c r="I123" s="29" t="inlineStr">
        <is>
          <t>22.5 X 22.5</t>
        </is>
      </c>
      <c r="J123" s="29" t="n">
        <v>16</v>
      </c>
      <c r="K123" s="34" t="n"/>
      <c r="L123" s="14">
        <f>K123/J123</f>
        <v/>
      </c>
      <c r="M123" s="15" t="n">
        <v>0.6977821913273751</v>
      </c>
      <c r="N123" s="14">
        <f>LEFT(I123,FIND("X",I123)-1)*RIGHT(I123,LEN(I123)-FIND("X",I123)-1)*M123</f>
        <v/>
      </c>
      <c r="O123" s="16">
        <f>(N123*L123)/1000</f>
        <v/>
      </c>
    </row>
    <row r="124" ht="15.75" customHeight="1" thickBot="1">
      <c r="A124" s="135" t="n"/>
      <c r="B124" s="135" t="n"/>
      <c r="C124" s="22" t="inlineStr">
        <is>
          <t>SVG</t>
        </is>
      </c>
      <c r="D124" s="23" t="inlineStr">
        <is>
          <t>-</t>
        </is>
      </c>
      <c r="E124" s="23" t="n">
        <v>22</v>
      </c>
      <c r="F124" s="23" t="inlineStr">
        <is>
          <t>Single</t>
        </is>
      </c>
      <c r="G124" s="23" t="inlineStr">
        <is>
          <t>C52 SVG</t>
        </is>
      </c>
      <c r="H124" s="23" t="inlineStr">
        <is>
          <t>142 X 142</t>
        </is>
      </c>
      <c r="I124" s="23" t="inlineStr">
        <is>
          <t>24.5 X 24.5</t>
        </is>
      </c>
      <c r="J124" s="23" t="n">
        <v>16</v>
      </c>
      <c r="K124" s="115" t="n"/>
      <c r="L124" s="25">
        <f>K124/J124</f>
        <v/>
      </c>
      <c r="M124" s="26" t="n">
        <v>0.4398148148148148</v>
      </c>
      <c r="N124" s="25">
        <f>LEFT(I124,FIND("X",I124)-1)*RIGHT(I124,LEN(I124)-FIND("X",I124)-1)*M124</f>
        <v/>
      </c>
      <c r="O124" s="27">
        <f>(N124*L124)/1000</f>
        <v/>
      </c>
    </row>
    <row r="125" ht="15" customHeight="1">
      <c r="A125" s="149" t="n">
        <v>9</v>
      </c>
      <c r="B125" s="150" t="inlineStr">
        <is>
          <t>C 64</t>
        </is>
      </c>
      <c r="C125" s="138" t="inlineStr">
        <is>
          <t>LVP</t>
        </is>
      </c>
      <c r="D125" s="29" t="inlineStr">
        <is>
          <t>Top</t>
        </is>
      </c>
      <c r="E125" s="29" t="n">
        <v>40</v>
      </c>
      <c r="F125" s="29" t="inlineStr">
        <is>
          <t>Single</t>
        </is>
      </c>
      <c r="G125" s="29" t="inlineStr">
        <is>
          <t>C64 LVP</t>
        </is>
      </c>
      <c r="H125" s="29" t="inlineStr">
        <is>
          <t>143 X 143</t>
        </is>
      </c>
      <c r="I125" s="29" t="inlineStr">
        <is>
          <t>24.5 X 24.5</t>
        </is>
      </c>
      <c r="J125" s="29" t="n">
        <v>16</v>
      </c>
      <c r="K125" s="114" t="n"/>
      <c r="L125" s="31">
        <f>K125/J125</f>
        <v/>
      </c>
      <c r="M125" s="32" t="n">
        <v>0.6977821913273751</v>
      </c>
      <c r="N125" s="31">
        <f>LEFT(I125,FIND("X",I125)-1)*RIGHT(I125,LEN(I125)-FIND("X",I125)-1)*M125</f>
        <v/>
      </c>
      <c r="O125" s="33">
        <f>(N125*L125)/1000</f>
        <v/>
      </c>
    </row>
    <row r="126" ht="15" customHeight="1">
      <c r="A126" s="133" t="n"/>
      <c r="B126" s="133" t="n"/>
      <c r="C126" s="136" t="n"/>
      <c r="D126" s="11" t="inlineStr">
        <is>
          <t>Bottom</t>
        </is>
      </c>
      <c r="E126" s="11" t="n">
        <v>40</v>
      </c>
      <c r="F126" s="11" t="inlineStr">
        <is>
          <t>Single</t>
        </is>
      </c>
      <c r="G126" s="29" t="inlineStr">
        <is>
          <t>C64 LVP</t>
        </is>
      </c>
      <c r="H126" s="29" t="inlineStr">
        <is>
          <t>143 X 143</t>
        </is>
      </c>
      <c r="I126" s="29" t="inlineStr">
        <is>
          <t>24.5 X 24.5</t>
        </is>
      </c>
      <c r="J126" s="29" t="n">
        <v>16</v>
      </c>
      <c r="K126" s="34" t="n"/>
      <c r="L126" s="14">
        <f>K126/J126</f>
        <v/>
      </c>
      <c r="M126" s="15" t="n">
        <v>0.6977821913273751</v>
      </c>
      <c r="N126" s="14">
        <f>LEFT(I126,FIND("X",I126)-1)*RIGHT(I126,LEN(I126)-FIND("X",I126)-1)*M126</f>
        <v/>
      </c>
      <c r="O126" s="16">
        <f>(N126*L126)/1000</f>
        <v/>
      </c>
    </row>
    <row r="127" ht="15.75" customHeight="1" thickBot="1">
      <c r="A127" s="135" t="n"/>
      <c r="B127" s="135" t="n"/>
      <c r="C127" s="22" t="inlineStr">
        <is>
          <t>SVG</t>
        </is>
      </c>
      <c r="D127" s="23" t="inlineStr">
        <is>
          <t>-</t>
        </is>
      </c>
      <c r="E127" s="23" t="n">
        <v>22</v>
      </c>
      <c r="F127" s="23" t="inlineStr">
        <is>
          <t>Single</t>
        </is>
      </c>
      <c r="G127" s="23" t="inlineStr">
        <is>
          <t>C64 SVG</t>
        </is>
      </c>
      <c r="H127" s="23" t="inlineStr">
        <is>
          <t>158 X 158</t>
        </is>
      </c>
      <c r="I127" s="23" t="inlineStr">
        <is>
          <t>20 X 20</t>
        </is>
      </c>
      <c r="J127" s="23" t="n">
        <v>9</v>
      </c>
      <c r="K127" s="115" t="n"/>
      <c r="L127" s="25">
        <f>K127/J127</f>
        <v/>
      </c>
      <c r="M127" s="26" t="n">
        <v>0.4398148148148148</v>
      </c>
      <c r="N127" s="25">
        <f>LEFT(I127,FIND("X",I127)-1)*RIGHT(I127,LEN(I127)-FIND("X",I127)-1)*M127</f>
        <v/>
      </c>
      <c r="O127" s="27">
        <f>(N127*L127)/1000</f>
        <v/>
      </c>
    </row>
    <row r="128" ht="15" customHeight="1">
      <c r="A128" s="149" t="n">
        <v>10</v>
      </c>
      <c r="B128" s="150" t="inlineStr">
        <is>
          <t>C 74</t>
        </is>
      </c>
      <c r="C128" s="138" t="inlineStr">
        <is>
          <t>LVP</t>
        </is>
      </c>
      <c r="D128" s="29" t="inlineStr">
        <is>
          <t>Top</t>
        </is>
      </c>
      <c r="E128" s="29" t="n">
        <v>40</v>
      </c>
      <c r="F128" s="29" t="inlineStr">
        <is>
          <t>Single</t>
        </is>
      </c>
      <c r="G128" s="29" t="inlineStr">
        <is>
          <t>C74 LVP</t>
        </is>
      </c>
      <c r="H128" s="29" t="inlineStr">
        <is>
          <t>165 X 165</t>
        </is>
      </c>
      <c r="I128" s="29" t="inlineStr">
        <is>
          <t>21 X 21</t>
        </is>
      </c>
      <c r="J128" s="29" t="n">
        <v>9</v>
      </c>
      <c r="K128" s="114" t="n"/>
      <c r="L128" s="31">
        <f>K128/J128</f>
        <v/>
      </c>
      <c r="M128" s="32" t="n">
        <v>0.6977821913273751</v>
      </c>
      <c r="N128" s="31">
        <f>LEFT(I128,FIND("X",I128)-1)*RIGHT(I128,LEN(I128)-FIND("X",I128)-1)*M128</f>
        <v/>
      </c>
      <c r="O128" s="33">
        <f>(N128*L128)/1000</f>
        <v/>
      </c>
    </row>
    <row r="129" ht="15" customHeight="1">
      <c r="A129" s="133" t="n"/>
      <c r="B129" s="133" t="n"/>
      <c r="C129" s="136" t="n"/>
      <c r="D129" s="11" t="inlineStr">
        <is>
          <t>Bottom</t>
        </is>
      </c>
      <c r="E129" s="11" t="n">
        <v>40</v>
      </c>
      <c r="F129" s="11" t="inlineStr">
        <is>
          <t>Single</t>
        </is>
      </c>
      <c r="G129" s="29" t="inlineStr">
        <is>
          <t>C74 LVP</t>
        </is>
      </c>
      <c r="H129" s="29" t="inlineStr">
        <is>
          <t>165 X 165</t>
        </is>
      </c>
      <c r="I129" s="29" t="inlineStr">
        <is>
          <t>21 X 21</t>
        </is>
      </c>
      <c r="J129" s="29" t="n">
        <v>9</v>
      </c>
      <c r="K129" s="34" t="n"/>
      <c r="L129" s="14">
        <f>K129/J129</f>
        <v/>
      </c>
      <c r="M129" s="15" t="n">
        <v>0.6977821913273751</v>
      </c>
      <c r="N129" s="14">
        <f>LEFT(I129,FIND("X",I129)-1)*RIGHT(I129,LEN(I129)-FIND("X",I129)-1)*M129</f>
        <v/>
      </c>
      <c r="O129" s="16">
        <f>(N129*L129)/1000</f>
        <v/>
      </c>
    </row>
    <row r="130" ht="15.75" customHeight="1" thickBot="1">
      <c r="A130" s="135" t="n"/>
      <c r="B130" s="135" t="n"/>
      <c r="C130" s="22" t="inlineStr">
        <is>
          <t>SVG</t>
        </is>
      </c>
      <c r="D130" s="23" t="inlineStr">
        <is>
          <t>-</t>
        </is>
      </c>
      <c r="E130" s="23" t="n">
        <v>22</v>
      </c>
      <c r="F130" s="23" t="inlineStr">
        <is>
          <t>Single</t>
        </is>
      </c>
      <c r="G130" s="23" t="inlineStr">
        <is>
          <t>C74 SVG</t>
        </is>
      </c>
      <c r="H130" s="23" t="inlineStr">
        <is>
          <t>182 X 182</t>
        </is>
      </c>
      <c r="I130" s="23" t="inlineStr">
        <is>
          <t>23 X 23</t>
        </is>
      </c>
      <c r="J130" s="23" t="n">
        <v>9</v>
      </c>
      <c r="K130" s="115" t="n"/>
      <c r="L130" s="25">
        <f>K130/J130</f>
        <v/>
      </c>
      <c r="M130" s="26" t="n">
        <v>0.4398148148148148</v>
      </c>
      <c r="N130" s="25">
        <f>LEFT(I130,FIND("X",I130)-1)*RIGHT(I130,LEN(I130)-FIND("X",I130)-1)*M130</f>
        <v/>
      </c>
      <c r="O130" s="27">
        <f>(N130*L130)/1000</f>
        <v/>
      </c>
    </row>
    <row r="131" ht="15" customHeight="1">
      <c r="A131" s="149" t="n">
        <v>11</v>
      </c>
      <c r="B131" s="150" t="inlineStr">
        <is>
          <t>C 84</t>
        </is>
      </c>
      <c r="C131" s="58" t="inlineStr">
        <is>
          <t>LVP</t>
        </is>
      </c>
      <c r="D131" s="29" t="inlineStr">
        <is>
          <t>Top</t>
        </is>
      </c>
      <c r="E131" s="29" t="n">
        <v>40</v>
      </c>
      <c r="F131" s="29" t="inlineStr">
        <is>
          <t>Single</t>
        </is>
      </c>
      <c r="G131" s="29" t="inlineStr">
        <is>
          <t>C84/86 LVP</t>
        </is>
      </c>
      <c r="H131" s="29" t="inlineStr">
        <is>
          <t>191 X 191</t>
        </is>
      </c>
      <c r="I131" s="29" t="inlineStr">
        <is>
          <t>24 X 24</t>
        </is>
      </c>
      <c r="J131" s="29" t="n">
        <v>9</v>
      </c>
      <c r="K131" s="114" t="n"/>
      <c r="L131" s="31">
        <f>K131/J131</f>
        <v/>
      </c>
      <c r="M131" s="32" t="n">
        <v>0.6977821913273751</v>
      </c>
      <c r="N131" s="31">
        <f>LEFT(I131,FIND("X",I131)-1)*RIGHT(I131,LEN(I131)-FIND("X",I131)-1)*M131</f>
        <v/>
      </c>
      <c r="O131" s="33">
        <f>(N131*L131)/1000</f>
        <v/>
      </c>
    </row>
    <row r="132" ht="15" customHeight="1">
      <c r="A132" s="133" t="n"/>
      <c r="B132" s="133" t="n"/>
      <c r="C132" s="59" t="n"/>
      <c r="D132" s="11" t="inlineStr">
        <is>
          <t>Bottom</t>
        </is>
      </c>
      <c r="E132" s="11" t="n">
        <v>40</v>
      </c>
      <c r="F132" s="11" t="inlineStr">
        <is>
          <t>Single</t>
        </is>
      </c>
      <c r="G132" s="29" t="inlineStr">
        <is>
          <t>C84/86 LVP</t>
        </is>
      </c>
      <c r="H132" s="29" t="inlineStr">
        <is>
          <t>191 X 191</t>
        </is>
      </c>
      <c r="I132" s="29" t="inlineStr">
        <is>
          <t>24 X 24</t>
        </is>
      </c>
      <c r="J132" s="29" t="n">
        <v>9</v>
      </c>
      <c r="K132" s="114" t="n"/>
      <c r="L132" s="14">
        <f>K132/J132</f>
        <v/>
      </c>
      <c r="M132" s="15" t="n">
        <v>0.6977821913273751</v>
      </c>
      <c r="N132" s="14">
        <f>LEFT(I132,FIND("X",I132)-1)*RIGHT(I132,LEN(I132)-FIND("X",I132)-1)*M132</f>
        <v/>
      </c>
      <c r="O132" s="16">
        <f>(N132*L132)/1000</f>
        <v/>
      </c>
    </row>
    <row r="133" ht="15.75" customHeight="1" thickBot="1">
      <c r="A133" s="135" t="n"/>
      <c r="B133" s="135" t="n"/>
      <c r="C133" s="22" t="inlineStr">
        <is>
          <t>SVG</t>
        </is>
      </c>
      <c r="D133" s="23" t="inlineStr">
        <is>
          <t>-</t>
        </is>
      </c>
      <c r="E133" s="23" t="n">
        <v>22</v>
      </c>
      <c r="F133" s="23" t="inlineStr">
        <is>
          <t>Single</t>
        </is>
      </c>
      <c r="G133" s="23" t="inlineStr">
        <is>
          <t>C84/86 SVG</t>
        </is>
      </c>
      <c r="H133" s="23" t="inlineStr">
        <is>
          <t>208 X 208</t>
        </is>
      </c>
      <c r="I133" s="23" t="inlineStr">
        <is>
          <t>26 X 26</t>
        </is>
      </c>
      <c r="J133" s="23" t="n">
        <v>9</v>
      </c>
      <c r="K133" s="114" t="n"/>
      <c r="L133" s="25">
        <f>K133/J133</f>
        <v/>
      </c>
      <c r="M133" s="26" t="n">
        <v>0.4398148148148148</v>
      </c>
      <c r="N133" s="25">
        <f>LEFT(I133,FIND("X",I133)-1)*RIGHT(I133,LEN(I133)-FIND("X",I133)-1)*M133</f>
        <v/>
      </c>
      <c r="O133" s="27">
        <f>(N133*L133)/1000</f>
        <v/>
      </c>
    </row>
    <row r="134" ht="15" customHeight="1">
      <c r="A134" s="149" t="n">
        <v>12</v>
      </c>
      <c r="B134" s="150" t="inlineStr">
        <is>
          <t>C 86</t>
        </is>
      </c>
      <c r="C134" s="58" t="inlineStr">
        <is>
          <t>LVP</t>
        </is>
      </c>
      <c r="D134" s="29" t="inlineStr">
        <is>
          <t>Top</t>
        </is>
      </c>
      <c r="E134" s="29" t="n">
        <v>40</v>
      </c>
      <c r="F134" s="29" t="inlineStr">
        <is>
          <t>Single</t>
        </is>
      </c>
      <c r="G134" s="29" t="inlineStr">
        <is>
          <t>C84/86 LVP</t>
        </is>
      </c>
      <c r="H134" s="29" t="inlineStr">
        <is>
          <t>191 X 191</t>
        </is>
      </c>
      <c r="I134" s="29" t="inlineStr">
        <is>
          <t>24 X 24</t>
        </is>
      </c>
      <c r="J134" s="29" t="n">
        <v>9</v>
      </c>
      <c r="K134" s="114" t="n"/>
      <c r="L134" s="31">
        <f>K134/J134</f>
        <v/>
      </c>
      <c r="M134" s="32" t="n">
        <v>0.6977821913273751</v>
      </c>
      <c r="N134" s="31">
        <f>LEFT(I134,FIND("X",I134)-1)*RIGHT(I134,LEN(I134)-FIND("X",I134)-1)*M134</f>
        <v/>
      </c>
      <c r="O134" s="33">
        <f>(N134*L134)/1000</f>
        <v/>
      </c>
    </row>
    <row r="135" ht="15" customHeight="1">
      <c r="A135" s="133" t="n"/>
      <c r="B135" s="133" t="n"/>
      <c r="C135" s="59" t="n"/>
      <c r="D135" s="11" t="inlineStr">
        <is>
          <t>Bottom</t>
        </is>
      </c>
      <c r="E135" s="11" t="n">
        <v>40</v>
      </c>
      <c r="F135" s="11" t="inlineStr">
        <is>
          <t>Single</t>
        </is>
      </c>
      <c r="G135" s="29" t="inlineStr">
        <is>
          <t>C84/86 LVP</t>
        </is>
      </c>
      <c r="H135" s="29" t="inlineStr">
        <is>
          <t>191 X 191</t>
        </is>
      </c>
      <c r="I135" s="29" t="inlineStr">
        <is>
          <t>24 X 24</t>
        </is>
      </c>
      <c r="J135" s="29" t="n">
        <v>9</v>
      </c>
      <c r="K135" s="34" t="n"/>
      <c r="L135" s="14">
        <f>K135/J135</f>
        <v/>
      </c>
      <c r="M135" s="15" t="n">
        <v>0.6977821913273751</v>
      </c>
      <c r="N135" s="14">
        <f>LEFT(I135,FIND("X",I135)-1)*RIGHT(I135,LEN(I135)-FIND("X",I135)-1)*M135</f>
        <v/>
      </c>
      <c r="O135" s="16">
        <f>(N135*L135)/1000</f>
        <v/>
      </c>
    </row>
    <row r="136" ht="15.75" customHeight="1" thickBot="1">
      <c r="A136" s="135" t="n"/>
      <c r="B136" s="135" t="n"/>
      <c r="C136" s="22" t="inlineStr">
        <is>
          <t>SVG</t>
        </is>
      </c>
      <c r="D136" s="23" t="inlineStr">
        <is>
          <t>-</t>
        </is>
      </c>
      <c r="E136" s="23" t="n">
        <v>22</v>
      </c>
      <c r="F136" s="23" t="inlineStr">
        <is>
          <t>Single</t>
        </is>
      </c>
      <c r="G136" s="23" t="inlineStr">
        <is>
          <t>C84/86 SVG</t>
        </is>
      </c>
      <c r="H136" s="23" t="inlineStr">
        <is>
          <t>208 X 208</t>
        </is>
      </c>
      <c r="I136" s="23" t="inlineStr">
        <is>
          <t>26 X 26</t>
        </is>
      </c>
      <c r="J136" s="23" t="n">
        <v>9</v>
      </c>
      <c r="K136" s="115" t="n"/>
      <c r="L136" s="25">
        <f>K136/J136</f>
        <v/>
      </c>
      <c r="M136" s="26" t="n">
        <v>0.4398148148148148</v>
      </c>
      <c r="N136" s="25">
        <f>LEFT(I136,FIND("X",I136)-1)*RIGHT(I136,LEN(I136)-FIND("X",I136)-1)*M136</f>
        <v/>
      </c>
      <c r="O136" s="27">
        <f>(N136*L136)/1000</f>
        <v/>
      </c>
    </row>
    <row r="137" ht="15" customHeight="1">
      <c r="A137" s="149" t="n">
        <v>13</v>
      </c>
      <c r="B137" s="150" t="inlineStr">
        <is>
          <t>C 104</t>
        </is>
      </c>
      <c r="C137" s="58" t="inlineStr">
        <is>
          <t>LVP</t>
        </is>
      </c>
      <c r="D137" s="29" t="inlineStr">
        <is>
          <t>Top</t>
        </is>
      </c>
      <c r="E137" s="29" t="n">
        <v>40</v>
      </c>
      <c r="F137" s="29" t="inlineStr">
        <is>
          <t>Single</t>
        </is>
      </c>
      <c r="G137" s="29" t="inlineStr">
        <is>
          <t>C104 LVP</t>
        </is>
      </c>
      <c r="H137" s="29" t="inlineStr">
        <is>
          <t>247 X 247</t>
        </is>
      </c>
      <c r="I137" s="29" t="inlineStr">
        <is>
          <t>20.5 X 20.5</t>
        </is>
      </c>
      <c r="J137" s="29" t="n">
        <v>4</v>
      </c>
      <c r="K137" s="114" t="n"/>
      <c r="L137" s="31">
        <f>K137/J137</f>
        <v/>
      </c>
      <c r="M137" s="32" t="n">
        <v>0.6977821913273751</v>
      </c>
      <c r="N137" s="31">
        <f>LEFT(I137,FIND("X",I137)-1)*RIGHT(I137,LEN(I137)-FIND("X",I137)-1)*M137</f>
        <v/>
      </c>
      <c r="O137" s="33">
        <f>(N137*L137)/1000</f>
        <v/>
      </c>
    </row>
    <row r="138" ht="15" customHeight="1">
      <c r="A138" s="133" t="n"/>
      <c r="B138" s="133" t="n"/>
      <c r="C138" s="59" t="n"/>
      <c r="D138" s="11" t="inlineStr">
        <is>
          <t>Bottom</t>
        </is>
      </c>
      <c r="E138" s="11" t="n">
        <v>40</v>
      </c>
      <c r="F138" s="11" t="inlineStr">
        <is>
          <t>Single</t>
        </is>
      </c>
      <c r="G138" s="29" t="inlineStr">
        <is>
          <t>C104 LVP</t>
        </is>
      </c>
      <c r="H138" s="29" t="inlineStr">
        <is>
          <t>247 X 247</t>
        </is>
      </c>
      <c r="I138" s="29" t="inlineStr">
        <is>
          <t>20.5 X 20.5</t>
        </is>
      </c>
      <c r="J138" s="29" t="n">
        <v>4</v>
      </c>
      <c r="K138" s="34" t="n"/>
      <c r="L138" s="14">
        <f>K138/J138</f>
        <v/>
      </c>
      <c r="M138" s="15" t="n">
        <v>0.6977821913273751</v>
      </c>
      <c r="N138" s="14">
        <f>LEFT(I138,FIND("X",I138)-1)*RIGHT(I138,LEN(I138)-FIND("X",I138)-1)*M138</f>
        <v/>
      </c>
      <c r="O138" s="16">
        <f>(N138*L138)/1000</f>
        <v/>
      </c>
    </row>
    <row r="139" ht="15.75" customHeight="1" thickBot="1">
      <c r="A139" s="135" t="n"/>
      <c r="B139" s="135" t="n"/>
      <c r="C139" s="22" t="inlineStr">
        <is>
          <t>SVG</t>
        </is>
      </c>
      <c r="D139" s="23" t="inlineStr">
        <is>
          <t>-</t>
        </is>
      </c>
      <c r="E139" s="23" t="n">
        <v>22</v>
      </c>
      <c r="F139" s="23" t="inlineStr">
        <is>
          <t>Single</t>
        </is>
      </c>
      <c r="G139" s="23" t="inlineStr">
        <is>
          <t>C104 SVG</t>
        </is>
      </c>
      <c r="H139" s="23" t="inlineStr">
        <is>
          <t>260 X 260</t>
        </is>
      </c>
      <c r="I139" s="23" t="inlineStr">
        <is>
          <t>21.5 X 21.5</t>
        </is>
      </c>
      <c r="J139" s="23" t="n">
        <v>4</v>
      </c>
      <c r="K139" s="115" t="n"/>
      <c r="L139" s="25">
        <f>K139/J139</f>
        <v/>
      </c>
      <c r="M139" s="26" t="n">
        <v>0.4398148148148148</v>
      </c>
      <c r="N139" s="25">
        <f>LEFT(I139,FIND("X",I139)-1)*RIGHT(I139,LEN(I139)-FIND("X",I139)-1)*M139</f>
        <v/>
      </c>
      <c r="O139" s="27">
        <f>(N139*L139)/1000</f>
        <v/>
      </c>
    </row>
    <row r="140" ht="15" customHeight="1">
      <c r="A140" s="149" t="n">
        <v>14</v>
      </c>
      <c r="B140" s="150" t="inlineStr">
        <is>
          <t>C 106</t>
        </is>
      </c>
      <c r="C140" s="58" t="inlineStr">
        <is>
          <t>LVP</t>
        </is>
      </c>
      <c r="D140" s="29" t="inlineStr">
        <is>
          <t>Top</t>
        </is>
      </c>
      <c r="E140" s="29" t="n">
        <v>60</v>
      </c>
      <c r="F140" s="29" t="inlineStr">
        <is>
          <t>Single</t>
        </is>
      </c>
      <c r="G140" s="29" t="inlineStr">
        <is>
          <t>C104 LVP</t>
        </is>
      </c>
      <c r="H140" s="29" t="inlineStr">
        <is>
          <t>247 X 247</t>
        </is>
      </c>
      <c r="I140" s="29" t="inlineStr">
        <is>
          <t>20.5 X 20.5</t>
        </is>
      </c>
      <c r="J140" s="29" t="n">
        <v>4</v>
      </c>
      <c r="K140" s="114" t="n"/>
      <c r="L140" s="31">
        <f>K140/J140</f>
        <v/>
      </c>
      <c r="M140" s="32" t="n">
        <v>1.103988603988604</v>
      </c>
      <c r="N140" s="31">
        <f>LEFT(I140,FIND("X",I140)-1)*RIGHT(I140,LEN(I140)-FIND("X",I140)-1)*M140</f>
        <v/>
      </c>
      <c r="O140" s="33">
        <f>(N140*L140)/1000</f>
        <v/>
      </c>
    </row>
    <row r="141" ht="15" customHeight="1">
      <c r="A141" s="133" t="n"/>
      <c r="B141" s="133" t="n"/>
      <c r="C141" s="59" t="n"/>
      <c r="D141" s="11" t="inlineStr">
        <is>
          <t>Bottom</t>
        </is>
      </c>
      <c r="E141" s="11" t="n">
        <v>40</v>
      </c>
      <c r="F141" s="11" t="inlineStr">
        <is>
          <t>Single</t>
        </is>
      </c>
      <c r="G141" s="29" t="inlineStr">
        <is>
          <t>C104 LVP</t>
        </is>
      </c>
      <c r="H141" s="29" t="inlineStr">
        <is>
          <t>247 X 247</t>
        </is>
      </c>
      <c r="I141" s="29" t="inlineStr">
        <is>
          <t>20.5 X 20.5</t>
        </is>
      </c>
      <c r="J141" s="29" t="n">
        <v>4</v>
      </c>
      <c r="K141" s="34" t="n"/>
      <c r="L141" s="14">
        <f>K141/J141</f>
        <v/>
      </c>
      <c r="M141" s="15" t="n">
        <v>0.6977821913273751</v>
      </c>
      <c r="N141" s="14">
        <f>LEFT(I141,FIND("X",I141)-1)*RIGHT(I141,LEN(I141)-FIND("X",I141)-1)*M141</f>
        <v/>
      </c>
      <c r="O141" s="16">
        <f>(N141*L141)/1000</f>
        <v/>
      </c>
    </row>
    <row r="142" ht="15.75" customHeight="1" thickBot="1">
      <c r="A142" s="135" t="n"/>
      <c r="B142" s="135" t="n"/>
      <c r="C142" s="22" t="inlineStr">
        <is>
          <t>SVG</t>
        </is>
      </c>
      <c r="D142" s="23" t="inlineStr">
        <is>
          <t>-</t>
        </is>
      </c>
      <c r="E142" s="23" t="n">
        <v>22</v>
      </c>
      <c r="F142" s="23" t="inlineStr">
        <is>
          <t>Single</t>
        </is>
      </c>
      <c r="G142" s="23" t="inlineStr">
        <is>
          <t>C104 SVG</t>
        </is>
      </c>
      <c r="H142" s="23" t="inlineStr">
        <is>
          <t>260 X 260</t>
        </is>
      </c>
      <c r="I142" s="23" t="inlineStr">
        <is>
          <t>21.5 X 21.5</t>
        </is>
      </c>
      <c r="J142" s="23" t="n">
        <v>4</v>
      </c>
      <c r="K142" s="115" t="n"/>
      <c r="L142" s="25">
        <f>K142/J142</f>
        <v/>
      </c>
      <c r="M142" s="26" t="n">
        <v>0.4398148148148148</v>
      </c>
      <c r="N142" s="25">
        <f>LEFT(I142,FIND("X",I142)-1)*RIGHT(I142,LEN(I142)-FIND("X",I142)-1)*M142</f>
        <v/>
      </c>
      <c r="O142" s="27">
        <f>(N142*L142)/1000</f>
        <v/>
      </c>
    </row>
    <row r="143" ht="15" customHeight="1">
      <c r="A143" s="149" t="n">
        <v>15</v>
      </c>
      <c r="B143" s="150" t="inlineStr">
        <is>
          <t>C 108</t>
        </is>
      </c>
      <c r="C143" s="58" t="inlineStr">
        <is>
          <t>LVP</t>
        </is>
      </c>
      <c r="D143" s="29" t="inlineStr">
        <is>
          <t>Top</t>
        </is>
      </c>
      <c r="E143" s="29" t="n">
        <v>60</v>
      </c>
      <c r="F143" s="29" t="inlineStr">
        <is>
          <t>Single</t>
        </is>
      </c>
      <c r="G143" s="29" t="inlineStr">
        <is>
          <t>C104 LVP</t>
        </is>
      </c>
      <c r="H143" s="29" t="inlineStr">
        <is>
          <t>247 X 247</t>
        </is>
      </c>
      <c r="I143" s="29" t="inlineStr">
        <is>
          <t>20.5 X 20.5</t>
        </is>
      </c>
      <c r="J143" s="29" t="n">
        <v>4</v>
      </c>
      <c r="K143" s="114" t="n"/>
      <c r="L143" s="31">
        <f>K143/J143</f>
        <v/>
      </c>
      <c r="M143" s="32" t="n">
        <v>1.103988603988604</v>
      </c>
      <c r="N143" s="31">
        <f>LEFT(I143,FIND("X",I143)-1)*RIGHT(I143,LEN(I143)-FIND("X",I143)-1)*M143</f>
        <v/>
      </c>
      <c r="O143" s="33">
        <f>(N143*L143)/1000</f>
        <v/>
      </c>
    </row>
    <row r="144" ht="15" customHeight="1">
      <c r="A144" s="133" t="n"/>
      <c r="B144" s="133" t="n"/>
      <c r="C144" s="59" t="n"/>
      <c r="D144" s="11" t="inlineStr">
        <is>
          <t>Bottom</t>
        </is>
      </c>
      <c r="E144" s="11" t="n">
        <v>40</v>
      </c>
      <c r="F144" s="11" t="inlineStr">
        <is>
          <t>Single</t>
        </is>
      </c>
      <c r="G144" s="29" t="inlineStr">
        <is>
          <t>C104 LVP</t>
        </is>
      </c>
      <c r="H144" s="29" t="inlineStr">
        <is>
          <t>247 X 247</t>
        </is>
      </c>
      <c r="I144" s="29" t="inlineStr">
        <is>
          <t>20.5 X 20.5</t>
        </is>
      </c>
      <c r="J144" s="29" t="n">
        <v>4</v>
      </c>
      <c r="K144" s="34" t="n"/>
      <c r="L144" s="14">
        <f>K144/J144</f>
        <v/>
      </c>
      <c r="M144" s="15" t="n">
        <v>0.6977821913273751</v>
      </c>
      <c r="N144" s="14">
        <f>LEFT(I144,FIND("X",I144)-1)*RIGHT(I144,LEN(I144)-FIND("X",I144)-1)*M144</f>
        <v/>
      </c>
      <c r="O144" s="16">
        <f>(N144*L144)/1000</f>
        <v/>
      </c>
    </row>
    <row r="145" ht="15.75" customHeight="1" thickBot="1">
      <c r="A145" s="135" t="n"/>
      <c r="B145" s="135" t="n"/>
      <c r="C145" s="22" t="inlineStr">
        <is>
          <t>SVG</t>
        </is>
      </c>
      <c r="D145" s="23" t="inlineStr">
        <is>
          <t>-</t>
        </is>
      </c>
      <c r="E145" s="23" t="n">
        <v>22</v>
      </c>
      <c r="F145" s="23" t="inlineStr">
        <is>
          <t>Single</t>
        </is>
      </c>
      <c r="G145" s="23" t="inlineStr">
        <is>
          <t>C104 SVG</t>
        </is>
      </c>
      <c r="H145" s="23" t="inlineStr">
        <is>
          <t>260 X 260</t>
        </is>
      </c>
      <c r="I145" s="23" t="inlineStr">
        <is>
          <t>21.5 X 21.5</t>
        </is>
      </c>
      <c r="J145" s="23" t="n">
        <v>4</v>
      </c>
      <c r="K145" s="115" t="n"/>
      <c r="L145" s="25">
        <f>K145/J145</f>
        <v/>
      </c>
      <c r="M145" s="26" t="n">
        <v>0.4398148148148148</v>
      </c>
      <c r="N145" s="25">
        <f>LEFT(I145,FIND("X",I145)-1)*RIGHT(I145,LEN(I145)-FIND("X",I145)-1)*M145</f>
        <v/>
      </c>
      <c r="O145" s="27">
        <f>(N145*L145)/1000</f>
        <v/>
      </c>
    </row>
    <row r="146" ht="15" customHeight="1">
      <c r="A146" s="149" t="n">
        <v>16</v>
      </c>
      <c r="B146" s="150" t="inlineStr">
        <is>
          <t>C 126</t>
        </is>
      </c>
      <c r="C146" s="58" t="inlineStr">
        <is>
          <t>LVP</t>
        </is>
      </c>
      <c r="D146" s="29" t="inlineStr">
        <is>
          <t>Top</t>
        </is>
      </c>
      <c r="E146" s="29" t="n">
        <v>60</v>
      </c>
      <c r="F146" s="29" t="inlineStr">
        <is>
          <t>Single</t>
        </is>
      </c>
      <c r="G146" s="29" t="inlineStr">
        <is>
          <t>C126 /128 LVP</t>
        </is>
      </c>
      <c r="H146" s="29" t="inlineStr">
        <is>
          <t>289 X 289</t>
        </is>
      </c>
      <c r="I146" s="29" t="inlineStr">
        <is>
          <t>24 X 24</t>
        </is>
      </c>
      <c r="J146" s="29" t="n">
        <v>4</v>
      </c>
      <c r="K146" s="114" t="n"/>
      <c r="L146" s="31">
        <f>K146/J146</f>
        <v/>
      </c>
      <c r="M146" s="32" t="n">
        <v>1.103988603988604</v>
      </c>
      <c r="N146" s="31">
        <f>LEFT(I146,FIND("X",I146)-1)*RIGHT(I146,LEN(I146)-FIND("X",I146)-1)*M146</f>
        <v/>
      </c>
      <c r="O146" s="33">
        <f>(N146*L146)/1000</f>
        <v/>
      </c>
    </row>
    <row r="147" ht="15" customHeight="1">
      <c r="A147" s="133" t="n"/>
      <c r="B147" s="133" t="n"/>
      <c r="C147" s="59" t="n"/>
      <c r="D147" s="11" t="inlineStr">
        <is>
          <t>Bottom</t>
        </is>
      </c>
      <c r="E147" s="11" t="n">
        <v>40</v>
      </c>
      <c r="F147" s="11" t="inlineStr">
        <is>
          <t>Single</t>
        </is>
      </c>
      <c r="G147" s="29" t="inlineStr">
        <is>
          <t>C126 /128 LVP</t>
        </is>
      </c>
      <c r="H147" s="29" t="inlineStr">
        <is>
          <t>289 X 289</t>
        </is>
      </c>
      <c r="I147" s="29" t="inlineStr">
        <is>
          <t>24 X 24</t>
        </is>
      </c>
      <c r="J147" s="29" t="n">
        <v>4</v>
      </c>
      <c r="K147" s="34" t="n"/>
      <c r="L147" s="14">
        <f>K147/J147</f>
        <v/>
      </c>
      <c r="M147" s="15" t="n">
        <v>0.6977821913273751</v>
      </c>
      <c r="N147" s="14">
        <f>LEFT(I147,FIND("X",I147)-1)*RIGHT(I147,LEN(I147)-FIND("X",I147)-1)*M147</f>
        <v/>
      </c>
      <c r="O147" s="16">
        <f>(N147*L147)/1000</f>
        <v/>
      </c>
    </row>
    <row r="148" ht="15.75" customHeight="1" thickBot="1">
      <c r="A148" s="135" t="n"/>
      <c r="B148" s="135" t="n"/>
      <c r="C148" s="22" t="inlineStr">
        <is>
          <t>SVG</t>
        </is>
      </c>
      <c r="D148" s="23" t="inlineStr">
        <is>
          <t>-</t>
        </is>
      </c>
      <c r="E148" s="23" t="n">
        <v>22</v>
      </c>
      <c r="F148" s="23" t="inlineStr">
        <is>
          <t>Single</t>
        </is>
      </c>
      <c r="G148" s="23" t="inlineStr">
        <is>
          <t>C126 /128 SVG</t>
        </is>
      </c>
      <c r="H148" s="23" t="inlineStr">
        <is>
          <t>308 X 308</t>
        </is>
      </c>
      <c r="I148" s="23" t="inlineStr">
        <is>
          <t>25 X 25</t>
        </is>
      </c>
      <c r="J148" s="23" t="n">
        <v>3</v>
      </c>
      <c r="K148" s="115" t="n"/>
      <c r="L148" s="25">
        <f>K148/J148</f>
        <v/>
      </c>
      <c r="M148" s="26" t="n">
        <v>0.4398148148148148</v>
      </c>
      <c r="N148" s="25">
        <f>LEFT(I148,FIND("X",I148)-1)*RIGHT(I148,LEN(I148)-FIND("X",I148)-1)*M148</f>
        <v/>
      </c>
      <c r="O148" s="27">
        <f>(N148*L148)/1000</f>
        <v/>
      </c>
    </row>
    <row r="149" ht="15" customHeight="1">
      <c r="A149" s="149" t="n">
        <v>17</v>
      </c>
      <c r="B149" s="150" t="inlineStr">
        <is>
          <t>C 128</t>
        </is>
      </c>
      <c r="C149" s="58" t="inlineStr">
        <is>
          <t>LVP</t>
        </is>
      </c>
      <c r="D149" s="29" t="inlineStr">
        <is>
          <t>Top</t>
        </is>
      </c>
      <c r="E149" s="29" t="n">
        <v>40</v>
      </c>
      <c r="F149" s="29" t="inlineStr">
        <is>
          <t>Single</t>
        </is>
      </c>
      <c r="G149" s="29" t="inlineStr">
        <is>
          <t>C126 /128 LVP</t>
        </is>
      </c>
      <c r="H149" s="29" t="inlineStr">
        <is>
          <t>289 X 289</t>
        </is>
      </c>
      <c r="I149" s="29" t="inlineStr">
        <is>
          <t>24 X 24</t>
        </is>
      </c>
      <c r="J149" s="29" t="n">
        <v>4</v>
      </c>
      <c r="K149" s="114" t="n"/>
      <c r="L149" s="31">
        <f>K149/J149</f>
        <v/>
      </c>
      <c r="M149" s="32" t="n">
        <v>0.6977821913273751</v>
      </c>
      <c r="N149" s="31">
        <f>LEFT(I149,FIND("X",I149)-1)*RIGHT(I149,LEN(I149)-FIND("X",I149)-1)*M149</f>
        <v/>
      </c>
      <c r="O149" s="33">
        <f>(N149*L149)/1000</f>
        <v/>
      </c>
    </row>
    <row r="150" ht="15" customHeight="1">
      <c r="A150" s="133" t="n"/>
      <c r="B150" s="133" t="n"/>
      <c r="C150" s="59" t="n"/>
      <c r="D150" s="11" t="inlineStr">
        <is>
          <t>Bottom</t>
        </is>
      </c>
      <c r="E150" s="11" t="n">
        <v>40</v>
      </c>
      <c r="F150" s="11" t="inlineStr">
        <is>
          <t>Single</t>
        </is>
      </c>
      <c r="G150" s="29" t="inlineStr">
        <is>
          <t>C126 /128 LVP</t>
        </is>
      </c>
      <c r="H150" s="29" t="inlineStr">
        <is>
          <t>289 X 289</t>
        </is>
      </c>
      <c r="I150" s="29" t="inlineStr">
        <is>
          <t>24 X 24</t>
        </is>
      </c>
      <c r="J150" s="29" t="n">
        <v>4</v>
      </c>
      <c r="K150" s="34" t="n"/>
      <c r="L150" s="14">
        <f>K150/J150</f>
        <v/>
      </c>
      <c r="M150" s="15" t="n">
        <v>0.6977821913273751</v>
      </c>
      <c r="N150" s="14">
        <f>LEFT(I150,FIND("X",I150)-1)*RIGHT(I150,LEN(I150)-FIND("X",I150)-1)*M150</f>
        <v/>
      </c>
      <c r="O150" s="16">
        <f>(N150*L150)/1000</f>
        <v/>
      </c>
    </row>
    <row r="151" ht="15.75" customHeight="1" thickBot="1">
      <c r="A151" s="135" t="n"/>
      <c r="B151" s="135" t="n"/>
      <c r="C151" s="22" t="inlineStr">
        <is>
          <t>SVG</t>
        </is>
      </c>
      <c r="D151" s="23" t="inlineStr">
        <is>
          <t>-</t>
        </is>
      </c>
      <c r="E151" s="23" t="n">
        <v>22</v>
      </c>
      <c r="F151" s="23" t="inlineStr">
        <is>
          <t>Single</t>
        </is>
      </c>
      <c r="G151" s="23" t="inlineStr">
        <is>
          <t>C126 /128 SVG</t>
        </is>
      </c>
      <c r="H151" s="23" t="inlineStr">
        <is>
          <t>308 X 308</t>
        </is>
      </c>
      <c r="I151" s="23" t="inlineStr">
        <is>
          <t>25 X 25</t>
        </is>
      </c>
      <c r="J151" s="23" t="n">
        <v>3</v>
      </c>
      <c r="K151" s="115" t="n"/>
      <c r="L151" s="25">
        <f>K151/J151</f>
        <v/>
      </c>
      <c r="M151" s="26" t="n">
        <v>0.4398148148148148</v>
      </c>
      <c r="N151" s="25">
        <f>LEFT(I151,FIND("X",I151)-1)*RIGHT(I151,LEN(I151)-FIND("X",I151)-1)*M151</f>
        <v/>
      </c>
      <c r="O151" s="27">
        <f>(N151*L151)/1000</f>
        <v/>
      </c>
    </row>
    <row r="152" ht="15" customHeight="1">
      <c r="A152" s="149" t="n">
        <v>18</v>
      </c>
      <c r="B152" s="150" t="inlineStr">
        <is>
          <t>C 146</t>
        </is>
      </c>
      <c r="C152" s="58" t="inlineStr">
        <is>
          <t>LVP</t>
        </is>
      </c>
      <c r="D152" s="29" t="inlineStr">
        <is>
          <t>Top</t>
        </is>
      </c>
      <c r="E152" s="29" t="n">
        <v>40</v>
      </c>
      <c r="F152" s="29" t="inlineStr">
        <is>
          <t>Single</t>
        </is>
      </c>
      <c r="G152" s="29" t="inlineStr">
        <is>
          <t>C146 /148 LVP</t>
        </is>
      </c>
      <c r="H152" s="29" t="inlineStr">
        <is>
          <t>345 X 345</t>
        </is>
      </c>
      <c r="I152" s="29" t="inlineStr">
        <is>
          <t>14 X 14</t>
        </is>
      </c>
      <c r="J152" s="29" t="n">
        <v>1</v>
      </c>
      <c r="K152" s="114" t="n"/>
      <c r="L152" s="31">
        <f>K152/J152</f>
        <v/>
      </c>
      <c r="M152" s="32" t="n">
        <v>0.6977821913273751</v>
      </c>
      <c r="N152" s="31">
        <f>LEFT(I152,FIND("X",I152)-1)*RIGHT(I152,LEN(I152)-FIND("X",I152)-1)*M152</f>
        <v/>
      </c>
      <c r="O152" s="33">
        <f>(N152*L152)/1000</f>
        <v/>
      </c>
    </row>
    <row r="153" ht="15" customHeight="1">
      <c r="A153" s="133" t="n"/>
      <c r="B153" s="133" t="n"/>
      <c r="C153" s="59" t="n"/>
      <c r="D153" s="11" t="inlineStr">
        <is>
          <t>Bottom</t>
        </is>
      </c>
      <c r="E153" s="11" t="n">
        <v>40</v>
      </c>
      <c r="F153" s="11" t="inlineStr">
        <is>
          <t>Single</t>
        </is>
      </c>
      <c r="G153" s="29" t="inlineStr">
        <is>
          <t>C146 /148 LVP</t>
        </is>
      </c>
      <c r="H153" s="29" t="inlineStr">
        <is>
          <t>345 X 345</t>
        </is>
      </c>
      <c r="I153" s="29" t="inlineStr">
        <is>
          <t>14 X 14</t>
        </is>
      </c>
      <c r="J153" s="29" t="n">
        <v>1</v>
      </c>
      <c r="K153" s="34" t="n"/>
      <c r="L153" s="14">
        <f>K153/J153</f>
        <v/>
      </c>
      <c r="M153" s="15" t="n">
        <v>0.6977821913273751</v>
      </c>
      <c r="N153" s="14">
        <f>LEFT(I153,FIND("X",I153)-1)*RIGHT(I153,LEN(I153)-FIND("X",I153)-1)*M153</f>
        <v/>
      </c>
      <c r="O153" s="16">
        <f>(N153*L153)/1000</f>
        <v/>
      </c>
    </row>
    <row r="154" ht="15.75" customHeight="1" thickBot="1">
      <c r="A154" s="135" t="n"/>
      <c r="B154" s="135" t="n"/>
      <c r="C154" s="22" t="inlineStr">
        <is>
          <t>SVG</t>
        </is>
      </c>
      <c r="D154" s="23" t="inlineStr">
        <is>
          <t>-</t>
        </is>
      </c>
      <c r="E154" s="23" t="n">
        <v>22</v>
      </c>
      <c r="F154" s="23" t="inlineStr">
        <is>
          <t>Single</t>
        </is>
      </c>
      <c r="G154" s="23" t="inlineStr">
        <is>
          <t>C146 / 148 SVG</t>
        </is>
      </c>
      <c r="H154" s="23" t="inlineStr">
        <is>
          <t>358 X 358</t>
        </is>
      </c>
      <c r="I154" s="23" t="inlineStr">
        <is>
          <t>14.5 X 14.5</t>
        </is>
      </c>
      <c r="J154" s="23" t="n">
        <v>1</v>
      </c>
      <c r="K154" s="115" t="n"/>
      <c r="L154" s="25">
        <f>K154/J154</f>
        <v/>
      </c>
      <c r="M154" s="26" t="n">
        <v>0.4398148148148148</v>
      </c>
      <c r="N154" s="25">
        <f>LEFT(I154,FIND("X",I154)-1)*RIGHT(I154,LEN(I154)-FIND("X",I154)-1)*M154</f>
        <v/>
      </c>
      <c r="O154" s="27">
        <f>(N154*L154)/1000</f>
        <v/>
      </c>
    </row>
    <row r="155" ht="15" customHeight="1">
      <c r="A155" s="149" t="n">
        <v>19</v>
      </c>
      <c r="B155" s="150" t="inlineStr">
        <is>
          <t>C 148</t>
        </is>
      </c>
      <c r="C155" s="58" t="inlineStr">
        <is>
          <t>LVP</t>
        </is>
      </c>
      <c r="D155" s="29" t="inlineStr">
        <is>
          <t>Top</t>
        </is>
      </c>
      <c r="E155" s="29" t="n">
        <v>40</v>
      </c>
      <c r="F155" s="29" t="inlineStr">
        <is>
          <t>Single</t>
        </is>
      </c>
      <c r="G155" s="29" t="inlineStr">
        <is>
          <t>C146 /148 LVP</t>
        </is>
      </c>
      <c r="H155" s="29" t="inlineStr">
        <is>
          <t>345 X 345</t>
        </is>
      </c>
      <c r="I155" s="29" t="inlineStr">
        <is>
          <t>14 X 14</t>
        </is>
      </c>
      <c r="J155" s="29" t="n">
        <v>1</v>
      </c>
      <c r="K155" s="114" t="n"/>
      <c r="L155" s="31">
        <f>K155/J155</f>
        <v/>
      </c>
      <c r="M155" s="32" t="n">
        <v>0.6977821913273751</v>
      </c>
      <c r="N155" s="31">
        <f>LEFT(I155,FIND("X",I155)-1)*RIGHT(I155,LEN(I155)-FIND("X",I155)-1)*M155</f>
        <v/>
      </c>
      <c r="O155" s="33">
        <f>(N155*L155)/1000</f>
        <v/>
      </c>
    </row>
    <row r="156" ht="15" customHeight="1">
      <c r="A156" s="133" t="n"/>
      <c r="B156" s="133" t="n"/>
      <c r="C156" s="59" t="n"/>
      <c r="D156" s="11" t="inlineStr">
        <is>
          <t>Bottom</t>
        </is>
      </c>
      <c r="E156" s="11" t="n">
        <v>40</v>
      </c>
      <c r="F156" s="11" t="inlineStr">
        <is>
          <t>Single</t>
        </is>
      </c>
      <c r="G156" s="29" t="inlineStr">
        <is>
          <t>C146 /148 LVP</t>
        </is>
      </c>
      <c r="H156" s="29" t="inlineStr">
        <is>
          <t>345 X 345</t>
        </is>
      </c>
      <c r="I156" s="29" t="inlineStr">
        <is>
          <t>14 X 14</t>
        </is>
      </c>
      <c r="J156" s="29" t="n">
        <v>1</v>
      </c>
      <c r="K156" s="34" t="n"/>
      <c r="L156" s="14">
        <f>K156/J156</f>
        <v/>
      </c>
      <c r="M156" s="15" t="n">
        <v>0.6977821913273751</v>
      </c>
      <c r="N156" s="14">
        <f>LEFT(I156,FIND("X",I156)-1)*RIGHT(I156,LEN(I156)-FIND("X",I156)-1)*M156</f>
        <v/>
      </c>
      <c r="O156" s="16">
        <f>(N156*L156)/1000</f>
        <v/>
      </c>
    </row>
    <row r="157" ht="15.75" customHeight="1" thickBot="1">
      <c r="A157" s="135" t="n"/>
      <c r="B157" s="135" t="n"/>
      <c r="C157" s="22" t="inlineStr">
        <is>
          <t>SVG</t>
        </is>
      </c>
      <c r="D157" s="23" t="inlineStr">
        <is>
          <t>-</t>
        </is>
      </c>
      <c r="E157" s="23" t="n">
        <v>22</v>
      </c>
      <c r="F157" s="23" t="inlineStr">
        <is>
          <t>Single</t>
        </is>
      </c>
      <c r="G157" s="23" t="inlineStr">
        <is>
          <t>C146 / 148 SVG</t>
        </is>
      </c>
      <c r="H157" s="23" t="inlineStr">
        <is>
          <t>358 X 358</t>
        </is>
      </c>
      <c r="I157" s="23" t="inlineStr">
        <is>
          <t>14.5 X 14.5</t>
        </is>
      </c>
      <c r="J157" s="23" t="n">
        <v>1</v>
      </c>
      <c r="K157" s="115" t="n"/>
      <c r="L157" s="25">
        <f>K157/J157</f>
        <v/>
      </c>
      <c r="M157" s="26" t="n">
        <v>0.4398148148148148</v>
      </c>
      <c r="N157" s="25">
        <f>LEFT(I157,FIND("X",I157)-1)*RIGHT(I157,LEN(I157)-FIND("X",I157)-1)*M157</f>
        <v/>
      </c>
      <c r="O157" s="27">
        <f>(N157*L157)/1000</f>
        <v/>
      </c>
    </row>
    <row r="158" ht="15" customHeight="1">
      <c r="A158" s="149" t="n">
        <v>20</v>
      </c>
      <c r="B158" s="150" t="inlineStr">
        <is>
          <t>C 156</t>
        </is>
      </c>
      <c r="C158" s="58" t="inlineStr">
        <is>
          <t>LVP</t>
        </is>
      </c>
      <c r="D158" s="29" t="inlineStr">
        <is>
          <t>Top</t>
        </is>
      </c>
      <c r="E158" s="29" t="n">
        <v>40</v>
      </c>
      <c r="F158" s="29" t="inlineStr">
        <is>
          <t>Single</t>
        </is>
      </c>
      <c r="G158" s="29" t="inlineStr">
        <is>
          <t>C156 /158 LVP</t>
        </is>
      </c>
      <c r="H158" s="29" t="inlineStr">
        <is>
          <t>363 X 363</t>
        </is>
      </c>
      <c r="I158" s="29" t="inlineStr">
        <is>
          <t>30 X 30</t>
        </is>
      </c>
      <c r="J158" s="29" t="n">
        <v>4</v>
      </c>
      <c r="K158" s="114" t="n"/>
      <c r="L158" s="31">
        <f>K158/J158</f>
        <v/>
      </c>
      <c r="M158" s="32" t="n">
        <v>0.6977821913273751</v>
      </c>
      <c r="N158" s="31">
        <f>LEFT(I158,FIND("X",I158)-1)*RIGHT(I158,LEN(I158)-FIND("X",I158)-1)*M158</f>
        <v/>
      </c>
      <c r="O158" s="33">
        <f>(N158*L158)/1000</f>
        <v/>
      </c>
    </row>
    <row r="159" ht="15" customHeight="1">
      <c r="A159" s="133" t="n"/>
      <c r="B159" s="133" t="n"/>
      <c r="C159" s="59" t="n"/>
      <c r="D159" s="11" t="inlineStr">
        <is>
          <t>Bottom</t>
        </is>
      </c>
      <c r="E159" s="11" t="n">
        <v>40</v>
      </c>
      <c r="F159" s="11" t="inlineStr">
        <is>
          <t>Single</t>
        </is>
      </c>
      <c r="G159" s="29" t="inlineStr">
        <is>
          <t>C156 /158 LVP</t>
        </is>
      </c>
      <c r="H159" s="29" t="inlineStr">
        <is>
          <t>363 X 363</t>
        </is>
      </c>
      <c r="I159" s="29" t="inlineStr">
        <is>
          <t>30 X 30</t>
        </is>
      </c>
      <c r="J159" s="29" t="n">
        <v>4</v>
      </c>
      <c r="K159" s="34" t="n"/>
      <c r="L159" s="14">
        <f>K159/J159</f>
        <v/>
      </c>
      <c r="M159" s="15" t="n">
        <v>0.6977821913273751</v>
      </c>
      <c r="N159" s="14">
        <f>LEFT(I159,FIND("X",I159)-1)*RIGHT(I159,LEN(I159)-FIND("X",I159)-1)*M159</f>
        <v/>
      </c>
      <c r="O159" s="16">
        <f>(N159*L159)/1000</f>
        <v/>
      </c>
    </row>
    <row r="160" ht="15.75" customHeight="1" thickBot="1">
      <c r="A160" s="135" t="n"/>
      <c r="B160" s="135" t="n"/>
      <c r="C160" s="22" t="inlineStr">
        <is>
          <t>SVG</t>
        </is>
      </c>
      <c r="D160" s="23" t="inlineStr">
        <is>
          <t>-</t>
        </is>
      </c>
      <c r="E160" s="23" t="n">
        <v>22</v>
      </c>
      <c r="F160" s="23" t="inlineStr">
        <is>
          <t>Single</t>
        </is>
      </c>
      <c r="G160" s="23" t="inlineStr">
        <is>
          <t>C156 /158 SVG</t>
        </is>
      </c>
      <c r="H160" s="23" t="inlineStr">
        <is>
          <t>380 X 380</t>
        </is>
      </c>
      <c r="I160" s="23" t="inlineStr">
        <is>
          <t>31 X 31</t>
        </is>
      </c>
      <c r="J160" s="23" t="n">
        <v>4</v>
      </c>
      <c r="K160" s="115" t="n"/>
      <c r="L160" s="25">
        <f>K160/J160</f>
        <v/>
      </c>
      <c r="M160" s="26" t="n">
        <v>0.4398148148148148</v>
      </c>
      <c r="N160" s="25">
        <f>LEFT(I160,FIND("X",I160)-1)*RIGHT(I160,LEN(I160)-FIND("X",I160)-1)*M160</f>
        <v/>
      </c>
      <c r="O160" s="27">
        <f>(N160*L160)/1000</f>
        <v/>
      </c>
    </row>
    <row r="161" ht="15" customHeight="1">
      <c r="A161" s="149" t="n">
        <v>21</v>
      </c>
      <c r="B161" s="150" t="inlineStr">
        <is>
          <t>C 158</t>
        </is>
      </c>
      <c r="C161" s="58" t="inlineStr">
        <is>
          <t>LVP</t>
        </is>
      </c>
      <c r="D161" s="29" t="inlineStr">
        <is>
          <t>Top</t>
        </is>
      </c>
      <c r="E161" s="29" t="n">
        <v>40</v>
      </c>
      <c r="F161" s="29" t="inlineStr">
        <is>
          <t>Single</t>
        </is>
      </c>
      <c r="G161" s="29" t="inlineStr">
        <is>
          <t>C156 /158 LVP</t>
        </is>
      </c>
      <c r="H161" s="29" t="inlineStr">
        <is>
          <t>363 X 363</t>
        </is>
      </c>
      <c r="I161" s="29" t="inlineStr">
        <is>
          <t>30 X 30</t>
        </is>
      </c>
      <c r="J161" s="29" t="n">
        <v>4</v>
      </c>
      <c r="K161" s="114" t="n"/>
      <c r="L161" s="31">
        <f>K161/J161</f>
        <v/>
      </c>
      <c r="M161" s="32" t="n">
        <v>0.6977821913273751</v>
      </c>
      <c r="N161" s="31">
        <f>LEFT(I161,FIND("X",I161)-1)*RIGHT(I161,LEN(I161)-FIND("X",I161)-1)*M161</f>
        <v/>
      </c>
      <c r="O161" s="33">
        <f>(N161*L161)/1000</f>
        <v/>
      </c>
    </row>
    <row r="162" ht="15" customHeight="1">
      <c r="A162" s="133" t="n"/>
      <c r="B162" s="133" t="n"/>
      <c r="C162" s="59" t="n"/>
      <c r="D162" s="11" t="inlineStr">
        <is>
          <t>Bottom</t>
        </is>
      </c>
      <c r="E162" s="11" t="n">
        <v>40</v>
      </c>
      <c r="F162" s="11" t="inlineStr">
        <is>
          <t>Single</t>
        </is>
      </c>
      <c r="G162" s="29" t="inlineStr">
        <is>
          <t>C156 /158 LVP</t>
        </is>
      </c>
      <c r="H162" s="29" t="inlineStr">
        <is>
          <t>363 X 363</t>
        </is>
      </c>
      <c r="I162" s="29" t="inlineStr">
        <is>
          <t>30 X 30</t>
        </is>
      </c>
      <c r="J162" s="29" t="n">
        <v>4</v>
      </c>
      <c r="K162" s="34" t="n"/>
      <c r="L162" s="14">
        <f>K162/J162</f>
        <v/>
      </c>
      <c r="M162" s="15" t="n">
        <v>0.6977821913273751</v>
      </c>
      <c r="N162" s="14">
        <f>LEFT(I162,FIND("X",I162)-1)*RIGHT(I162,LEN(I162)-FIND("X",I162)-1)*M162</f>
        <v/>
      </c>
      <c r="O162" s="16">
        <f>(N162*L162)/1000</f>
        <v/>
      </c>
    </row>
    <row r="163" ht="15.75" customHeight="1" thickBot="1">
      <c r="A163" s="135" t="n"/>
      <c r="B163" s="135" t="n"/>
      <c r="C163" s="22" t="inlineStr">
        <is>
          <t>SVG</t>
        </is>
      </c>
      <c r="D163" s="23" t="inlineStr">
        <is>
          <t>-</t>
        </is>
      </c>
      <c r="E163" s="23" t="n">
        <v>22</v>
      </c>
      <c r="F163" s="23" t="inlineStr">
        <is>
          <t>Single</t>
        </is>
      </c>
      <c r="G163" s="23" t="inlineStr">
        <is>
          <t>C156 /158 SVG</t>
        </is>
      </c>
      <c r="H163" s="23" t="inlineStr">
        <is>
          <t>380 X 380</t>
        </is>
      </c>
      <c r="I163" s="23" t="inlineStr">
        <is>
          <t>31 X 31</t>
        </is>
      </c>
      <c r="J163" s="23" t="n">
        <v>4</v>
      </c>
      <c r="K163" s="115" t="n"/>
      <c r="L163" s="25">
        <f>K163/J163</f>
        <v/>
      </c>
      <c r="M163" s="26" t="n">
        <v>0.4398148148148148</v>
      </c>
      <c r="N163" s="25">
        <f>LEFT(I163,FIND("X",I163)-1)*RIGHT(I163,LEN(I163)-FIND("X",I163)-1)*M163</f>
        <v/>
      </c>
      <c r="O163" s="27">
        <f>(N163*L163)/1000</f>
        <v/>
      </c>
    </row>
    <row r="164" ht="15" customHeight="1">
      <c r="A164" s="149" t="n">
        <v>22</v>
      </c>
      <c r="B164" s="150" t="inlineStr">
        <is>
          <t>C 178</t>
        </is>
      </c>
      <c r="C164" s="58" t="inlineStr">
        <is>
          <t>LVP</t>
        </is>
      </c>
      <c r="D164" s="29" t="inlineStr">
        <is>
          <t>Top</t>
        </is>
      </c>
      <c r="E164" s="29" t="n">
        <v>40</v>
      </c>
      <c r="F164" s="29" t="inlineStr">
        <is>
          <t>Single</t>
        </is>
      </c>
      <c r="G164" s="29" t="inlineStr">
        <is>
          <t>C178 LVP</t>
        </is>
      </c>
      <c r="H164" s="29" t="inlineStr">
        <is>
          <t>431 X 431</t>
        </is>
      </c>
      <c r="I164" s="29" t="inlineStr">
        <is>
          <t>17.5 X 17.5</t>
        </is>
      </c>
      <c r="J164" s="29" t="n">
        <v>1</v>
      </c>
      <c r="K164" s="114" t="n"/>
      <c r="L164" s="31">
        <f>K164/J164</f>
        <v/>
      </c>
      <c r="M164" s="32" t="n">
        <v>0.6977821913273751</v>
      </c>
      <c r="N164" s="31">
        <f>LEFT(I164,FIND("X",I164)-1)*RIGHT(I164,LEN(I164)-FIND("X",I164)-1)*M164</f>
        <v/>
      </c>
      <c r="O164" s="33">
        <f>(N164*L164)/1000</f>
        <v/>
      </c>
    </row>
    <row r="165" ht="15" customHeight="1">
      <c r="A165" s="133" t="n"/>
      <c r="B165" s="133" t="n"/>
      <c r="C165" s="59" t="n"/>
      <c r="D165" s="11" t="inlineStr">
        <is>
          <t>Bottom</t>
        </is>
      </c>
      <c r="E165" s="11" t="n">
        <v>40</v>
      </c>
      <c r="F165" s="11" t="inlineStr">
        <is>
          <t>Single</t>
        </is>
      </c>
      <c r="G165" s="29" t="inlineStr">
        <is>
          <t>C178 LVP</t>
        </is>
      </c>
      <c r="H165" s="29" t="inlineStr">
        <is>
          <t>431 X 431</t>
        </is>
      </c>
      <c r="I165" s="29" t="inlineStr">
        <is>
          <t>17.5 X 17.5</t>
        </is>
      </c>
      <c r="J165" s="29" t="n">
        <v>1</v>
      </c>
      <c r="K165" s="34" t="n"/>
      <c r="L165" s="14">
        <f>K165/J165</f>
        <v/>
      </c>
      <c r="M165" s="15" t="n">
        <v>0.6977821913273751</v>
      </c>
      <c r="N165" s="14">
        <f>LEFT(I165,FIND("X",I165)-1)*RIGHT(I165,LEN(I165)-FIND("X",I165)-1)*M165</f>
        <v/>
      </c>
      <c r="O165" s="16">
        <f>(N165*L165)/1000</f>
        <v/>
      </c>
    </row>
    <row r="166" ht="15.75" customHeight="1" thickBot="1">
      <c r="A166" s="135" t="n"/>
      <c r="B166" s="135" t="n"/>
      <c r="C166" s="22" t="inlineStr">
        <is>
          <t>SVG</t>
        </is>
      </c>
      <c r="D166" s="23" t="inlineStr">
        <is>
          <t>-</t>
        </is>
      </c>
      <c r="E166" s="23" t="n">
        <v>22</v>
      </c>
      <c r="F166" s="23" t="inlineStr">
        <is>
          <t>Single</t>
        </is>
      </c>
      <c r="G166" s="23" t="inlineStr">
        <is>
          <t>C178 SVG</t>
        </is>
      </c>
      <c r="H166" s="23" t="inlineStr">
        <is>
          <t>449 X 449</t>
        </is>
      </c>
      <c r="I166" s="23" t="inlineStr">
        <is>
          <t>18 X 18</t>
        </is>
      </c>
      <c r="J166" s="23" t="n">
        <v>1</v>
      </c>
      <c r="K166" s="115" t="n"/>
      <c r="L166" s="25">
        <f>K166/J166</f>
        <v/>
      </c>
      <c r="M166" s="26" t="n">
        <v>0.4398148148148148</v>
      </c>
      <c r="N166" s="25">
        <f>LEFT(I166,FIND("X",I166)-1)*RIGHT(I166,LEN(I166)-FIND("X",I166)-1)*M166</f>
        <v/>
      </c>
      <c r="O166" s="27">
        <f>(N166*L166)/1000</f>
        <v/>
      </c>
    </row>
    <row r="167" ht="14.25" customHeight="1">
      <c r="A167" s="141" t="inlineStr">
        <is>
          <t>MSX Series</t>
        </is>
      </c>
      <c r="B167" s="142" t="n"/>
      <c r="C167" s="142" t="n"/>
      <c r="D167" s="142" t="n"/>
      <c r="E167" s="142" t="n"/>
      <c r="F167" s="142" t="n"/>
      <c r="G167" s="142" t="n"/>
      <c r="H167" s="142" t="n"/>
      <c r="I167" s="142" t="n"/>
      <c r="J167" s="142" t="n"/>
      <c r="K167" s="142" t="n"/>
      <c r="L167" s="142" t="n"/>
      <c r="M167" s="142" t="n"/>
      <c r="N167" s="142" t="n"/>
      <c r="O167" s="143" t="n"/>
    </row>
    <row r="168" ht="12.75" customHeight="1">
      <c r="A168" s="144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45" t="n"/>
    </row>
    <row r="169" ht="13.5" customHeight="1" thickBot="1">
      <c r="A169" s="146" t="n"/>
      <c r="B169" s="147" t="n"/>
      <c r="C169" s="147" t="n"/>
      <c r="D169" s="147" t="n"/>
      <c r="E169" s="147" t="n"/>
      <c r="F169" s="147" t="n"/>
      <c r="G169" s="147" t="n"/>
      <c r="H169" s="147" t="n"/>
      <c r="I169" s="147" t="n"/>
      <c r="J169" s="147" t="n"/>
      <c r="K169" s="147" t="n"/>
      <c r="L169" s="147" t="n"/>
      <c r="M169" s="147" t="n"/>
      <c r="N169" s="147" t="n"/>
      <c r="O169" s="148" t="n"/>
    </row>
    <row r="170" ht="15" customHeight="1">
      <c r="A170" s="149" t="n">
        <v>1</v>
      </c>
      <c r="B170" s="150" t="inlineStr">
        <is>
          <t>MSX 10</t>
        </is>
      </c>
      <c r="C170" s="58" t="inlineStr">
        <is>
          <t>LVP</t>
        </is>
      </c>
      <c r="D170" s="29" t="inlineStr">
        <is>
          <t>Top</t>
        </is>
      </c>
      <c r="E170" s="29" t="n">
        <v>90</v>
      </c>
      <c r="F170" s="29" t="inlineStr">
        <is>
          <t>Passing</t>
        </is>
      </c>
      <c r="G170" s="29" t="inlineStr">
        <is>
          <t>MSX 10 LVP</t>
        </is>
      </c>
      <c r="H170" s="29" t="inlineStr">
        <is>
          <t>36 X 55</t>
        </is>
      </c>
      <c r="I170" s="29" t="inlineStr">
        <is>
          <t>15 X 20.5</t>
        </is>
      </c>
      <c r="J170" s="29" t="n">
        <v>64</v>
      </c>
      <c r="K170" s="114" t="n">
        <v>60000</v>
      </c>
      <c r="L170" s="31">
        <f>K170/J170</f>
        <v/>
      </c>
      <c r="M170" s="32" t="n">
        <v>1.605797101449275</v>
      </c>
      <c r="N170" s="31">
        <f>LEFT(I170,FIND("X",I170)-1)*RIGHT(I170,LEN(I170)-FIND("X",I170)-1)*M170</f>
        <v/>
      </c>
      <c r="O170" s="33">
        <f>(N170*L170)/1000</f>
        <v/>
      </c>
    </row>
    <row r="171" ht="14.25" customHeight="1">
      <c r="A171" s="133" t="n"/>
      <c r="B171" s="133" t="n"/>
      <c r="C171" s="59" t="n"/>
      <c r="D171" s="11" t="inlineStr">
        <is>
          <t>Bottom</t>
        </is>
      </c>
      <c r="E171" s="11" t="n"/>
      <c r="F171" s="11" t="n"/>
      <c r="G171" s="11" t="n"/>
      <c r="H171" s="11" t="n"/>
      <c r="I171" s="11" t="n"/>
      <c r="J171" s="11" t="n"/>
      <c r="K171" s="114" t="n">
        <v>60000</v>
      </c>
      <c r="L171" s="14">
        <f>K171/J171</f>
        <v/>
      </c>
      <c r="M171" s="15" t="e">
        <v>#N/A</v>
      </c>
      <c r="N171" s="14">
        <f>LEFT(I171,FIND("X",I171)-1)*RIGHT(I171,LEN(I171)-FIND("X",I171)-1)*M171</f>
        <v/>
      </c>
      <c r="O171" s="16">
        <f>(N171*L171)/1000</f>
        <v/>
      </c>
    </row>
    <row r="172" ht="15.75" customHeight="1" thickBot="1">
      <c r="A172" s="135" t="n"/>
      <c r="B172" s="135" t="n"/>
      <c r="C172" s="22" t="inlineStr">
        <is>
          <t>SCFG</t>
        </is>
      </c>
      <c r="D172" s="23" t="inlineStr">
        <is>
          <t>-</t>
        </is>
      </c>
      <c r="E172" s="23" t="n">
        <v>15</v>
      </c>
      <c r="F172" s="23" t="inlineStr">
        <is>
          <t>Single</t>
        </is>
      </c>
      <c r="G172" s="23" t="inlineStr">
        <is>
          <t>MSX 10 SCFG</t>
        </is>
      </c>
      <c r="H172" s="23" t="inlineStr">
        <is>
          <t>55 X 75</t>
        </is>
      </c>
      <c r="I172" s="23" t="inlineStr">
        <is>
          <t>22.5 X 23.5</t>
        </is>
      </c>
      <c r="J172" s="23" t="n">
        <v>48</v>
      </c>
      <c r="K172" s="114" t="n">
        <v>60000</v>
      </c>
      <c r="L172" s="25">
        <f>K172/J172</f>
        <v/>
      </c>
      <c r="M172" s="26" t="n">
        <v>0.3381642512077295</v>
      </c>
      <c r="N172" s="25">
        <f>LEFT(I172,FIND("X",I172)-1)*RIGHT(I172,LEN(I172)-FIND("X",I172)-1)*M172</f>
        <v/>
      </c>
      <c r="O172" s="27">
        <f>(N172*L172)/1000</f>
        <v/>
      </c>
    </row>
    <row r="173" ht="15" customHeight="1">
      <c r="A173" s="149" t="n">
        <v>2</v>
      </c>
      <c r="B173" s="150" t="inlineStr">
        <is>
          <t>MSX 12</t>
        </is>
      </c>
      <c r="C173" s="58" t="inlineStr">
        <is>
          <t>LVP</t>
        </is>
      </c>
      <c r="D173" s="29" t="inlineStr">
        <is>
          <t>Top</t>
        </is>
      </c>
      <c r="E173" s="29" t="n">
        <v>90</v>
      </c>
      <c r="F173" s="29" t="inlineStr">
        <is>
          <t>Passing</t>
        </is>
      </c>
      <c r="G173" s="29" t="inlineStr">
        <is>
          <t>MSX 12 LVP</t>
        </is>
      </c>
      <c r="H173" s="29" t="inlineStr">
        <is>
          <t>51 X 95</t>
        </is>
      </c>
      <c r="I173" s="29" t="inlineStr">
        <is>
          <t>20.5 X 21</t>
        </is>
      </c>
      <c r="J173" s="29" t="n">
        <v>45</v>
      </c>
      <c r="K173" s="114" t="n">
        <v>4750</v>
      </c>
      <c r="L173" s="31">
        <f>K173/J173</f>
        <v/>
      </c>
      <c r="M173" s="32" t="n">
        <v>1.605797101449275</v>
      </c>
      <c r="N173" s="31">
        <f>LEFT(I173,FIND("X",I173)-1)*RIGHT(I173,LEN(I173)-FIND("X",I173)-1)*M173</f>
        <v/>
      </c>
      <c r="O173" s="33">
        <f>(N173*L173)/1000</f>
        <v/>
      </c>
    </row>
    <row r="174" ht="15" customHeight="1">
      <c r="A174" s="133" t="n"/>
      <c r="B174" s="133" t="n"/>
      <c r="C174" s="59" t="n"/>
      <c r="D174" s="11" t="inlineStr">
        <is>
          <t>Bottom</t>
        </is>
      </c>
      <c r="E174" s="11" t="n"/>
      <c r="F174" s="11" t="n"/>
      <c r="G174" s="11" t="n"/>
      <c r="H174" s="11" t="n"/>
      <c r="I174" s="11" t="n"/>
      <c r="J174" s="11" t="n"/>
      <c r="K174" s="34" t="n">
        <v>4750</v>
      </c>
      <c r="L174" s="14">
        <f>K174/J174</f>
        <v/>
      </c>
      <c r="M174" s="15" t="e">
        <v>#N/A</v>
      </c>
      <c r="N174" s="14">
        <f>LEFT(I174,FIND("X",I174)-1)*RIGHT(I174,LEN(I174)-FIND("X",I174)-1)*M174</f>
        <v/>
      </c>
      <c r="O174" s="16">
        <f>(N174*L174)/1000</f>
        <v/>
      </c>
    </row>
    <row r="175" ht="15.75" customHeight="1" thickBot="1">
      <c r="A175" s="135" t="n"/>
      <c r="B175" s="135" t="n"/>
      <c r="C175" s="22" t="inlineStr">
        <is>
          <t>SCFG</t>
        </is>
      </c>
      <c r="D175" s="23" t="inlineStr">
        <is>
          <t>-</t>
        </is>
      </c>
      <c r="E175" s="23" t="n">
        <v>15</v>
      </c>
      <c r="F175" s="23" t="inlineStr">
        <is>
          <t>Single</t>
        </is>
      </c>
      <c r="G175" s="23" t="inlineStr">
        <is>
          <t>MSX 12 SCFG</t>
        </is>
      </c>
      <c r="H175" s="23" t="inlineStr">
        <is>
          <t>66 X 110</t>
        </is>
      </c>
      <c r="I175" s="23" t="inlineStr">
        <is>
          <t>24 X 26</t>
        </is>
      </c>
      <c r="J175" s="23" t="n">
        <v>35</v>
      </c>
      <c r="K175" s="115" t="n">
        <v>4750</v>
      </c>
      <c r="L175" s="25">
        <f>K175/J175</f>
        <v/>
      </c>
      <c r="M175" s="26" t="n">
        <v>0.3381642512077295</v>
      </c>
      <c r="N175" s="25">
        <f>LEFT(I175,FIND("X",I175)-1)*RIGHT(I175,LEN(I175)-FIND("X",I175)-1)*M175</f>
        <v/>
      </c>
      <c r="O175" s="27">
        <f>(N175*L175)/1000</f>
        <v/>
      </c>
    </row>
    <row r="176" ht="15" customHeight="1">
      <c r="A176" s="149" t="n">
        <v>3</v>
      </c>
      <c r="B176" s="150" t="inlineStr">
        <is>
          <t>MSX 14</t>
        </is>
      </c>
      <c r="C176" s="58" t="inlineStr">
        <is>
          <t>LVP</t>
        </is>
      </c>
      <c r="D176" s="29" t="inlineStr">
        <is>
          <t>Top</t>
        </is>
      </c>
      <c r="E176" s="29" t="n">
        <v>90</v>
      </c>
      <c r="F176" s="29" t="inlineStr">
        <is>
          <t>Passing</t>
        </is>
      </c>
      <c r="G176" s="29" t="inlineStr">
        <is>
          <t>MSX 14 LVP</t>
        </is>
      </c>
      <c r="H176" s="29" t="inlineStr">
        <is>
          <t>62 X 115</t>
        </is>
      </c>
      <c r="I176" s="29" t="inlineStr">
        <is>
          <t>14 X 20</t>
        </is>
      </c>
      <c r="J176" s="29" t="n">
        <v>20</v>
      </c>
      <c r="K176" s="114" t="n">
        <v>3600</v>
      </c>
      <c r="L176" s="31">
        <f>K176/J176</f>
        <v/>
      </c>
      <c r="M176" s="32" t="n">
        <v>1.605797101449275</v>
      </c>
      <c r="N176" s="31">
        <f>LEFT(I176,FIND("X",I176)-1)*RIGHT(I176,LEN(I176)-FIND("X",I176)-1)*M176</f>
        <v/>
      </c>
      <c r="O176" s="33">
        <f>(N176*L176)/1000</f>
        <v/>
      </c>
    </row>
    <row r="177" ht="15" customHeight="1">
      <c r="A177" s="133" t="n"/>
      <c r="B177" s="133" t="n"/>
      <c r="C177" s="59" t="n"/>
      <c r="D177" s="11" t="inlineStr">
        <is>
          <t>Bottom</t>
        </is>
      </c>
      <c r="E177" s="11" t="n"/>
      <c r="F177" s="11" t="n"/>
      <c r="G177" s="11" t="n"/>
      <c r="H177" s="11" t="n"/>
      <c r="I177" s="11" t="n"/>
      <c r="J177" s="11" t="n"/>
      <c r="K177" s="34" t="n">
        <v>3600</v>
      </c>
      <c r="L177" s="14">
        <f>K177/J177</f>
        <v/>
      </c>
      <c r="M177" s="15" t="e">
        <v>#N/A</v>
      </c>
      <c r="N177" s="14">
        <f>LEFT(I177,FIND("X",I177)-1)*RIGHT(I177,LEN(I177)-FIND("X",I177)-1)*M177</f>
        <v/>
      </c>
      <c r="O177" s="16">
        <f>(N177*L177)/1000</f>
        <v/>
      </c>
    </row>
    <row r="178" ht="15.75" customHeight="1" thickBot="1">
      <c r="A178" s="135" t="n"/>
      <c r="B178" s="135" t="n"/>
      <c r="C178" s="22" t="inlineStr">
        <is>
          <t>SCFG</t>
        </is>
      </c>
      <c r="D178" s="23" t="inlineStr">
        <is>
          <t>-</t>
        </is>
      </c>
      <c r="E178" s="23" t="n">
        <v>15</v>
      </c>
      <c r="F178" s="23" t="inlineStr">
        <is>
          <t>Single</t>
        </is>
      </c>
      <c r="G178" s="23" t="inlineStr">
        <is>
          <t>MSX 14 SCFG</t>
        </is>
      </c>
      <c r="H178" s="23" t="inlineStr">
        <is>
          <t>80 X 137</t>
        </is>
      </c>
      <c r="I178" s="23" t="inlineStr">
        <is>
          <t>24 X 25</t>
        </is>
      </c>
      <c r="J178" s="23" t="n">
        <v>24</v>
      </c>
      <c r="K178" s="115" t="n">
        <v>3600</v>
      </c>
      <c r="L178" s="25">
        <f>K178/J178</f>
        <v/>
      </c>
      <c r="M178" s="26" t="n">
        <v>0.3381642512077295</v>
      </c>
      <c r="N178" s="25">
        <f>LEFT(I178,FIND("X",I178)-1)*RIGHT(I178,LEN(I178)-FIND("X",I178)-1)*M178</f>
        <v/>
      </c>
      <c r="O178" s="27">
        <f>(N178*L178)/1000</f>
        <v/>
      </c>
    </row>
    <row r="179" ht="15" customHeight="1">
      <c r="A179" s="149" t="n">
        <v>4</v>
      </c>
      <c r="B179" s="150" t="inlineStr">
        <is>
          <t>MSX 15</t>
        </is>
      </c>
      <c r="C179" s="58" t="inlineStr">
        <is>
          <t>LVP</t>
        </is>
      </c>
      <c r="D179" s="29" t="inlineStr">
        <is>
          <t>Top</t>
        </is>
      </c>
      <c r="E179" s="29" t="n">
        <v>60</v>
      </c>
      <c r="F179" s="29" t="inlineStr">
        <is>
          <t>Passing</t>
        </is>
      </c>
      <c r="G179" s="29" t="inlineStr">
        <is>
          <t>MSX 15 LVP</t>
        </is>
      </c>
      <c r="H179" s="29" t="inlineStr">
        <is>
          <t>61 X 75</t>
        </is>
      </c>
      <c r="I179" s="29" t="inlineStr">
        <is>
          <t>19 X 23</t>
        </is>
      </c>
      <c r="J179" s="29" t="n">
        <v>49</v>
      </c>
      <c r="K179" s="114" t="n">
        <v>10000</v>
      </c>
      <c r="L179" s="31">
        <f>K179/J179</f>
        <v/>
      </c>
      <c r="M179" s="32" t="n">
        <v>1.103988603988604</v>
      </c>
      <c r="N179" s="31">
        <f>LEFT(I179,FIND("X",I179)-1)*RIGHT(I179,LEN(I179)-FIND("X",I179)-1)*M179</f>
        <v/>
      </c>
      <c r="O179" s="33">
        <f>(N179*L179)/1000</f>
        <v/>
      </c>
    </row>
    <row r="180" ht="15.75" customHeight="1" thickBot="1">
      <c r="A180" s="133" t="n"/>
      <c r="B180" s="133" t="n"/>
      <c r="C180" s="59" t="n"/>
      <c r="D180" s="11" t="inlineStr">
        <is>
          <t>Bottom</t>
        </is>
      </c>
      <c r="E180" s="11" t="n"/>
      <c r="F180" s="11" t="n"/>
      <c r="G180" s="11" t="n"/>
      <c r="H180" s="11" t="n"/>
      <c r="I180" s="11" t="n"/>
      <c r="J180" s="11" t="n"/>
      <c r="K180" s="34" t="n">
        <v>10000</v>
      </c>
      <c r="L180" s="14">
        <f>K180/J180</f>
        <v/>
      </c>
      <c r="M180" s="15" t="e">
        <v>#N/A</v>
      </c>
      <c r="N180" s="14">
        <f>LEFT(I180,FIND("X",I180)-1)*RIGHT(I180,LEN(I180)-FIND("X",I180)-1)*M180</f>
        <v/>
      </c>
      <c r="O180" s="16">
        <f>(N180*L180)/1000</f>
        <v/>
      </c>
    </row>
    <row r="181" ht="15.75" customHeight="1" thickBot="1">
      <c r="A181" s="135" t="n"/>
      <c r="B181" s="135" t="n"/>
      <c r="C181" s="22" t="inlineStr">
        <is>
          <t>SCFG</t>
        </is>
      </c>
      <c r="D181" s="23" t="inlineStr">
        <is>
          <t>-</t>
        </is>
      </c>
      <c r="E181" s="23" t="n">
        <v>15</v>
      </c>
      <c r="F181" s="23" t="inlineStr">
        <is>
          <t>Single</t>
        </is>
      </c>
      <c r="G181" s="23" t="inlineStr">
        <is>
          <t>MSX 15 SCFG</t>
        </is>
      </c>
      <c r="H181" s="23" t="inlineStr">
        <is>
          <t>75 X 89</t>
        </is>
      </c>
      <c r="I181" s="23" t="inlineStr">
        <is>
          <t>22 X 26</t>
        </is>
      </c>
      <c r="J181" s="23" t="n">
        <v>36</v>
      </c>
      <c r="K181" s="115" t="n">
        <v>10000</v>
      </c>
      <c r="L181" s="25">
        <f>K181/J181</f>
        <v/>
      </c>
      <c r="M181" s="26" t="n">
        <v>0.3381642512077295</v>
      </c>
      <c r="N181" s="25">
        <f>LEFT(I181,FIND("X",I181)-1)*RIGHT(I181,LEN(I181)-FIND("X",I181)-1)*M181</f>
        <v/>
      </c>
      <c r="O181" s="27">
        <f>(N181*L181)/1000</f>
        <v/>
      </c>
    </row>
    <row r="182" ht="15" customHeight="1">
      <c r="A182" s="149" t="n">
        <v>5</v>
      </c>
      <c r="B182" s="150" t="inlineStr">
        <is>
          <t>MSX 16</t>
        </is>
      </c>
      <c r="C182" s="58" t="inlineStr">
        <is>
          <t>LVP</t>
        </is>
      </c>
      <c r="D182" s="29" t="inlineStr">
        <is>
          <t>Top</t>
        </is>
      </c>
      <c r="E182" s="29" t="n">
        <v>90</v>
      </c>
      <c r="F182" s="29" t="inlineStr">
        <is>
          <t>Passing</t>
        </is>
      </c>
      <c r="G182" s="29" t="inlineStr">
        <is>
          <t>MSX 16 LVP</t>
        </is>
      </c>
      <c r="H182" s="29" t="inlineStr">
        <is>
          <t>51 X 95</t>
        </is>
      </c>
      <c r="I182" s="29" t="inlineStr">
        <is>
          <t>20.5 X 21</t>
        </is>
      </c>
      <c r="J182" s="29" t="n">
        <v>45</v>
      </c>
      <c r="K182" s="114" t="n"/>
      <c r="L182" s="31">
        <f>K182/J182</f>
        <v/>
      </c>
      <c r="M182" s="32" t="n">
        <v>1.605797101449275</v>
      </c>
      <c r="N182" s="31">
        <f>LEFT(I182,FIND("X",I182)-1)*RIGHT(I182,LEN(I182)-FIND("X",I182)-1)*M182</f>
        <v/>
      </c>
      <c r="O182" s="33">
        <f>(N182*L182)/1000</f>
        <v/>
      </c>
    </row>
    <row r="183" ht="15" customHeight="1">
      <c r="A183" s="133" t="n"/>
      <c r="B183" s="133" t="n"/>
      <c r="C183" s="59" t="n"/>
      <c r="D183" s="11" t="inlineStr">
        <is>
          <t>Bottom</t>
        </is>
      </c>
      <c r="E183" s="11" t="n"/>
      <c r="F183" s="11" t="n"/>
      <c r="G183" s="11" t="n"/>
      <c r="H183" s="11" t="n"/>
      <c r="I183" s="11" t="n"/>
      <c r="J183" s="11" t="n"/>
      <c r="K183" s="34" t="n"/>
      <c r="L183" s="14">
        <f>K183/J183</f>
        <v/>
      </c>
      <c r="M183" s="15" t="e">
        <v>#N/A</v>
      </c>
      <c r="N183" s="14">
        <f>LEFT(I183,FIND("X",I183)-1)*RIGHT(I183,LEN(I183)-FIND("X",I183)-1)*M183</f>
        <v/>
      </c>
      <c r="O183" s="16">
        <f>(N183*L183)/1000</f>
        <v/>
      </c>
    </row>
    <row r="184" ht="15.75" customHeight="1" thickBot="1">
      <c r="A184" s="135" t="n"/>
      <c r="B184" s="135" t="n"/>
      <c r="C184" s="22" t="inlineStr">
        <is>
          <t>SCFG</t>
        </is>
      </c>
      <c r="D184" s="23" t="inlineStr">
        <is>
          <t>-</t>
        </is>
      </c>
      <c r="E184" s="23" t="n">
        <v>15</v>
      </c>
      <c r="F184" s="23" t="inlineStr">
        <is>
          <t>Single</t>
        </is>
      </c>
      <c r="G184" s="23" t="inlineStr">
        <is>
          <t>MSX 16 SCFG</t>
        </is>
      </c>
      <c r="H184" s="23" t="inlineStr">
        <is>
          <t>63 X 108</t>
        </is>
      </c>
      <c r="I184" s="23" t="inlineStr">
        <is>
          <t>23 X 25</t>
        </is>
      </c>
      <c r="J184" s="23" t="n">
        <v>35</v>
      </c>
      <c r="K184" s="115" t="n"/>
      <c r="L184" s="25">
        <f>K184/J184</f>
        <v/>
      </c>
      <c r="M184" s="26" t="n">
        <v>0.3381642512077295</v>
      </c>
      <c r="N184" s="25">
        <f>LEFT(I184,FIND("X",I184)-1)*RIGHT(I184,LEN(I184)-FIND("X",I184)-1)*M184</f>
        <v/>
      </c>
      <c r="O184" s="27">
        <f>(N184*L184)/1000</f>
        <v/>
      </c>
    </row>
    <row r="185" ht="15" customHeight="1">
      <c r="A185" s="149" t="n">
        <v>6</v>
      </c>
      <c r="B185" s="150" t="inlineStr">
        <is>
          <t>MSX 20</t>
        </is>
      </c>
      <c r="C185" s="58" t="inlineStr">
        <is>
          <t>LVP</t>
        </is>
      </c>
      <c r="D185" s="29" t="inlineStr">
        <is>
          <t>Top</t>
        </is>
      </c>
      <c r="E185" s="29" t="n">
        <v>100</v>
      </c>
      <c r="F185" s="29" t="inlineStr">
        <is>
          <t>Passing</t>
        </is>
      </c>
      <c r="G185" s="29" t="inlineStr">
        <is>
          <t>MSX 20 LVP</t>
        </is>
      </c>
      <c r="H185" s="29" t="inlineStr">
        <is>
          <t>53 X 99</t>
        </is>
      </c>
      <c r="I185" s="29" t="inlineStr">
        <is>
          <t>14.5 X 21.5</t>
        </is>
      </c>
      <c r="J185" s="29" t="n">
        <v>30</v>
      </c>
      <c r="K185" s="114" t="n">
        <v>2750</v>
      </c>
      <c r="L185" s="31">
        <f>K185/J185</f>
        <v/>
      </c>
      <c r="M185" s="32" t="n">
        <v>1.906191369606004</v>
      </c>
      <c r="N185" s="31">
        <f>LEFT(I185,FIND("X",I185)-1)*RIGHT(I185,LEN(I185)-FIND("X",I185)-1)*M185</f>
        <v/>
      </c>
      <c r="O185" s="33">
        <f>(N185*L185)/1000</f>
        <v/>
      </c>
    </row>
    <row r="186" ht="15" customHeight="1">
      <c r="A186" s="133" t="n"/>
      <c r="B186" s="133" t="n"/>
      <c r="C186" s="59" t="n"/>
      <c r="D186" s="11" t="inlineStr">
        <is>
          <t>Bottom</t>
        </is>
      </c>
      <c r="E186" s="11" t="n"/>
      <c r="F186" s="11" t="n"/>
      <c r="G186" s="11" t="n"/>
      <c r="H186" s="11" t="n"/>
      <c r="I186" s="11" t="n"/>
      <c r="J186" s="11" t="n"/>
      <c r="K186" s="34" t="n">
        <v>2750</v>
      </c>
      <c r="L186" s="14">
        <f>K186/J186</f>
        <v/>
      </c>
      <c r="M186" s="15" t="e">
        <v>#N/A</v>
      </c>
      <c r="N186" s="14">
        <f>LEFT(I186,FIND("X",I186)-1)*RIGHT(I186,LEN(I186)-FIND("X",I186)-1)*M186</f>
        <v/>
      </c>
      <c r="O186" s="16">
        <f>(N186*L186)/1000</f>
        <v/>
      </c>
    </row>
    <row r="187" ht="15.75" customHeight="1" thickBot="1">
      <c r="A187" s="135" t="n"/>
      <c r="B187" s="135" t="n"/>
      <c r="C187" s="22" t="inlineStr">
        <is>
          <t>SCFG</t>
        </is>
      </c>
      <c r="D187" s="23" t="inlineStr">
        <is>
          <t>-</t>
        </is>
      </c>
      <c r="E187" s="23" t="n">
        <v>15</v>
      </c>
      <c r="F187" s="23" t="inlineStr">
        <is>
          <t>Single</t>
        </is>
      </c>
      <c r="G187" s="23" t="inlineStr">
        <is>
          <t>MSX 20 SCFG</t>
        </is>
      </c>
      <c r="H187" s="23" t="inlineStr">
        <is>
          <t>71 X 117</t>
        </is>
      </c>
      <c r="I187" s="23" t="inlineStr">
        <is>
          <t>22 X 25</t>
        </is>
      </c>
      <c r="J187" s="23" t="n">
        <v>28</v>
      </c>
      <c r="K187" s="115" t="n">
        <v>2750</v>
      </c>
      <c r="L187" s="25">
        <f>K187/J187</f>
        <v/>
      </c>
      <c r="M187" s="26" t="n">
        <v>0.3381642512077295</v>
      </c>
      <c r="N187" s="25">
        <f>LEFT(I187,FIND("X",I187)-1)*RIGHT(I187,LEN(I187)-FIND("X",I187)-1)*M187</f>
        <v/>
      </c>
      <c r="O187" s="27">
        <f>(N187*L187)/1000</f>
        <v/>
      </c>
    </row>
    <row r="188" ht="15" customHeight="1">
      <c r="A188" s="149" t="n">
        <v>7</v>
      </c>
      <c r="B188" s="150" t="inlineStr">
        <is>
          <t>MSX 22</t>
        </is>
      </c>
      <c r="C188" s="138" t="inlineStr">
        <is>
          <t>LVP</t>
        </is>
      </c>
      <c r="D188" s="29" t="inlineStr">
        <is>
          <t>Top</t>
        </is>
      </c>
      <c r="E188" s="29" t="n">
        <v>40</v>
      </c>
      <c r="F188" s="29" t="inlineStr">
        <is>
          <t>Single</t>
        </is>
      </c>
      <c r="G188" s="29" t="inlineStr">
        <is>
          <t>MSX 22 LVP</t>
        </is>
      </c>
      <c r="H188" s="29" t="inlineStr">
        <is>
          <t>60 X 140</t>
        </is>
      </c>
      <c r="I188" s="29" t="inlineStr">
        <is>
          <t>20 X 24</t>
        </is>
      </c>
      <c r="J188" s="29" t="n">
        <v>28</v>
      </c>
      <c r="K188" s="114" t="n">
        <v>500</v>
      </c>
      <c r="L188" s="31">
        <f>K188/J188</f>
        <v/>
      </c>
      <c r="M188" s="32" t="n">
        <v>0.6977821913273751</v>
      </c>
      <c r="N188" s="31">
        <f>LEFT(I188,FIND("X",I188)-1)*RIGHT(I188,LEN(I188)-FIND("X",I188)-1)*M188</f>
        <v/>
      </c>
      <c r="O188" s="33">
        <f>(N188*L188)/1000</f>
        <v/>
      </c>
    </row>
    <row r="189" ht="15" customHeight="1">
      <c r="A189" s="133" t="n"/>
      <c r="B189" s="133" t="n"/>
      <c r="C189" s="136" t="n"/>
      <c r="D189" s="11" t="inlineStr">
        <is>
          <t>Bottom</t>
        </is>
      </c>
      <c r="E189" s="11" t="n">
        <v>40</v>
      </c>
      <c r="F189" s="29" t="inlineStr">
        <is>
          <t>Single</t>
        </is>
      </c>
      <c r="G189" s="29" t="inlineStr">
        <is>
          <t>MSX 22 LVP</t>
        </is>
      </c>
      <c r="H189" s="29" t="inlineStr">
        <is>
          <t>60 X 140</t>
        </is>
      </c>
      <c r="I189" s="29" t="inlineStr">
        <is>
          <t>20 X 24</t>
        </is>
      </c>
      <c r="J189" s="29" t="n">
        <v>28</v>
      </c>
      <c r="K189" s="34" t="n">
        <v>500</v>
      </c>
      <c r="L189" s="14">
        <f>K189/J189</f>
        <v/>
      </c>
      <c r="M189" s="15" t="n">
        <v>0.6977821913273751</v>
      </c>
      <c r="N189" s="14">
        <f>LEFT(I189,FIND("X",I189)-1)*RIGHT(I189,LEN(I189)-FIND("X",I189)-1)*M189</f>
        <v/>
      </c>
      <c r="O189" s="16">
        <f>(N189*L189)/1000</f>
        <v/>
      </c>
    </row>
    <row r="190" ht="15" customHeight="1">
      <c r="A190" s="135" t="n"/>
      <c r="B190" s="135" t="n"/>
      <c r="C190" s="22" t="inlineStr">
        <is>
          <t>SCFG</t>
        </is>
      </c>
      <c r="D190" s="23" t="inlineStr">
        <is>
          <t>-</t>
        </is>
      </c>
      <c r="E190" s="23" t="n">
        <v>15</v>
      </c>
      <c r="F190" s="23" t="inlineStr">
        <is>
          <t>Single</t>
        </is>
      </c>
      <c r="G190" s="23" t="inlineStr">
        <is>
          <t>MSX 22 SCFG</t>
        </is>
      </c>
      <c r="H190" s="23" t="inlineStr">
        <is>
          <t>80 X 160</t>
        </is>
      </c>
      <c r="I190" s="23" t="inlineStr">
        <is>
          <t>21 X 23.5</t>
        </is>
      </c>
      <c r="J190" s="23" t="n">
        <v>18</v>
      </c>
      <c r="K190" s="115" t="n">
        <v>500</v>
      </c>
      <c r="L190" s="25">
        <f>K190/J190</f>
        <v/>
      </c>
      <c r="M190" s="26" t="n">
        <v>0.3381642512077295</v>
      </c>
      <c r="N190" s="25">
        <f>LEFT(I190,FIND("X",I190)-1)*RIGHT(I190,LEN(I190)-FIND("X",I190)-1)*M190</f>
        <v/>
      </c>
      <c r="O190" s="27">
        <f>(N190*L190)/1000</f>
        <v/>
      </c>
    </row>
    <row r="191" ht="15" customHeight="1">
      <c r="A191" s="149" t="n">
        <v>8</v>
      </c>
      <c r="B191" s="150" t="inlineStr">
        <is>
          <t>MSX 24</t>
        </is>
      </c>
      <c r="C191" s="138" t="inlineStr">
        <is>
          <t>LVP</t>
        </is>
      </c>
      <c r="D191" s="29" t="inlineStr">
        <is>
          <t>Top</t>
        </is>
      </c>
      <c r="E191" s="29" t="n">
        <v>40</v>
      </c>
      <c r="F191" s="29" t="inlineStr">
        <is>
          <t>Single</t>
        </is>
      </c>
      <c r="G191" s="29" t="inlineStr">
        <is>
          <t>MSX 24 LVP</t>
        </is>
      </c>
      <c r="H191" s="29" t="inlineStr">
        <is>
          <t>61 X 198</t>
        </is>
      </c>
      <c r="I191" s="29" t="inlineStr">
        <is>
          <t>20 X 25</t>
        </is>
      </c>
      <c r="J191" s="29" t="n">
        <v>21</v>
      </c>
      <c r="K191" s="114" t="n">
        <v>200</v>
      </c>
      <c r="L191" s="31">
        <f>K191/J191</f>
        <v/>
      </c>
      <c r="M191" s="32" t="n">
        <v>0.6977821913273751</v>
      </c>
      <c r="N191" s="31">
        <f>LEFT(I191,FIND("X",I191)-1)*RIGHT(I191,LEN(I191)-FIND("X",I191)-1)*M191</f>
        <v/>
      </c>
      <c r="O191" s="33">
        <f>(N191*L191)/1000</f>
        <v/>
      </c>
    </row>
    <row r="192" ht="15" customHeight="1">
      <c r="A192" s="133" t="n"/>
      <c r="B192" s="133" t="n"/>
      <c r="C192" s="136" t="n"/>
      <c r="D192" s="11" t="inlineStr">
        <is>
          <t>Bottom</t>
        </is>
      </c>
      <c r="E192" s="11" t="n">
        <v>40</v>
      </c>
      <c r="F192" s="29" t="inlineStr">
        <is>
          <t>Single</t>
        </is>
      </c>
      <c r="G192" s="29" t="inlineStr">
        <is>
          <t>MSX 24 LVP</t>
        </is>
      </c>
      <c r="H192" s="29" t="inlineStr">
        <is>
          <t>61 X 198</t>
        </is>
      </c>
      <c r="I192" s="29" t="inlineStr">
        <is>
          <t>23 X 25</t>
        </is>
      </c>
      <c r="J192" s="29" t="n">
        <v>24</v>
      </c>
      <c r="K192" s="34" t="n">
        <v>200</v>
      </c>
      <c r="L192" s="14">
        <f>K192/J192</f>
        <v/>
      </c>
      <c r="M192" s="15" t="n">
        <v>0.6977821913273751</v>
      </c>
      <c r="N192" s="14">
        <f>LEFT(I192,FIND("X",I192)-1)*RIGHT(I192,LEN(I192)-FIND("X",I192)-1)*M192</f>
        <v/>
      </c>
      <c r="O192" s="16">
        <f>(N192*L192)/1000</f>
        <v/>
      </c>
    </row>
    <row r="193" ht="15" customHeight="1">
      <c r="A193" s="135" t="n"/>
      <c r="B193" s="135" t="n"/>
      <c r="C193" s="22" t="inlineStr">
        <is>
          <t>SCFG</t>
        </is>
      </c>
      <c r="D193" s="23" t="inlineStr">
        <is>
          <t>-</t>
        </is>
      </c>
      <c r="E193" s="23" t="n">
        <v>15</v>
      </c>
      <c r="F193" s="23" t="inlineStr">
        <is>
          <t>Single</t>
        </is>
      </c>
      <c r="G193" s="23" t="inlineStr">
        <is>
          <t>MSX 24 SCFG</t>
        </is>
      </c>
      <c r="H193" s="23" t="inlineStr">
        <is>
          <t>78 X 221</t>
        </is>
      </c>
      <c r="I193" s="23" t="inlineStr">
        <is>
          <t>19 X 23</t>
        </is>
      </c>
      <c r="J193" s="23" t="n">
        <v>12</v>
      </c>
      <c r="K193" s="115" t="n">
        <v>200</v>
      </c>
      <c r="L193" s="25">
        <f>K193/J193</f>
        <v/>
      </c>
      <c r="M193" s="26" t="n">
        <v>0.3381642512077295</v>
      </c>
      <c r="N193" s="25">
        <f>LEFT(I193,FIND("X",I193)-1)*RIGHT(I193,LEN(I193)-FIND("X",I193)-1)*M193</f>
        <v/>
      </c>
      <c r="O193" s="27">
        <f>(N193*L193)/1000</f>
        <v/>
      </c>
    </row>
    <row r="194" ht="15" customHeight="1">
      <c r="A194" s="149" t="n">
        <v>9</v>
      </c>
      <c r="B194" s="150" t="inlineStr">
        <is>
          <t>MSX 25</t>
        </is>
      </c>
      <c r="C194" s="138" t="inlineStr">
        <is>
          <t>LVP</t>
        </is>
      </c>
      <c r="D194" s="29" t="inlineStr">
        <is>
          <t>Top</t>
        </is>
      </c>
      <c r="E194" s="29" t="n">
        <v>40</v>
      </c>
      <c r="F194" s="29" t="inlineStr">
        <is>
          <t>Single</t>
        </is>
      </c>
      <c r="G194" s="29" t="inlineStr">
        <is>
          <t>MSX 25 TOP LVP</t>
        </is>
      </c>
      <c r="H194" s="29" t="inlineStr">
        <is>
          <t>90 X 108</t>
        </is>
      </c>
      <c r="I194" s="29" t="inlineStr">
        <is>
          <t>24 X 24</t>
        </is>
      </c>
      <c r="J194" s="29" t="n">
        <v>30</v>
      </c>
      <c r="K194" s="114" t="n"/>
      <c r="L194" s="31">
        <f>K194/J194</f>
        <v/>
      </c>
      <c r="M194" s="32" t="n">
        <v>0.6977821913273751</v>
      </c>
      <c r="N194" s="31">
        <f>LEFT(I194,FIND("X",I194)-1)*RIGHT(I194,LEN(I194)-FIND("X",I194)-1)*M194</f>
        <v/>
      </c>
      <c r="O194" s="33">
        <f>(N194*L194)/1000</f>
        <v/>
      </c>
    </row>
    <row r="195" ht="15" customHeight="1">
      <c r="A195" s="133" t="n"/>
      <c r="B195" s="133" t="n"/>
      <c r="C195" s="136" t="n"/>
      <c r="D195" s="11" t="inlineStr">
        <is>
          <t>Bottom</t>
        </is>
      </c>
      <c r="E195" s="11" t="n">
        <v>40</v>
      </c>
      <c r="F195" s="29" t="inlineStr">
        <is>
          <t>Single</t>
        </is>
      </c>
      <c r="G195" s="11" t="inlineStr">
        <is>
          <t>MSX 25 BOT LVP</t>
        </is>
      </c>
      <c r="H195" s="11" t="inlineStr">
        <is>
          <t>100 X 118</t>
        </is>
      </c>
      <c r="I195" s="11" t="inlineStr">
        <is>
          <t>20.5 X 22</t>
        </is>
      </c>
      <c r="J195" s="11" t="n">
        <v>20</v>
      </c>
      <c r="K195" s="34" t="n"/>
      <c r="L195" s="14">
        <f>K195/J195</f>
        <v/>
      </c>
      <c r="M195" s="15" t="n">
        <v>0.6977821913273751</v>
      </c>
      <c r="N195" s="14">
        <f>LEFT(I195,FIND("X",I195)-1)*RIGHT(I195,LEN(I195)-FIND("X",I195)-1)*M195</f>
        <v/>
      </c>
      <c r="O195" s="16">
        <f>(N195*L195)/1000</f>
        <v/>
      </c>
    </row>
    <row r="196" ht="15" customHeight="1">
      <c r="A196" s="135" t="n"/>
      <c r="B196" s="135" t="n"/>
      <c r="C196" s="22" t="inlineStr">
        <is>
          <t>SCFG</t>
        </is>
      </c>
      <c r="D196" s="23" t="inlineStr">
        <is>
          <t>-</t>
        </is>
      </c>
      <c r="E196" s="23" t="n">
        <v>15</v>
      </c>
      <c r="F196" s="23" t="inlineStr">
        <is>
          <t>Single</t>
        </is>
      </c>
      <c r="G196" s="23" t="inlineStr">
        <is>
          <t>MSX 25 SCFG</t>
        </is>
      </c>
      <c r="H196" s="23" t="inlineStr">
        <is>
          <t>116 X 136</t>
        </is>
      </c>
      <c r="I196" s="23" t="inlineStr">
        <is>
          <t>21.5 X 24.5</t>
        </is>
      </c>
      <c r="J196" s="23" t="n">
        <v>16</v>
      </c>
      <c r="K196" s="115" t="n"/>
      <c r="L196" s="25">
        <f>K196/J196</f>
        <v/>
      </c>
      <c r="M196" s="26" t="n">
        <v>0.3381642512077295</v>
      </c>
      <c r="N196" s="25">
        <f>LEFT(I196,FIND("X",I196)-1)*RIGHT(I196,LEN(I196)-FIND("X",I196)-1)*M196</f>
        <v/>
      </c>
      <c r="O196" s="27">
        <f>(N196*L196)/1000</f>
        <v/>
      </c>
    </row>
    <row r="197" ht="15" customHeight="1">
      <c r="A197" s="149" t="n">
        <v>10</v>
      </c>
      <c r="B197" s="150" t="inlineStr">
        <is>
          <t>MSX 26</t>
        </is>
      </c>
      <c r="C197" s="138" t="inlineStr">
        <is>
          <t>LVP</t>
        </is>
      </c>
      <c r="D197" s="29" t="inlineStr">
        <is>
          <t>Top</t>
        </is>
      </c>
      <c r="E197" s="29" t="n">
        <v>40</v>
      </c>
      <c r="F197" s="29" t="inlineStr">
        <is>
          <t>Single</t>
        </is>
      </c>
      <c r="G197" s="29" t="inlineStr">
        <is>
          <t>MSX 26 LVP</t>
        </is>
      </c>
      <c r="H197" s="29" t="inlineStr">
        <is>
          <t>64 X 248</t>
        </is>
      </c>
      <c r="I197" s="29" t="inlineStr">
        <is>
          <t>21 X 24</t>
        </is>
      </c>
      <c r="J197" s="29" t="n">
        <v>16</v>
      </c>
      <c r="K197" s="114" t="n"/>
      <c r="L197" s="31">
        <f>K197/J197</f>
        <v/>
      </c>
      <c r="M197" s="32" t="n">
        <v>0.6977821913273751</v>
      </c>
      <c r="N197" s="31">
        <f>LEFT(I197,FIND("X",I197)-1)*RIGHT(I197,LEN(I197)-FIND("X",I197)-1)*M197</f>
        <v/>
      </c>
      <c r="O197" s="33">
        <f>(N197*L197)/1000</f>
        <v/>
      </c>
    </row>
    <row r="198" ht="15" customHeight="1">
      <c r="A198" s="133" t="n"/>
      <c r="B198" s="133" t="n"/>
      <c r="C198" s="136" t="n"/>
      <c r="D198" s="11" t="inlineStr">
        <is>
          <t>Bottom</t>
        </is>
      </c>
      <c r="E198" s="11" t="n">
        <v>40</v>
      </c>
      <c r="F198" s="29" t="inlineStr">
        <is>
          <t>Single</t>
        </is>
      </c>
      <c r="G198" s="29" t="inlineStr">
        <is>
          <t>MSX 26 LVP</t>
        </is>
      </c>
      <c r="H198" s="29" t="inlineStr">
        <is>
          <t>64 X 248</t>
        </is>
      </c>
      <c r="I198" s="29" t="inlineStr">
        <is>
          <t>21 X 24</t>
        </is>
      </c>
      <c r="J198" s="29" t="n">
        <v>16</v>
      </c>
      <c r="K198" s="34" t="n"/>
      <c r="L198" s="14">
        <f>K198/J198</f>
        <v/>
      </c>
      <c r="M198" s="15" t="n">
        <v>0.6977821913273751</v>
      </c>
      <c r="N198" s="14">
        <f>LEFT(I198,FIND("X",I198)-1)*RIGHT(I198,LEN(I198)-FIND("X",I198)-1)*M198</f>
        <v/>
      </c>
      <c r="O198" s="16">
        <f>(N198*L198)/1000</f>
        <v/>
      </c>
    </row>
    <row r="199" ht="15" customHeight="1">
      <c r="A199" s="135" t="n"/>
      <c r="B199" s="135" t="n"/>
      <c r="C199" s="22" t="inlineStr">
        <is>
          <t>SCFG</t>
        </is>
      </c>
      <c r="D199" s="23" t="inlineStr">
        <is>
          <t>-</t>
        </is>
      </c>
      <c r="E199" s="23" t="n">
        <v>15</v>
      </c>
      <c r="F199" s="23" t="inlineStr">
        <is>
          <t>Single</t>
        </is>
      </c>
      <c r="G199" s="23" t="inlineStr">
        <is>
          <t>MSX 26 SCFG</t>
        </is>
      </c>
      <c r="H199" s="23" t="inlineStr">
        <is>
          <t>85 X 270</t>
        </is>
      </c>
      <c r="I199" s="23" t="inlineStr">
        <is>
          <t>23 X 25</t>
        </is>
      </c>
      <c r="J199" s="23" t="n">
        <v>12</v>
      </c>
      <c r="K199" s="115" t="n"/>
      <c r="L199" s="25">
        <f>K199/J199</f>
        <v/>
      </c>
      <c r="M199" s="26" t="n">
        <v>0.3381642512077295</v>
      </c>
      <c r="N199" s="25">
        <f>LEFT(I199,FIND("X",I199)-1)*RIGHT(I199,LEN(I199)-FIND("X",I199)-1)*M199</f>
        <v/>
      </c>
      <c r="O199" s="27">
        <f>(N199*L199)/1000</f>
        <v/>
      </c>
    </row>
    <row r="200" ht="15" customHeight="1">
      <c r="A200" s="149" t="n">
        <v>11</v>
      </c>
      <c r="B200" s="150" t="inlineStr">
        <is>
          <t>MSX 28</t>
        </is>
      </c>
      <c r="C200" s="138" t="inlineStr">
        <is>
          <t>LVP</t>
        </is>
      </c>
      <c r="D200" s="29" t="inlineStr">
        <is>
          <t>Top</t>
        </is>
      </c>
      <c r="E200" s="29" t="n">
        <v>40</v>
      </c>
      <c r="F200" s="29" t="inlineStr">
        <is>
          <t>Single</t>
        </is>
      </c>
      <c r="G200" s="29" t="inlineStr">
        <is>
          <t>MSX 28 LVP</t>
        </is>
      </c>
      <c r="H200" s="29" t="inlineStr">
        <is>
          <t>58 X 311</t>
        </is>
      </c>
      <c r="I200" s="29" t="inlineStr">
        <is>
          <t>22.5 X 25.5</t>
        </is>
      </c>
      <c r="J200" s="29" t="n">
        <v>16</v>
      </c>
      <c r="K200" s="114" t="n"/>
      <c r="L200" s="31">
        <f>K200/J200</f>
        <v/>
      </c>
      <c r="M200" s="32" t="n">
        <v>0.6977821913273751</v>
      </c>
      <c r="N200" s="31">
        <f>LEFT(I200,FIND("X",I200)-1)*RIGHT(I200,LEN(I200)-FIND("X",I200)-1)*M200</f>
        <v/>
      </c>
      <c r="O200" s="33">
        <f>(N200*L200)/1000</f>
        <v/>
      </c>
    </row>
    <row r="201" ht="15" customHeight="1">
      <c r="A201" s="133" t="n"/>
      <c r="B201" s="133" t="n"/>
      <c r="C201" s="136" t="n"/>
      <c r="D201" s="11" t="inlineStr">
        <is>
          <t>Bottom</t>
        </is>
      </c>
      <c r="E201" s="11" t="n">
        <v>40</v>
      </c>
      <c r="F201" s="29" t="inlineStr">
        <is>
          <t>Single</t>
        </is>
      </c>
      <c r="G201" s="29" t="inlineStr">
        <is>
          <t>MSX 28 LVP</t>
        </is>
      </c>
      <c r="H201" s="29" t="inlineStr">
        <is>
          <t>58 X 311</t>
        </is>
      </c>
      <c r="I201" s="29" t="inlineStr">
        <is>
          <t>22.5 X 25.5</t>
        </is>
      </c>
      <c r="J201" s="29" t="n">
        <v>16</v>
      </c>
      <c r="K201" s="34" t="n"/>
      <c r="L201" s="14">
        <f>K201/J201</f>
        <v/>
      </c>
      <c r="M201" s="15" t="n">
        <v>0.6977821913273751</v>
      </c>
      <c r="N201" s="14">
        <f>LEFT(I201,FIND("X",I201)-1)*RIGHT(I201,LEN(I201)-FIND("X",I201)-1)*M201</f>
        <v/>
      </c>
      <c r="O201" s="16">
        <f>(N201*L201)/1000</f>
        <v/>
      </c>
    </row>
    <row r="202" ht="15" customHeight="1">
      <c r="A202" s="135" t="n"/>
      <c r="B202" s="135" t="n"/>
      <c r="C202" s="22" t="inlineStr">
        <is>
          <t>SCFG</t>
        </is>
      </c>
      <c r="D202" s="23" t="inlineStr">
        <is>
          <t>-</t>
        </is>
      </c>
      <c r="E202" s="23" t="n">
        <v>15</v>
      </c>
      <c r="F202" s="23" t="inlineStr">
        <is>
          <t>Single</t>
        </is>
      </c>
      <c r="G202" s="23" t="inlineStr">
        <is>
          <t>MSX 28 SCFG</t>
        </is>
      </c>
      <c r="H202" s="23" t="inlineStr">
        <is>
          <t>74 X 333</t>
        </is>
      </c>
      <c r="I202" s="23" t="inlineStr">
        <is>
          <t>18.5 X 69.5</t>
        </is>
      </c>
      <c r="J202" s="23" t="n">
        <v>25</v>
      </c>
      <c r="K202" s="115" t="n"/>
      <c r="L202" s="25">
        <f>K202/J202</f>
        <v/>
      </c>
      <c r="M202" s="26" t="n">
        <v>0.3381642512077295</v>
      </c>
      <c r="N202" s="25">
        <f>LEFT(I202,FIND("X",I202)-1)*RIGHT(I202,LEN(I202)-FIND("X",I202)-1)*M202</f>
        <v/>
      </c>
      <c r="O202" s="27">
        <f>(N202*L202)/1000</f>
        <v/>
      </c>
    </row>
    <row r="203" ht="15" customHeight="1">
      <c r="A203" s="149" t="n">
        <v>12</v>
      </c>
      <c r="B203" s="150" t="inlineStr">
        <is>
          <t>MSX 33</t>
        </is>
      </c>
      <c r="C203" s="138" t="inlineStr">
        <is>
          <t>LVP</t>
        </is>
      </c>
      <c r="D203" s="29" t="inlineStr">
        <is>
          <t>Top</t>
        </is>
      </c>
      <c r="E203" s="29" t="n">
        <v>40</v>
      </c>
      <c r="F203" s="29" t="inlineStr">
        <is>
          <t>Single</t>
        </is>
      </c>
      <c r="G203" s="29" t="inlineStr">
        <is>
          <t>MSX 33 LVP</t>
        </is>
      </c>
      <c r="H203" s="29" t="inlineStr">
        <is>
          <t>80 X 110</t>
        </is>
      </c>
      <c r="I203" s="29" t="inlineStr">
        <is>
          <t>22 X 24</t>
        </is>
      </c>
      <c r="J203" s="29" t="n">
        <v>30</v>
      </c>
      <c r="K203" s="114" t="n">
        <v>500</v>
      </c>
      <c r="L203" s="31">
        <f>K203/J203</f>
        <v/>
      </c>
      <c r="M203" s="32" t="n">
        <v>0.6977821913273751</v>
      </c>
      <c r="N203" s="31">
        <f>LEFT(I203,FIND("X",I203)-1)*RIGHT(I203,LEN(I203)-FIND("X",I203)-1)*M203</f>
        <v/>
      </c>
      <c r="O203" s="33">
        <f>(N203*L203)/1000</f>
        <v/>
      </c>
    </row>
    <row r="204" ht="15" customHeight="1">
      <c r="A204" s="133" t="n"/>
      <c r="B204" s="133" t="n"/>
      <c r="C204" s="136" t="n"/>
      <c r="D204" s="11" t="inlineStr">
        <is>
          <t>Bottom</t>
        </is>
      </c>
      <c r="E204" s="11" t="n">
        <v>40</v>
      </c>
      <c r="F204" s="29" t="inlineStr">
        <is>
          <t>Single</t>
        </is>
      </c>
      <c r="G204" s="29" t="inlineStr">
        <is>
          <t>MSX 33 LVP</t>
        </is>
      </c>
      <c r="H204" s="29" t="inlineStr">
        <is>
          <t>80 X 110</t>
        </is>
      </c>
      <c r="I204" s="29" t="inlineStr">
        <is>
          <t>22 X 24</t>
        </is>
      </c>
      <c r="J204" s="29" t="n">
        <v>30</v>
      </c>
      <c r="K204" s="34" t="n">
        <v>500</v>
      </c>
      <c r="L204" s="14">
        <f>K204/J204</f>
        <v/>
      </c>
      <c r="M204" s="15" t="n">
        <v>0.6977821913273751</v>
      </c>
      <c r="N204" s="14">
        <f>LEFT(I204,FIND("X",I204)-1)*RIGHT(I204,LEN(I204)-FIND("X",I204)-1)*M204</f>
        <v/>
      </c>
      <c r="O204" s="16">
        <f>(N204*L204)/1000</f>
        <v/>
      </c>
    </row>
    <row r="205" ht="15" customHeight="1">
      <c r="A205" s="135" t="n"/>
      <c r="B205" s="135" t="n"/>
      <c r="C205" s="22" t="inlineStr">
        <is>
          <t>SCFG</t>
        </is>
      </c>
      <c r="D205" s="23" t="inlineStr">
        <is>
          <t>-</t>
        </is>
      </c>
      <c r="E205" s="23" t="n">
        <v>15</v>
      </c>
      <c r="F205" s="23" t="inlineStr">
        <is>
          <t>Single</t>
        </is>
      </c>
      <c r="G205" s="23" t="inlineStr">
        <is>
          <t>MSX 33 SCFG</t>
        </is>
      </c>
      <c r="H205" s="23" t="inlineStr">
        <is>
          <t>100 X 130</t>
        </is>
      </c>
      <c r="I205" s="23" t="inlineStr">
        <is>
          <t>23.5 X 29.5</t>
        </is>
      </c>
      <c r="J205" s="23" t="n">
        <v>25</v>
      </c>
      <c r="K205" s="115" t="n">
        <v>500</v>
      </c>
      <c r="L205" s="25">
        <f>K205/J205</f>
        <v/>
      </c>
      <c r="M205" s="26" t="n">
        <v>0.3381642512077295</v>
      </c>
      <c r="N205" s="25">
        <f>LEFT(I205,FIND("X",I205)-1)*RIGHT(I205,LEN(I205)-FIND("X",I205)-1)*M205</f>
        <v/>
      </c>
      <c r="O205" s="27">
        <f>(N205*L205)/1000</f>
        <v/>
      </c>
    </row>
    <row r="206" ht="15" customHeight="1">
      <c r="A206" s="149" t="n">
        <v>13</v>
      </c>
      <c r="B206" s="150" t="inlineStr">
        <is>
          <t>MSX 35</t>
        </is>
      </c>
      <c r="C206" s="138" t="inlineStr">
        <is>
          <t>LVP</t>
        </is>
      </c>
      <c r="D206" s="29" t="inlineStr">
        <is>
          <t>Top</t>
        </is>
      </c>
      <c r="E206" s="29" t="n">
        <v>40</v>
      </c>
      <c r="F206" s="29" t="inlineStr">
        <is>
          <t>Single</t>
        </is>
      </c>
      <c r="G206" s="29" t="inlineStr">
        <is>
          <t>MSX 35 TOP LVP</t>
        </is>
      </c>
      <c r="H206" s="29" t="inlineStr">
        <is>
          <t>94 X 145</t>
        </is>
      </c>
      <c r="I206" s="29" t="inlineStr">
        <is>
          <t>21 X 25</t>
        </is>
      </c>
      <c r="J206" s="29" t="n">
        <v>20</v>
      </c>
      <c r="K206" s="114" t="n">
        <v>360</v>
      </c>
      <c r="L206" s="31">
        <f>K206/J206</f>
        <v/>
      </c>
      <c r="M206" s="32" t="n">
        <v>0.6977821913273751</v>
      </c>
      <c r="N206" s="31">
        <f>LEFT(I206,FIND("X",I206)-1)*RIGHT(I206,LEN(I206)-FIND("X",I206)-1)*M206</f>
        <v/>
      </c>
      <c r="O206" s="33">
        <f>(N206*L206)/1000</f>
        <v/>
      </c>
    </row>
    <row r="207" ht="15" customHeight="1">
      <c r="A207" s="133" t="n"/>
      <c r="B207" s="133" t="n"/>
      <c r="C207" s="136" t="n"/>
      <c r="D207" s="11" t="inlineStr">
        <is>
          <t>Bottom</t>
        </is>
      </c>
      <c r="E207" s="11" t="n">
        <v>40</v>
      </c>
      <c r="F207" s="29" t="inlineStr">
        <is>
          <t>Single</t>
        </is>
      </c>
      <c r="G207" s="11" t="inlineStr">
        <is>
          <t>MSX 35 BOT LVP</t>
        </is>
      </c>
      <c r="H207" s="11" t="inlineStr">
        <is>
          <t>104 X 154</t>
        </is>
      </c>
      <c r="I207" s="11" t="inlineStr">
        <is>
          <t>20 X 23</t>
        </is>
      </c>
      <c r="J207" s="11" t="n">
        <v>15</v>
      </c>
      <c r="K207" s="34" t="n">
        <v>360</v>
      </c>
      <c r="L207" s="14">
        <f>K207/J207</f>
        <v/>
      </c>
      <c r="M207" s="15" t="n">
        <v>0.6977821913273751</v>
      </c>
      <c r="N207" s="14">
        <f>LEFT(I207,FIND("X",I207)-1)*RIGHT(I207,LEN(I207)-FIND("X",I207)-1)*M207</f>
        <v/>
      </c>
      <c r="O207" s="16">
        <f>(N207*L207)/1000</f>
        <v/>
      </c>
    </row>
    <row r="208" ht="15" customHeight="1">
      <c r="A208" s="135" t="n"/>
      <c r="B208" s="135" t="n"/>
      <c r="C208" s="22" t="inlineStr">
        <is>
          <t>SCFG</t>
        </is>
      </c>
      <c r="D208" s="23" t="inlineStr">
        <is>
          <t>-</t>
        </is>
      </c>
      <c r="E208" s="23" t="n">
        <v>15</v>
      </c>
      <c r="F208" s="23" t="inlineStr">
        <is>
          <t>Single</t>
        </is>
      </c>
      <c r="G208" s="23" t="inlineStr">
        <is>
          <t>MSX 35 SCFG</t>
        </is>
      </c>
      <c r="H208" s="23" t="inlineStr">
        <is>
          <t>122 X 175</t>
        </is>
      </c>
      <c r="I208" s="23" t="inlineStr">
        <is>
          <t>28 X 38.5</t>
        </is>
      </c>
      <c r="J208" s="23" t="n">
        <v>25</v>
      </c>
      <c r="K208" s="115" t="n">
        <v>360</v>
      </c>
      <c r="L208" s="25">
        <f>K208/J208</f>
        <v/>
      </c>
      <c r="M208" s="26" t="n">
        <v>0.3381642512077295</v>
      </c>
      <c r="N208" s="25">
        <f>LEFT(I208,FIND("X",I208)-1)*RIGHT(I208,LEN(I208)-FIND("X",I208)-1)*M208</f>
        <v/>
      </c>
      <c r="O208" s="27">
        <f>(N208*L208)/1000</f>
        <v/>
      </c>
    </row>
    <row r="209" ht="15" customHeight="1">
      <c r="A209" s="149" t="n">
        <v>14</v>
      </c>
      <c r="B209" s="150" t="inlineStr">
        <is>
          <t>MSX 40</t>
        </is>
      </c>
      <c r="C209" s="138" t="inlineStr">
        <is>
          <t>LVP</t>
        </is>
      </c>
      <c r="D209" s="29" t="inlineStr">
        <is>
          <t>Top</t>
        </is>
      </c>
      <c r="E209" s="29" t="n">
        <v>60</v>
      </c>
      <c r="F209" s="29" t="inlineStr">
        <is>
          <t>Single</t>
        </is>
      </c>
      <c r="G209" s="29" t="inlineStr">
        <is>
          <t>MSX 40 TOP LVP</t>
        </is>
      </c>
      <c r="H209" s="29" t="inlineStr">
        <is>
          <t>76 X 168</t>
        </is>
      </c>
      <c r="I209" s="29" t="inlineStr">
        <is>
          <t>21 X 24</t>
        </is>
      </c>
      <c r="J209" s="29" t="n">
        <v>21</v>
      </c>
      <c r="K209" s="114" t="n">
        <v>720</v>
      </c>
      <c r="L209" s="31">
        <f>K209/J209</f>
        <v/>
      </c>
      <c r="M209" s="32" t="n">
        <v>1.103988603988604</v>
      </c>
      <c r="N209" s="31">
        <f>LEFT(I209,FIND("X",I209)-1)*RIGHT(I209,LEN(I209)-FIND("X",I209)-1)*M209</f>
        <v/>
      </c>
      <c r="O209" s="33">
        <f>(N209*L209)/1000</f>
        <v/>
      </c>
    </row>
    <row r="210" ht="15" customHeight="1">
      <c r="A210" s="133" t="n"/>
      <c r="B210" s="133" t="n"/>
      <c r="C210" s="136" t="n"/>
      <c r="D210" s="11" t="inlineStr">
        <is>
          <t>Bottom</t>
        </is>
      </c>
      <c r="E210" s="11" t="n">
        <v>40</v>
      </c>
      <c r="F210" s="29" t="inlineStr">
        <is>
          <t>Single</t>
        </is>
      </c>
      <c r="G210" s="11" t="inlineStr">
        <is>
          <t>MSX 40 BOT LVP</t>
        </is>
      </c>
      <c r="H210" s="11" t="inlineStr">
        <is>
          <t>88 X 178</t>
        </is>
      </c>
      <c r="I210" s="11" t="inlineStr">
        <is>
          <t>20 X 23</t>
        </is>
      </c>
      <c r="J210" s="11" t="n">
        <v>15</v>
      </c>
      <c r="K210" s="34" t="n">
        <v>720</v>
      </c>
      <c r="L210" s="14">
        <f>K210/J210</f>
        <v/>
      </c>
      <c r="M210" s="15" t="n">
        <v>0.6977821913273751</v>
      </c>
      <c r="N210" s="14">
        <f>LEFT(I210,FIND("X",I210)-1)*RIGHT(I210,LEN(I210)-FIND("X",I210)-1)*M210</f>
        <v/>
      </c>
      <c r="O210" s="16">
        <f>(N210*L210)/1000</f>
        <v/>
      </c>
    </row>
    <row r="211" ht="15" customHeight="1">
      <c r="A211" s="135" t="n"/>
      <c r="B211" s="135" t="n"/>
      <c r="C211" s="22" t="inlineStr">
        <is>
          <t>SCFG</t>
        </is>
      </c>
      <c r="D211" s="23" t="inlineStr">
        <is>
          <t>-</t>
        </is>
      </c>
      <c r="E211" s="23" t="n">
        <v>15</v>
      </c>
      <c r="F211" s="23" t="inlineStr">
        <is>
          <t>Single</t>
        </is>
      </c>
      <c r="G211" s="23" t="inlineStr">
        <is>
          <t>MSX 40 SCFG</t>
        </is>
      </c>
      <c r="H211" s="23" t="inlineStr">
        <is>
          <t>110 X 198</t>
        </is>
      </c>
      <c r="I211" s="23" t="inlineStr">
        <is>
          <t>25.5 X 43</t>
        </is>
      </c>
      <c r="J211" s="23" t="n">
        <v>25</v>
      </c>
      <c r="K211" s="115" t="n">
        <v>720</v>
      </c>
      <c r="L211" s="25">
        <f>K211/J211</f>
        <v/>
      </c>
      <c r="M211" s="26" t="n">
        <v>0.3381642512077295</v>
      </c>
      <c r="N211" s="25">
        <f>LEFT(I211,FIND("X",I211)-1)*RIGHT(I211,LEN(I211)-FIND("X",I211)-1)*M211</f>
        <v/>
      </c>
      <c r="O211" s="27">
        <f>(N211*L211)/1000</f>
        <v/>
      </c>
    </row>
    <row r="212" ht="15" customHeight="1">
      <c r="A212" s="149" t="n">
        <v>15</v>
      </c>
      <c r="B212" s="150" t="inlineStr">
        <is>
          <t>MSX 42</t>
        </is>
      </c>
      <c r="C212" s="138" t="inlineStr">
        <is>
          <t>LVP</t>
        </is>
      </c>
      <c r="D212" s="29" t="inlineStr">
        <is>
          <t>Top</t>
        </is>
      </c>
      <c r="E212" s="29" t="n">
        <v>60</v>
      </c>
      <c r="F212" s="29" t="inlineStr">
        <is>
          <t>Single</t>
        </is>
      </c>
      <c r="G212" s="29" t="inlineStr">
        <is>
          <t>MSX 42 TOP LVP</t>
        </is>
      </c>
      <c r="H212" s="29" t="inlineStr">
        <is>
          <t>100 X 230</t>
        </is>
      </c>
      <c r="I212" s="29" t="inlineStr">
        <is>
          <t>19 X 22</t>
        </is>
      </c>
      <c r="J212" s="29" t="n">
        <v>10</v>
      </c>
      <c r="K212" s="114" t="n">
        <v>500</v>
      </c>
      <c r="L212" s="31">
        <f>K212/J212</f>
        <v/>
      </c>
      <c r="M212" s="32" t="n">
        <v>1.103988603988604</v>
      </c>
      <c r="N212" s="31">
        <f>LEFT(I212,FIND("X",I212)-1)*RIGHT(I212,LEN(I212)-FIND("X",I212)-1)*M212</f>
        <v/>
      </c>
      <c r="O212" s="33">
        <f>(N212*L212)/1000</f>
        <v/>
      </c>
    </row>
    <row r="213" ht="15" customHeight="1">
      <c r="A213" s="133" t="n"/>
      <c r="B213" s="133" t="n"/>
      <c r="C213" s="136" t="n"/>
      <c r="D213" s="11" t="inlineStr">
        <is>
          <t>Bottom</t>
        </is>
      </c>
      <c r="E213" s="11" t="n">
        <v>40</v>
      </c>
      <c r="F213" s="29" t="inlineStr">
        <is>
          <t>Single</t>
        </is>
      </c>
      <c r="G213" s="11" t="inlineStr">
        <is>
          <t>MSX 42 BOT LVP</t>
        </is>
      </c>
      <c r="H213" s="11" t="inlineStr">
        <is>
          <t>108 X 240</t>
        </is>
      </c>
      <c r="I213" s="11" t="inlineStr">
        <is>
          <t>20 X 24</t>
        </is>
      </c>
      <c r="J213" s="11" t="n">
        <v>10</v>
      </c>
      <c r="K213" s="34" t="n">
        <v>500</v>
      </c>
      <c r="L213" s="14">
        <f>K213/J213</f>
        <v/>
      </c>
      <c r="M213" s="15" t="n">
        <v>0.6977821913273751</v>
      </c>
      <c r="N213" s="14">
        <f>LEFT(I213,FIND("X",I213)-1)*RIGHT(I213,LEN(I213)-FIND("X",I213)-1)*M213</f>
        <v/>
      </c>
      <c r="O213" s="16">
        <f>(N213*L213)/1000</f>
        <v/>
      </c>
    </row>
    <row r="214" ht="15" customHeight="1">
      <c r="A214" s="135" t="n"/>
      <c r="B214" s="135" t="n"/>
      <c r="C214" s="22" t="inlineStr">
        <is>
          <t>SCFG</t>
        </is>
      </c>
      <c r="D214" s="23" t="inlineStr">
        <is>
          <t>-</t>
        </is>
      </c>
      <c r="E214" s="23" t="n">
        <v>15</v>
      </c>
      <c r="F214" s="23" t="inlineStr">
        <is>
          <t>Single</t>
        </is>
      </c>
      <c r="G214" s="23" t="inlineStr">
        <is>
          <t>MSX 42 SCFG</t>
        </is>
      </c>
      <c r="H214" s="23" t="inlineStr">
        <is>
          <t>126 X 260</t>
        </is>
      </c>
      <c r="I214" s="23" t="inlineStr">
        <is>
          <t>29 X 55</t>
        </is>
      </c>
      <c r="J214" s="23" t="n">
        <v>25</v>
      </c>
      <c r="K214" s="115" t="n">
        <v>500</v>
      </c>
      <c r="L214" s="25">
        <f>K214/J214</f>
        <v/>
      </c>
      <c r="M214" s="26" t="n">
        <v>0.3381642512077295</v>
      </c>
      <c r="N214" s="25">
        <f>LEFT(I214,FIND("X",I214)-1)*RIGHT(I214,LEN(I214)-FIND("X",I214)-1)*M214</f>
        <v/>
      </c>
      <c r="O214" s="27">
        <f>(N214*L214)/1000</f>
        <v/>
      </c>
    </row>
    <row r="215" ht="15" customHeight="1">
      <c r="A215" s="149" t="n">
        <v>16</v>
      </c>
      <c r="B215" s="150" t="inlineStr">
        <is>
          <t>MSX 44</t>
        </is>
      </c>
      <c r="C215" s="138" t="inlineStr">
        <is>
          <t>LVP</t>
        </is>
      </c>
      <c r="D215" s="29" t="inlineStr">
        <is>
          <t>Top</t>
        </is>
      </c>
      <c r="E215" s="29" t="n">
        <v>60</v>
      </c>
      <c r="F215" s="29" t="inlineStr">
        <is>
          <t>Single</t>
        </is>
      </c>
      <c r="G215" s="29" t="inlineStr">
        <is>
          <t>MSX 44 TOP LVP</t>
        </is>
      </c>
      <c r="H215" s="29" t="inlineStr">
        <is>
          <t>100 X 108</t>
        </is>
      </c>
      <c r="I215" s="29" t="inlineStr">
        <is>
          <t>18 X 24</t>
        </is>
      </c>
      <c r="J215" s="29" t="n">
        <v>20</v>
      </c>
      <c r="K215" s="114" t="n"/>
      <c r="L215" s="31">
        <f>K215/J215</f>
        <v/>
      </c>
      <c r="M215" s="32" t="n">
        <v>1.103988603988604</v>
      </c>
      <c r="N215" s="31">
        <f>LEFT(I215,FIND("X",I215)-1)*RIGHT(I215,LEN(I215)-FIND("X",I215)-1)*M215</f>
        <v/>
      </c>
      <c r="O215" s="33">
        <f>(N215*L215)/1000</f>
        <v/>
      </c>
    </row>
    <row r="216" ht="15" customHeight="1">
      <c r="A216" s="133" t="n"/>
      <c r="B216" s="133" t="n"/>
      <c r="C216" s="136" t="n"/>
      <c r="D216" s="11" t="inlineStr">
        <is>
          <t>Bottom</t>
        </is>
      </c>
      <c r="E216" s="11" t="n">
        <v>40</v>
      </c>
      <c r="F216" s="29" t="inlineStr">
        <is>
          <t>Single</t>
        </is>
      </c>
      <c r="G216" s="11" t="inlineStr">
        <is>
          <t>MSX 44 BOT LVP</t>
        </is>
      </c>
      <c r="H216" s="11" t="inlineStr">
        <is>
          <t>110 X 320</t>
        </is>
      </c>
      <c r="I216" s="11" t="inlineStr">
        <is>
          <t>24 X 26</t>
        </is>
      </c>
      <c r="J216" s="11" t="n">
        <v>10</v>
      </c>
      <c r="K216" s="34" t="n"/>
      <c r="L216" s="14">
        <f>K216/J216</f>
        <v/>
      </c>
      <c r="M216" s="15" t="n">
        <v>0.6977821913273751</v>
      </c>
      <c r="N216" s="14">
        <f>LEFT(I216,FIND("X",I216)-1)*RIGHT(I216,LEN(I216)-FIND("X",I216)-1)*M216</f>
        <v/>
      </c>
      <c r="O216" s="16">
        <f>(N216*L216)/1000</f>
        <v/>
      </c>
    </row>
    <row r="217" ht="15" customHeight="1">
      <c r="A217" s="135" t="n"/>
      <c r="B217" s="135" t="n"/>
      <c r="C217" s="22" t="inlineStr">
        <is>
          <t>SCFG</t>
        </is>
      </c>
      <c r="D217" s="23" t="inlineStr">
        <is>
          <t>-</t>
        </is>
      </c>
      <c r="E217" s="23" t="n">
        <v>15</v>
      </c>
      <c r="F217" s="23" t="inlineStr">
        <is>
          <t>Single</t>
        </is>
      </c>
      <c r="G217" s="23" t="inlineStr">
        <is>
          <t>MSX 44 SCFG</t>
        </is>
      </c>
      <c r="H217" s="23" t="inlineStr">
        <is>
          <t>135 X 346</t>
        </is>
      </c>
      <c r="I217" s="23" t="inlineStr">
        <is>
          <t>30.5 X 72</t>
        </is>
      </c>
      <c r="J217" s="23" t="n">
        <v>25</v>
      </c>
      <c r="K217" s="115" t="n"/>
      <c r="L217" s="25">
        <f>K217/J217</f>
        <v/>
      </c>
      <c r="M217" s="26" t="n">
        <v>0.3381642512077295</v>
      </c>
      <c r="N217" s="25">
        <f>LEFT(I217,FIND("X",I217)-1)*RIGHT(I217,LEN(I217)-FIND("X",I217)-1)*M217</f>
        <v/>
      </c>
      <c r="O217" s="27">
        <f>(N217*L217)/1000</f>
        <v/>
      </c>
    </row>
    <row r="218" ht="15" customHeight="1">
      <c r="A218" s="149" t="n">
        <v>17</v>
      </c>
      <c r="B218" s="150" t="inlineStr">
        <is>
          <t>MSX 45</t>
        </is>
      </c>
      <c r="C218" s="138" t="inlineStr">
        <is>
          <t>LVP</t>
        </is>
      </c>
      <c r="D218" s="29" t="inlineStr">
        <is>
          <t>Top</t>
        </is>
      </c>
      <c r="E218" s="29" t="n">
        <v>40</v>
      </c>
      <c r="F218" s="29" t="inlineStr">
        <is>
          <t>Single</t>
        </is>
      </c>
      <c r="G218" s="29" t="inlineStr">
        <is>
          <t>MSX 45 LVP</t>
        </is>
      </c>
      <c r="H218" s="29" t="inlineStr">
        <is>
          <t>158 X 209</t>
        </is>
      </c>
      <c r="I218" s="29" t="inlineStr">
        <is>
          <t>18 X 20</t>
        </is>
      </c>
      <c r="J218" s="29" t="n">
        <v>6</v>
      </c>
      <c r="K218" s="114" t="n">
        <v>120</v>
      </c>
      <c r="L218" s="31">
        <f>K218/J218</f>
        <v/>
      </c>
      <c r="M218" s="32" t="n">
        <v>0.6977821913273751</v>
      </c>
      <c r="N218" s="31">
        <f>LEFT(I218,FIND("X",I218)-1)*RIGHT(I218,LEN(I218)-FIND("X",I218)-1)*M218</f>
        <v/>
      </c>
      <c r="O218" s="33">
        <f>(N218*L218)/1000</f>
        <v/>
      </c>
    </row>
    <row r="219" ht="15" customHeight="1">
      <c r="A219" s="133" t="n"/>
      <c r="B219" s="133" t="n"/>
      <c r="C219" s="136" t="n"/>
      <c r="D219" s="11" t="inlineStr">
        <is>
          <t>Bottom</t>
        </is>
      </c>
      <c r="E219" s="11" t="n">
        <v>40</v>
      </c>
      <c r="F219" s="29" t="inlineStr">
        <is>
          <t>Single</t>
        </is>
      </c>
      <c r="G219" s="29" t="inlineStr">
        <is>
          <t>MSX 45 LVP</t>
        </is>
      </c>
      <c r="H219" s="29" t="inlineStr">
        <is>
          <t>158 X 209</t>
        </is>
      </c>
      <c r="I219" s="11" t="inlineStr">
        <is>
          <t>18 X 20</t>
        </is>
      </c>
      <c r="J219" s="11" t="n">
        <v>6</v>
      </c>
      <c r="K219" s="34" t="n">
        <v>120</v>
      </c>
      <c r="L219" s="14">
        <f>K219/J219</f>
        <v/>
      </c>
      <c r="M219" s="15" t="n">
        <v>0.6977821913273751</v>
      </c>
      <c r="N219" s="14">
        <f>LEFT(I219,FIND("X",I219)-1)*RIGHT(I219,LEN(I219)-FIND("X",I219)-1)*M219</f>
        <v/>
      </c>
      <c r="O219" s="16">
        <f>(N219*L219)/1000</f>
        <v/>
      </c>
    </row>
    <row r="220" ht="15" customHeight="1">
      <c r="A220" s="135" t="n"/>
      <c r="B220" s="135" t="n"/>
      <c r="C220" s="22" t="inlineStr">
        <is>
          <t>SCFG</t>
        </is>
      </c>
      <c r="D220" s="23" t="inlineStr">
        <is>
          <t>-</t>
        </is>
      </c>
      <c r="E220" s="23" t="n">
        <v>15</v>
      </c>
      <c r="F220" s="23" t="inlineStr">
        <is>
          <t>Single</t>
        </is>
      </c>
      <c r="G220" s="23" t="inlineStr">
        <is>
          <t>MSX 45 SCFG</t>
        </is>
      </c>
      <c r="H220" s="23" t="inlineStr">
        <is>
          <t>175 X 226</t>
        </is>
      </c>
      <c r="I220" s="23" t="inlineStr">
        <is>
          <t>38.5 X 48.5</t>
        </is>
      </c>
      <c r="J220" s="23" t="n">
        <v>25</v>
      </c>
      <c r="K220" s="115" t="n">
        <v>120</v>
      </c>
      <c r="L220" s="25">
        <f>K220/J220</f>
        <v/>
      </c>
      <c r="M220" s="26" t="n">
        <v>0.3381642512077295</v>
      </c>
      <c r="N220" s="25">
        <f>LEFT(I220,FIND("X",I220)-1)*RIGHT(I220,LEN(I220)-FIND("X",I220)-1)*M220</f>
        <v/>
      </c>
      <c r="O220" s="27">
        <f>(N220*L220)/1000</f>
        <v/>
      </c>
    </row>
    <row r="221" ht="15" customHeight="1">
      <c r="A221" s="149" t="n">
        <v>18</v>
      </c>
      <c r="B221" s="150" t="inlineStr">
        <is>
          <t>MSX 46</t>
        </is>
      </c>
      <c r="C221" s="138" t="inlineStr">
        <is>
          <t>LVP</t>
        </is>
      </c>
      <c r="D221" s="29" t="inlineStr">
        <is>
          <t>Top</t>
        </is>
      </c>
      <c r="E221" s="29" t="n">
        <v>40</v>
      </c>
      <c r="F221" s="29" t="inlineStr">
        <is>
          <t>Single</t>
        </is>
      </c>
      <c r="G221" s="29" t="inlineStr">
        <is>
          <t>MSX 46 LVP</t>
        </is>
      </c>
      <c r="H221" s="29" t="inlineStr">
        <is>
          <t>128 X 389</t>
        </is>
      </c>
      <c r="I221" s="29" t="inlineStr">
        <is>
          <t>16 X 23</t>
        </is>
      </c>
      <c r="J221" s="29" t="n">
        <v>4</v>
      </c>
      <c r="K221" s="114" t="n"/>
      <c r="L221" s="31">
        <f>K221/J221</f>
        <v/>
      </c>
      <c r="M221" s="32" t="n">
        <v>0.6977821913273751</v>
      </c>
      <c r="N221" s="31">
        <f>LEFT(I221,FIND("X",I221)-1)*RIGHT(I221,LEN(I221)-FIND("X",I221)-1)*M221</f>
        <v/>
      </c>
      <c r="O221" s="33">
        <f>(N221*L221)/1000</f>
        <v/>
      </c>
    </row>
    <row r="222" ht="15" customHeight="1">
      <c r="A222" s="133" t="n"/>
      <c r="B222" s="133" t="n"/>
      <c r="C222" s="136" t="n"/>
      <c r="D222" s="11" t="inlineStr">
        <is>
          <t>Bottom</t>
        </is>
      </c>
      <c r="E222" s="11" t="n">
        <v>40</v>
      </c>
      <c r="F222" s="29" t="inlineStr">
        <is>
          <t>Single</t>
        </is>
      </c>
      <c r="G222" s="29" t="inlineStr">
        <is>
          <t>MSX 46 LVP</t>
        </is>
      </c>
      <c r="H222" s="29" t="inlineStr">
        <is>
          <t>128 X 389</t>
        </is>
      </c>
      <c r="I222" s="11" t="inlineStr">
        <is>
          <t>16 X 23</t>
        </is>
      </c>
      <c r="J222" s="11" t="n">
        <v>4</v>
      </c>
      <c r="K222" s="34" t="n"/>
      <c r="L222" s="14">
        <f>K222/J222</f>
        <v/>
      </c>
      <c r="M222" s="15" t="n">
        <v>0.6977821913273751</v>
      </c>
      <c r="N222" s="14">
        <f>LEFT(I222,FIND("X",I222)-1)*RIGHT(I222,LEN(I222)-FIND("X",I222)-1)*M222</f>
        <v/>
      </c>
      <c r="O222" s="16">
        <f>(N222*L222)/1000</f>
        <v/>
      </c>
    </row>
    <row r="223" ht="15" customHeight="1">
      <c r="A223" s="135" t="n"/>
      <c r="B223" s="135" t="n"/>
      <c r="C223" s="22" t="inlineStr">
        <is>
          <t>SCFG</t>
        </is>
      </c>
      <c r="D223" s="23" t="inlineStr">
        <is>
          <t>-</t>
        </is>
      </c>
      <c r="E223" s="23" t="n">
        <v>15</v>
      </c>
      <c r="F223" s="23" t="inlineStr">
        <is>
          <t>Single</t>
        </is>
      </c>
      <c r="G223" s="23" t="inlineStr">
        <is>
          <t>MSX 46 SCFG</t>
        </is>
      </c>
      <c r="H223" s="23" t="inlineStr">
        <is>
          <t>148 X 409</t>
        </is>
      </c>
      <c r="I223" s="23" t="inlineStr">
        <is>
          <t>33 X 84.5</t>
        </is>
      </c>
      <c r="J223" s="23" t="n">
        <v>25</v>
      </c>
      <c r="K223" s="115" t="n"/>
      <c r="L223" s="25">
        <f>K223/J223</f>
        <v/>
      </c>
      <c r="M223" s="26" t="n">
        <v>0.3381642512077295</v>
      </c>
      <c r="N223" s="25">
        <f>LEFT(I223,FIND("X",I223)-1)*RIGHT(I223,LEN(I223)-FIND("X",I223)-1)*M223</f>
        <v/>
      </c>
      <c r="O223" s="27">
        <f>(N223*L223)/1000</f>
        <v/>
      </c>
    </row>
    <row r="224" ht="15" customHeight="1">
      <c r="A224" s="149" t="n">
        <v>19</v>
      </c>
      <c r="B224" s="150" t="inlineStr">
        <is>
          <t>MSX 50</t>
        </is>
      </c>
      <c r="C224" s="138" t="inlineStr">
        <is>
          <t>LVP</t>
        </is>
      </c>
      <c r="D224" s="29" t="inlineStr">
        <is>
          <t>Top</t>
        </is>
      </c>
      <c r="E224" s="29" t="n">
        <v>60</v>
      </c>
      <c r="F224" s="29" t="inlineStr">
        <is>
          <t>Single</t>
        </is>
      </c>
      <c r="G224" s="29" t="inlineStr">
        <is>
          <t>MSX 50 LVP</t>
        </is>
      </c>
      <c r="H224" s="29" t="inlineStr">
        <is>
          <t>178 X 539</t>
        </is>
      </c>
      <c r="I224" s="29" t="inlineStr">
        <is>
          <t>22 X 23</t>
        </is>
      </c>
      <c r="J224" s="29" t="n">
        <v>3</v>
      </c>
      <c r="K224" s="114" t="n"/>
      <c r="L224" s="31">
        <f>K224/J224</f>
        <v/>
      </c>
      <c r="M224" s="32" t="n">
        <v>1.103988603988604</v>
      </c>
      <c r="N224" s="31">
        <f>LEFT(I224,FIND("X",I224)-1)*RIGHT(I224,LEN(I224)-FIND("X",I224)-1)*M224</f>
        <v/>
      </c>
      <c r="O224" s="33">
        <f>(N224*L224)/1000</f>
        <v/>
      </c>
    </row>
    <row r="225" ht="15" customHeight="1">
      <c r="A225" s="133" t="n"/>
      <c r="B225" s="133" t="n"/>
      <c r="C225" s="136" t="n"/>
      <c r="D225" s="11" t="inlineStr">
        <is>
          <t>Bottom</t>
        </is>
      </c>
      <c r="E225" s="11" t="n">
        <v>40</v>
      </c>
      <c r="F225" s="29" t="inlineStr">
        <is>
          <t>Single</t>
        </is>
      </c>
      <c r="G225" s="29" t="inlineStr">
        <is>
          <t>MSX 50 LVP</t>
        </is>
      </c>
      <c r="H225" s="29" t="inlineStr">
        <is>
          <t>178 X 539</t>
        </is>
      </c>
      <c r="I225" s="11" t="inlineStr">
        <is>
          <t>22 X 23</t>
        </is>
      </c>
      <c r="J225" s="11" t="n">
        <v>3</v>
      </c>
      <c r="K225" s="34" t="n"/>
      <c r="L225" s="14">
        <f>K225/J225</f>
        <v/>
      </c>
      <c r="M225" s="15" t="n">
        <v>0.6977821913273751</v>
      </c>
      <c r="N225" s="14">
        <f>LEFT(I225,FIND("X",I225)-1)*RIGHT(I225,LEN(I225)-FIND("X",I225)-1)*M225</f>
        <v/>
      </c>
      <c r="O225" s="16">
        <f>(N225*L225)/1000</f>
        <v/>
      </c>
    </row>
    <row r="226" ht="15" customHeight="1">
      <c r="A226" s="135" t="n"/>
      <c r="B226" s="135" t="n"/>
      <c r="C226" s="22" t="inlineStr">
        <is>
          <t>SCFG</t>
        </is>
      </c>
      <c r="D226" s="23" t="inlineStr">
        <is>
          <t>-</t>
        </is>
      </c>
      <c r="E226" s="23" t="n">
        <v>15</v>
      </c>
      <c r="F226" s="23" t="inlineStr">
        <is>
          <t>H.C.</t>
        </is>
      </c>
      <c r="G226" s="23" t="inlineStr">
        <is>
          <t>Hand Cutting</t>
        </is>
      </c>
      <c r="H226" s="23" t="inlineStr">
        <is>
          <t>201 X 565</t>
        </is>
      </c>
      <c r="I226" s="23" t="inlineStr">
        <is>
          <t>43.5 X 46</t>
        </is>
      </c>
      <c r="J226" s="23" t="n">
        <v>10</v>
      </c>
      <c r="K226" s="115" t="n"/>
      <c r="L226" s="25">
        <f>K226/J226</f>
        <v/>
      </c>
      <c r="M226" s="26" t="n">
        <v>0.3381642512077295</v>
      </c>
      <c r="N226" s="25">
        <f>LEFT(I226,FIND("X",I226)-1)*RIGHT(I226,LEN(I226)-FIND("X",I226)-1)*M226</f>
        <v/>
      </c>
      <c r="O226" s="27">
        <f>(N226*L226)/1000</f>
        <v/>
      </c>
    </row>
    <row r="227" ht="15" customHeight="1">
      <c r="A227" s="149" t="n">
        <v>20</v>
      </c>
      <c r="B227" s="150" t="inlineStr">
        <is>
          <t>MSX 52</t>
        </is>
      </c>
      <c r="C227" s="138" t="inlineStr">
        <is>
          <t>LVP</t>
        </is>
      </c>
      <c r="D227" s="29" t="inlineStr">
        <is>
          <t>Top</t>
        </is>
      </c>
      <c r="E227" s="29" t="n">
        <v>60</v>
      </c>
      <c r="F227" s="29" t="inlineStr">
        <is>
          <t>Single</t>
        </is>
      </c>
      <c r="G227" s="29" t="inlineStr">
        <is>
          <t>MSX 52/54 LVP</t>
        </is>
      </c>
      <c r="H227" s="29" t="inlineStr">
        <is>
          <t>240 X 559</t>
        </is>
      </c>
      <c r="I227" s="29" t="inlineStr">
        <is>
          <t>22 X 23</t>
        </is>
      </c>
      <c r="J227" s="29" t="n">
        <v>2</v>
      </c>
      <c r="K227" s="114" t="n"/>
      <c r="L227" s="31">
        <f>K227/J227</f>
        <v/>
      </c>
      <c r="M227" s="32" t="n">
        <v>1.103988603988604</v>
      </c>
      <c r="N227" s="31">
        <f>LEFT(I227,FIND("X",I227)-1)*RIGHT(I227,LEN(I227)-FIND("X",I227)-1)*M227</f>
        <v/>
      </c>
      <c r="O227" s="33">
        <f>(N227*L227)/1000</f>
        <v/>
      </c>
    </row>
    <row r="228" ht="15" customHeight="1">
      <c r="A228" s="133" t="n"/>
      <c r="B228" s="133" t="n"/>
      <c r="C228" s="136" t="n"/>
      <c r="D228" s="11" t="inlineStr">
        <is>
          <t>Bottom</t>
        </is>
      </c>
      <c r="E228" s="11" t="n">
        <v>40</v>
      </c>
      <c r="F228" s="29" t="inlineStr">
        <is>
          <t>Single</t>
        </is>
      </c>
      <c r="G228" s="29" t="inlineStr">
        <is>
          <t>MSX 52/54 LVP</t>
        </is>
      </c>
      <c r="H228" s="29" t="inlineStr">
        <is>
          <t>240 X 559</t>
        </is>
      </c>
      <c r="I228" s="11" t="inlineStr">
        <is>
          <t>22 X 23</t>
        </is>
      </c>
      <c r="J228" s="11" t="n">
        <v>2</v>
      </c>
      <c r="K228" s="34" t="n"/>
      <c r="L228" s="14">
        <f>K228/J228</f>
        <v/>
      </c>
      <c r="M228" s="15" t="n">
        <v>0.6977821913273751</v>
      </c>
      <c r="N228" s="14">
        <f>LEFT(I228,FIND("X",I228)-1)*RIGHT(I228,LEN(I228)-FIND("X",I228)-1)*M228</f>
        <v/>
      </c>
      <c r="O228" s="16">
        <f>(N228*L228)/1000</f>
        <v/>
      </c>
    </row>
    <row r="229" ht="15" customHeight="1">
      <c r="A229" s="135" t="n"/>
      <c r="B229" s="135" t="n"/>
      <c r="C229" s="22" t="inlineStr">
        <is>
          <t>SCFG</t>
        </is>
      </c>
      <c r="D229" s="23" t="inlineStr">
        <is>
          <t>-</t>
        </is>
      </c>
      <c r="E229" s="23" t="n">
        <v>15</v>
      </c>
      <c r="F229" s="23" t="inlineStr">
        <is>
          <t>H.C.</t>
        </is>
      </c>
      <c r="G229" s="23" t="inlineStr">
        <is>
          <t>Hand Cutting</t>
        </is>
      </c>
      <c r="H229" s="23" t="inlineStr">
        <is>
          <t>256 X 575</t>
        </is>
      </c>
      <c r="I229" s="23" t="inlineStr">
        <is>
          <t>54 X 47</t>
        </is>
      </c>
      <c r="J229" s="23" t="n">
        <v>10</v>
      </c>
      <c r="K229" s="115" t="n"/>
      <c r="L229" s="25">
        <f>K229/J229</f>
        <v/>
      </c>
      <c r="M229" s="26" t="n">
        <v>0.3381642512077295</v>
      </c>
      <c r="N229" s="25">
        <f>LEFT(I229,FIND("X",I229)-1)*RIGHT(I229,LEN(I229)-FIND("X",I229)-1)*M229</f>
        <v/>
      </c>
      <c r="O229" s="27">
        <f>(N229*L229)/1000</f>
        <v/>
      </c>
    </row>
    <row r="230" ht="15" customHeight="1">
      <c r="A230" s="149" t="n">
        <v>21</v>
      </c>
      <c r="B230" s="150" t="inlineStr">
        <is>
          <t>MSX 54</t>
        </is>
      </c>
      <c r="C230" s="138" t="inlineStr">
        <is>
          <t>LVP</t>
        </is>
      </c>
      <c r="D230" s="29" t="inlineStr">
        <is>
          <t>Top</t>
        </is>
      </c>
      <c r="E230" s="29" t="n">
        <v>60</v>
      </c>
      <c r="F230" s="29" t="inlineStr">
        <is>
          <t>Single</t>
        </is>
      </c>
      <c r="G230" s="29" t="inlineStr">
        <is>
          <t>MSX 52/54 LVP</t>
        </is>
      </c>
      <c r="H230" s="29" t="inlineStr">
        <is>
          <t>240 X 559</t>
        </is>
      </c>
      <c r="I230" s="29" t="inlineStr">
        <is>
          <t>22 X 23</t>
        </is>
      </c>
      <c r="J230" s="29" t="n">
        <v>2</v>
      </c>
      <c r="K230" s="114" t="n"/>
      <c r="L230" s="31">
        <f>K230/J230</f>
        <v/>
      </c>
      <c r="M230" s="32" t="n">
        <v>1.103988603988604</v>
      </c>
      <c r="N230" s="31">
        <f>LEFT(I230,FIND("X",I230)-1)*RIGHT(I230,LEN(I230)-FIND("X",I230)-1)*M230</f>
        <v/>
      </c>
      <c r="O230" s="33">
        <f>(N230*L230)/1000</f>
        <v/>
      </c>
    </row>
    <row r="231" ht="15" customHeight="1">
      <c r="A231" s="133" t="n"/>
      <c r="B231" s="133" t="n"/>
      <c r="C231" s="136" t="n"/>
      <c r="D231" s="11" t="inlineStr">
        <is>
          <t>Bottom</t>
        </is>
      </c>
      <c r="E231" s="11" t="n">
        <v>40</v>
      </c>
      <c r="F231" s="29" t="inlineStr">
        <is>
          <t>Single</t>
        </is>
      </c>
      <c r="G231" s="29" t="inlineStr">
        <is>
          <t>MSX 52/54 LVP</t>
        </is>
      </c>
      <c r="H231" s="29" t="inlineStr">
        <is>
          <t>240 X 559</t>
        </is>
      </c>
      <c r="I231" s="11" t="inlineStr">
        <is>
          <t>22 X 23</t>
        </is>
      </c>
      <c r="J231" s="11" t="n">
        <v>2</v>
      </c>
      <c r="K231" s="34" t="n"/>
      <c r="L231" s="14">
        <f>K231/J231</f>
        <v/>
      </c>
      <c r="M231" s="15" t="n">
        <v>0.6977821913273751</v>
      </c>
      <c r="N231" s="14">
        <f>LEFT(I231,FIND("X",I231)-1)*RIGHT(I231,LEN(I231)-FIND("X",I231)-1)*M231</f>
        <v/>
      </c>
      <c r="O231" s="16">
        <f>(N231*L231)/1000</f>
        <v/>
      </c>
    </row>
    <row r="232" ht="15" customHeight="1">
      <c r="A232" s="135" t="n"/>
      <c r="B232" s="135" t="n"/>
      <c r="C232" s="22" t="inlineStr">
        <is>
          <t>SCFG</t>
        </is>
      </c>
      <c r="D232" s="23" t="inlineStr">
        <is>
          <t>-</t>
        </is>
      </c>
      <c r="E232" s="23" t="n">
        <v>15</v>
      </c>
      <c r="F232" s="23" t="inlineStr">
        <is>
          <t>H.C.</t>
        </is>
      </c>
      <c r="G232" s="23" t="inlineStr">
        <is>
          <t>Hand Cutting</t>
        </is>
      </c>
      <c r="H232" s="23" t="inlineStr">
        <is>
          <t>256 X 575</t>
        </is>
      </c>
      <c r="I232" s="23" t="inlineStr">
        <is>
          <t>54 X 47</t>
        </is>
      </c>
      <c r="J232" s="23" t="n">
        <v>10</v>
      </c>
      <c r="K232" s="115" t="n"/>
      <c r="L232" s="25">
        <f>K232/J232</f>
        <v/>
      </c>
      <c r="M232" s="26" t="n">
        <v>0.3381642512077295</v>
      </c>
      <c r="N232" s="25">
        <f>LEFT(I232,FIND("X",I232)-1)*RIGHT(I232,LEN(I232)-FIND("X",I232)-1)*M232</f>
        <v/>
      </c>
      <c r="O232" s="27">
        <f>(N232*L232)/1000</f>
        <v/>
      </c>
    </row>
    <row r="233" ht="15" customHeight="1">
      <c r="A233" s="149" t="n">
        <v>22</v>
      </c>
      <c r="B233" s="150" t="inlineStr">
        <is>
          <t>MSX 55</t>
        </is>
      </c>
      <c r="C233" s="138" t="inlineStr">
        <is>
          <t>LVP</t>
        </is>
      </c>
      <c r="D233" s="29" t="inlineStr">
        <is>
          <t>Top</t>
        </is>
      </c>
      <c r="E233" s="29" t="n">
        <v>60</v>
      </c>
      <c r="F233" s="29" t="inlineStr">
        <is>
          <t>Single</t>
        </is>
      </c>
      <c r="G233" s="29" t="inlineStr">
        <is>
          <t>MSX 55 LVP</t>
        </is>
      </c>
      <c r="H233" s="29" t="inlineStr">
        <is>
          <t>237 X 308</t>
        </is>
      </c>
      <c r="I233" s="29" t="inlineStr">
        <is>
          <t>20 X 25</t>
        </is>
      </c>
      <c r="J233" s="29" t="n">
        <v>4</v>
      </c>
      <c r="K233" s="114" t="n"/>
      <c r="L233" s="31">
        <f>K233/J233</f>
        <v/>
      </c>
      <c r="M233" s="32" t="n">
        <v>1.103988603988604</v>
      </c>
      <c r="N233" s="31">
        <f>LEFT(I233,FIND("X",I233)-1)*RIGHT(I233,LEN(I233)-FIND("X",I233)-1)*M233</f>
        <v/>
      </c>
      <c r="O233" s="33">
        <f>(N233*L233)/1000</f>
        <v/>
      </c>
    </row>
    <row r="234" ht="15" customHeight="1">
      <c r="A234" s="133" t="n"/>
      <c r="B234" s="133" t="n"/>
      <c r="C234" s="136" t="n"/>
      <c r="D234" s="11" t="inlineStr">
        <is>
          <t>Bottom</t>
        </is>
      </c>
      <c r="E234" s="11" t="n">
        <v>40</v>
      </c>
      <c r="F234" s="29" t="inlineStr">
        <is>
          <t>Single</t>
        </is>
      </c>
      <c r="G234" s="29" t="inlineStr">
        <is>
          <t>MSX 55 LVP</t>
        </is>
      </c>
      <c r="H234" s="29" t="inlineStr">
        <is>
          <t>237 X 308</t>
        </is>
      </c>
      <c r="I234" s="11" t="inlineStr">
        <is>
          <t>20 X 25</t>
        </is>
      </c>
      <c r="J234" s="11" t="n">
        <v>4</v>
      </c>
      <c r="K234" s="34" t="n"/>
      <c r="L234" s="14">
        <f>K234/J234</f>
        <v/>
      </c>
      <c r="M234" s="15" t="n">
        <v>0.6977821913273751</v>
      </c>
      <c r="N234" s="14">
        <f>LEFT(I234,FIND("X",I234)-1)*RIGHT(I234,LEN(I234)-FIND("X",I234)-1)*M234</f>
        <v/>
      </c>
      <c r="O234" s="16">
        <f>(N234*L234)/1000</f>
        <v/>
      </c>
    </row>
    <row r="235" ht="15" customHeight="1">
      <c r="A235" s="135" t="n"/>
      <c r="B235" s="135" t="n"/>
      <c r="C235" s="22" t="inlineStr">
        <is>
          <t>SCFG</t>
        </is>
      </c>
      <c r="D235" s="23" t="inlineStr">
        <is>
          <t>-</t>
        </is>
      </c>
      <c r="E235" s="23" t="n">
        <v>15</v>
      </c>
      <c r="F235" s="23" t="inlineStr">
        <is>
          <t>H.C.</t>
        </is>
      </c>
      <c r="G235" s="23" t="inlineStr">
        <is>
          <t>Hand Cutting</t>
        </is>
      </c>
      <c r="H235" s="23" t="inlineStr">
        <is>
          <t>253 X 324</t>
        </is>
      </c>
      <c r="I235" s="23" t="inlineStr">
        <is>
          <t>27 X 54</t>
        </is>
      </c>
      <c r="J235" s="23" t="n">
        <v>10</v>
      </c>
      <c r="K235" s="115" t="n"/>
      <c r="L235" s="25">
        <f>K235/J235</f>
        <v/>
      </c>
      <c r="M235" s="26" t="n">
        <v>0.3381642512077295</v>
      </c>
      <c r="N235" s="25">
        <f>LEFT(I235,FIND("X",I235)-1)*RIGHT(I235,LEN(I235)-FIND("X",I235)-1)*M235</f>
        <v/>
      </c>
      <c r="O235" s="27">
        <f>(N235*L235)/1000</f>
        <v/>
      </c>
    </row>
    <row r="236" ht="15" customHeight="1">
      <c r="A236" s="149" t="n">
        <v>23</v>
      </c>
      <c r="B236" s="150" t="inlineStr">
        <is>
          <t>MSX 56</t>
        </is>
      </c>
      <c r="C236" s="138" t="inlineStr">
        <is>
          <t>LVP</t>
        </is>
      </c>
      <c r="D236" s="29" t="inlineStr">
        <is>
          <t>Top</t>
        </is>
      </c>
      <c r="E236" s="29" t="n">
        <v>60</v>
      </c>
      <c r="F236" s="29" t="inlineStr">
        <is>
          <t>Single</t>
        </is>
      </c>
      <c r="G236" s="29" t="inlineStr">
        <is>
          <t>MSX 56 LVP</t>
        </is>
      </c>
      <c r="H236" s="29" t="inlineStr">
        <is>
          <t>254 X 725</t>
        </is>
      </c>
      <c r="I236" s="29" t="inlineStr">
        <is>
          <t>21 X 29</t>
        </is>
      </c>
      <c r="J236" s="29" t="n">
        <v>2</v>
      </c>
      <c r="K236" s="114" t="n"/>
      <c r="L236" s="31">
        <f>K236/J236</f>
        <v/>
      </c>
      <c r="M236" s="32" t="n">
        <v>1.103988603988604</v>
      </c>
      <c r="N236" s="31">
        <f>LEFT(I236,FIND("X",I236)-1)*RIGHT(I236,LEN(I236)-FIND("X",I236)-1)*M236</f>
        <v/>
      </c>
      <c r="O236" s="33">
        <f>(N236*L236)/1000</f>
        <v/>
      </c>
    </row>
    <row r="237" ht="15" customHeight="1">
      <c r="A237" s="133" t="n"/>
      <c r="B237" s="133" t="n"/>
      <c r="C237" s="136" t="n"/>
      <c r="D237" s="11" t="inlineStr">
        <is>
          <t>Bottom</t>
        </is>
      </c>
      <c r="E237" s="11" t="n">
        <v>40</v>
      </c>
      <c r="F237" s="29" t="inlineStr">
        <is>
          <t>Single</t>
        </is>
      </c>
      <c r="G237" s="29" t="inlineStr">
        <is>
          <t>MSX 56 LVP</t>
        </is>
      </c>
      <c r="H237" s="29" t="inlineStr">
        <is>
          <t>254 X 725</t>
        </is>
      </c>
      <c r="I237" s="11" t="inlineStr">
        <is>
          <t>21 X 29</t>
        </is>
      </c>
      <c r="J237" s="11" t="n">
        <v>2</v>
      </c>
      <c r="K237" s="34" t="n"/>
      <c r="L237" s="14">
        <f>K237/J237</f>
        <v/>
      </c>
      <c r="M237" s="15" t="n">
        <v>0.6977821913273751</v>
      </c>
      <c r="N237" s="14">
        <f>LEFT(I237,FIND("X",I237)-1)*RIGHT(I237,LEN(I237)-FIND("X",I237)-1)*M237</f>
        <v/>
      </c>
      <c r="O237" s="16">
        <f>(N237*L237)/1000</f>
        <v/>
      </c>
    </row>
    <row r="238" ht="15" customHeight="1">
      <c r="A238" s="135" t="n"/>
      <c r="B238" s="135" t="n"/>
      <c r="C238" s="22" t="inlineStr">
        <is>
          <t>SCFG</t>
        </is>
      </c>
      <c r="D238" s="23" t="inlineStr">
        <is>
          <t>-</t>
        </is>
      </c>
      <c r="E238" s="23" t="n">
        <v>15</v>
      </c>
      <c r="F238" s="23" t="inlineStr">
        <is>
          <t>H.C.</t>
        </is>
      </c>
      <c r="G238" s="23" t="inlineStr">
        <is>
          <t>Hand Cutting</t>
        </is>
      </c>
      <c r="H238" s="23" t="inlineStr">
        <is>
          <t>270 X 739</t>
        </is>
      </c>
      <c r="I238" s="23" t="inlineStr">
        <is>
          <t>57 X 60</t>
        </is>
      </c>
      <c r="J238" s="23" t="n">
        <v>10</v>
      </c>
      <c r="K238" s="115" t="n"/>
      <c r="L238" s="25">
        <f>K238/J238</f>
        <v/>
      </c>
      <c r="M238" s="26" t="n">
        <v>0.3381642512077295</v>
      </c>
      <c r="N238" s="25">
        <f>LEFT(I238,FIND("X",I238)-1)*RIGHT(I238,LEN(I238)-FIND("X",I238)-1)*M238</f>
        <v/>
      </c>
      <c r="O238" s="27">
        <f>(N238*L238)/1000</f>
        <v/>
      </c>
    </row>
    <row r="239" ht="15" customHeight="1">
      <c r="A239" s="149" t="n">
        <v>24</v>
      </c>
      <c r="B239" s="150" t="inlineStr">
        <is>
          <t>MSX 60</t>
        </is>
      </c>
      <c r="C239" s="138" t="inlineStr">
        <is>
          <t>LVP</t>
        </is>
      </c>
      <c r="D239" s="29" t="inlineStr">
        <is>
          <t>Top</t>
        </is>
      </c>
      <c r="E239" s="29" t="n">
        <v>60</v>
      </c>
      <c r="F239" s="29" t="inlineStr">
        <is>
          <t>H.C.</t>
        </is>
      </c>
      <c r="G239" s="29" t="inlineStr">
        <is>
          <t>Hand Cutting</t>
        </is>
      </c>
      <c r="H239" s="29" t="inlineStr">
        <is>
          <t>243 X 998</t>
        </is>
      </c>
      <c r="I239" s="29" t="inlineStr">
        <is>
          <t>20 X 40</t>
        </is>
      </c>
      <c r="J239" s="29" t="n">
        <v>2</v>
      </c>
      <c r="K239" s="114" t="n"/>
      <c r="L239" s="31">
        <f>K239/J239</f>
        <v/>
      </c>
      <c r="M239" s="32" t="n">
        <v>1.103988603988604</v>
      </c>
      <c r="N239" s="31">
        <f>LEFT(I239,FIND("X",I239)-1)*RIGHT(I239,LEN(I239)-FIND("X",I239)-1)*M239</f>
        <v/>
      </c>
      <c r="O239" s="33">
        <f>(N239*L239)/1000</f>
        <v/>
      </c>
    </row>
    <row r="240" ht="15" customHeight="1">
      <c r="A240" s="133" t="n"/>
      <c r="B240" s="133" t="n"/>
      <c r="C240" s="136" t="n"/>
      <c r="D240" s="11" t="inlineStr">
        <is>
          <t>Bottom</t>
        </is>
      </c>
      <c r="E240" s="11" t="n">
        <v>40</v>
      </c>
      <c r="F240" s="11" t="inlineStr">
        <is>
          <t>H.C.</t>
        </is>
      </c>
      <c r="G240" s="11" t="inlineStr">
        <is>
          <t>Hand Cutting</t>
        </is>
      </c>
      <c r="H240" s="29" t="inlineStr">
        <is>
          <t>243 X 998</t>
        </is>
      </c>
      <c r="I240" s="29" t="inlineStr">
        <is>
          <t>20 X 40</t>
        </is>
      </c>
      <c r="J240" s="29" t="n">
        <v>2</v>
      </c>
      <c r="K240" s="34" t="n"/>
      <c r="L240" s="14">
        <f>K240/J240</f>
        <v/>
      </c>
      <c r="M240" s="15" t="n">
        <v>0.6977821913273751</v>
      </c>
      <c r="N240" s="14">
        <f>LEFT(I240,FIND("X",I240)-1)*RIGHT(I240,LEN(I240)-FIND("X",I240)-1)*M240</f>
        <v/>
      </c>
      <c r="O240" s="16">
        <f>(N240*L240)/1000</f>
        <v/>
      </c>
    </row>
    <row r="241" ht="15" customHeight="1">
      <c r="A241" s="135" t="n"/>
      <c r="B241" s="135" t="n"/>
      <c r="C241" s="22" t="inlineStr">
        <is>
          <t>SCFG</t>
        </is>
      </c>
      <c r="D241" s="23" t="inlineStr">
        <is>
          <t>-</t>
        </is>
      </c>
      <c r="E241" s="23" t="n">
        <v>15</v>
      </c>
      <c r="F241" s="23" t="inlineStr">
        <is>
          <t>H.C.</t>
        </is>
      </c>
      <c r="G241" s="23" t="inlineStr">
        <is>
          <t>Hand Cutting</t>
        </is>
      </c>
      <c r="H241" s="23" t="inlineStr">
        <is>
          <t>266 X 1015</t>
        </is>
      </c>
      <c r="I241" s="23" t="inlineStr">
        <is>
          <t>56 X 81.5</t>
        </is>
      </c>
      <c r="J241" s="23" t="n">
        <v>10</v>
      </c>
      <c r="K241" s="115" t="n"/>
      <c r="L241" s="25">
        <f>K241/J241</f>
        <v/>
      </c>
      <c r="M241" s="26" t="n">
        <v>0.3381642512077295</v>
      </c>
      <c r="N241" s="25">
        <f>LEFT(I241,FIND("X",I241)-1)*RIGHT(I241,LEN(I241)-FIND("X",I241)-1)*M241</f>
        <v/>
      </c>
      <c r="O241" s="27">
        <f>(N241*L241)/1000</f>
        <v/>
      </c>
    </row>
    <row r="242" ht="15" customHeight="1">
      <c r="A242" s="149" t="n">
        <v>25</v>
      </c>
      <c r="B242" s="150" t="inlineStr">
        <is>
          <t>MSX 62</t>
        </is>
      </c>
      <c r="C242" s="138" t="inlineStr">
        <is>
          <t>LVP</t>
        </is>
      </c>
      <c r="D242" s="29" t="inlineStr">
        <is>
          <t>Top</t>
        </is>
      </c>
      <c r="E242" s="29" t="n">
        <v>60</v>
      </c>
      <c r="F242" s="29" t="inlineStr">
        <is>
          <t>H.C.</t>
        </is>
      </c>
      <c r="G242" s="29" t="inlineStr">
        <is>
          <t>Hand Cutting</t>
        </is>
      </c>
      <c r="H242" s="29" t="inlineStr">
        <is>
          <t>302 X 1027</t>
        </is>
      </c>
      <c r="I242" s="29" t="inlineStr">
        <is>
          <t>25 X 41</t>
        </is>
      </c>
      <c r="J242" s="29" t="n">
        <v>2</v>
      </c>
      <c r="K242" s="114" t="n"/>
      <c r="L242" s="31">
        <f>K242/J242</f>
        <v/>
      </c>
      <c r="M242" s="32" t="n">
        <v>1.103988603988604</v>
      </c>
      <c r="N242" s="31">
        <f>LEFT(I242,FIND("X",I242)-1)*RIGHT(I242,LEN(I242)-FIND("X",I242)-1)*M242</f>
        <v/>
      </c>
      <c r="O242" s="33">
        <f>(N242*L242)/1000</f>
        <v/>
      </c>
    </row>
    <row r="243" ht="15" customHeight="1">
      <c r="A243" s="133" t="n"/>
      <c r="B243" s="133" t="n"/>
      <c r="C243" s="136" t="n"/>
      <c r="D243" s="11" t="inlineStr">
        <is>
          <t>Bottom</t>
        </is>
      </c>
      <c r="E243" s="11" t="n">
        <v>40</v>
      </c>
      <c r="F243" s="11" t="inlineStr">
        <is>
          <t>H.C.</t>
        </is>
      </c>
      <c r="G243" s="11" t="inlineStr">
        <is>
          <t>Hand Cutting</t>
        </is>
      </c>
      <c r="H243" s="29" t="inlineStr">
        <is>
          <t>302 X 1027</t>
        </is>
      </c>
      <c r="I243" s="29" t="inlineStr">
        <is>
          <t>25 X 41</t>
        </is>
      </c>
      <c r="J243" s="29" t="n">
        <v>2</v>
      </c>
      <c r="K243" s="34" t="n"/>
      <c r="L243" s="14">
        <f>K243/J243</f>
        <v/>
      </c>
      <c r="M243" s="15" t="n">
        <v>0.6977821913273751</v>
      </c>
      <c r="N243" s="14">
        <f>LEFT(I243,FIND("X",I243)-1)*RIGHT(I243,LEN(I243)-FIND("X",I243)-1)*M243</f>
        <v/>
      </c>
      <c r="O243" s="16">
        <f>(N243*L243)/1000</f>
        <v/>
      </c>
    </row>
    <row r="244" ht="15" customHeight="1">
      <c r="A244" s="135" t="n"/>
      <c r="B244" s="135" t="n"/>
      <c r="C244" s="22" t="inlineStr">
        <is>
          <t>SCFG</t>
        </is>
      </c>
      <c r="D244" s="23" t="inlineStr">
        <is>
          <t>-</t>
        </is>
      </c>
      <c r="E244" s="23" t="n">
        <v>15</v>
      </c>
      <c r="F244" s="23" t="inlineStr">
        <is>
          <t>H.C.</t>
        </is>
      </c>
      <c r="G244" s="23" t="inlineStr">
        <is>
          <t>Hand Cutting</t>
        </is>
      </c>
      <c r="H244" s="23" t="inlineStr">
        <is>
          <t>322 X 1047</t>
        </is>
      </c>
      <c r="I244" s="23" t="inlineStr">
        <is>
          <t>67 X 84</t>
        </is>
      </c>
      <c r="J244" s="23" t="n">
        <v>10</v>
      </c>
      <c r="K244" s="115" t="n"/>
      <c r="L244" s="25">
        <f>K244/J244</f>
        <v/>
      </c>
      <c r="M244" s="26" t="n">
        <v>0.3381642512077295</v>
      </c>
      <c r="N244" s="25">
        <f>LEFT(I244,FIND("X",I244)-1)*RIGHT(I244,LEN(I244)-FIND("X",I244)-1)*M244</f>
        <v/>
      </c>
      <c r="O244" s="27">
        <f>(N244*L244)/1000</f>
        <v/>
      </c>
    </row>
    <row r="245" ht="15" customHeight="1">
      <c r="A245" s="149" t="n">
        <v>26</v>
      </c>
      <c r="B245" s="150" t="inlineStr">
        <is>
          <t>MSX 65</t>
        </is>
      </c>
      <c r="C245" s="138" t="inlineStr">
        <is>
          <t>LVP</t>
        </is>
      </c>
      <c r="D245" s="29" t="inlineStr">
        <is>
          <t>Top</t>
        </is>
      </c>
      <c r="E245" s="29" t="n">
        <v>60</v>
      </c>
      <c r="F245" s="29" t="inlineStr">
        <is>
          <t>Single</t>
        </is>
      </c>
      <c r="G245" s="29" t="inlineStr">
        <is>
          <t>MSX 65 LVP</t>
        </is>
      </c>
      <c r="H245" s="29" t="inlineStr">
        <is>
          <t>307 X 398</t>
        </is>
      </c>
      <c r="I245" s="29" t="inlineStr">
        <is>
          <t>16 X 25</t>
        </is>
      </c>
      <c r="J245" s="29" t="n">
        <v>2</v>
      </c>
      <c r="K245" s="114" t="n"/>
      <c r="L245" s="31">
        <f>K245/J245</f>
        <v/>
      </c>
      <c r="M245" s="32" t="n">
        <v>1.103988603988604</v>
      </c>
      <c r="N245" s="31">
        <f>LEFT(I245,FIND("X",I245)-1)*RIGHT(I245,LEN(I245)-FIND("X",I245)-1)*M245</f>
        <v/>
      </c>
      <c r="O245" s="33">
        <f>(N245*L245)/1000</f>
        <v/>
      </c>
    </row>
    <row r="246" ht="15" customHeight="1">
      <c r="A246" s="133" t="n"/>
      <c r="B246" s="133" t="n"/>
      <c r="C246" s="136" t="n"/>
      <c r="D246" s="11" t="inlineStr">
        <is>
          <t>Bottom</t>
        </is>
      </c>
      <c r="E246" s="11" t="n">
        <v>40</v>
      </c>
      <c r="F246" s="29" t="inlineStr">
        <is>
          <t>Single</t>
        </is>
      </c>
      <c r="G246" s="29" t="inlineStr">
        <is>
          <t>MSX 65 LVP</t>
        </is>
      </c>
      <c r="H246" s="29" t="inlineStr">
        <is>
          <t>307 X 398</t>
        </is>
      </c>
      <c r="I246" s="11" t="inlineStr">
        <is>
          <t>16 X 25</t>
        </is>
      </c>
      <c r="J246" s="11" t="n">
        <v>2</v>
      </c>
      <c r="K246" s="34" t="n"/>
      <c r="L246" s="14">
        <f>K246/J246</f>
        <v/>
      </c>
      <c r="M246" s="15" t="n">
        <v>0.6977821913273751</v>
      </c>
      <c r="N246" s="14">
        <f>LEFT(I246,FIND("X",I246)-1)*RIGHT(I246,LEN(I246)-FIND("X",I246)-1)*M246</f>
        <v/>
      </c>
      <c r="O246" s="16">
        <f>(N246*L246)/1000</f>
        <v/>
      </c>
    </row>
    <row r="247" ht="15" customHeight="1">
      <c r="A247" s="135" t="n"/>
      <c r="B247" s="135" t="n"/>
      <c r="C247" s="22" t="inlineStr">
        <is>
          <t>SCFG</t>
        </is>
      </c>
      <c r="D247" s="23" t="inlineStr">
        <is>
          <t>-</t>
        </is>
      </c>
      <c r="E247" s="23" t="n">
        <v>15</v>
      </c>
      <c r="F247" s="23" t="inlineStr">
        <is>
          <t>H.C.</t>
        </is>
      </c>
      <c r="G247" s="23" t="inlineStr">
        <is>
          <t>Hand Cutting</t>
        </is>
      </c>
      <c r="H247" s="23" t="inlineStr">
        <is>
          <t>418 X 328</t>
        </is>
      </c>
      <c r="I247" s="23" t="inlineStr">
        <is>
          <t>27 X 86</t>
        </is>
      </c>
      <c r="J247" s="23" t="n">
        <v>10</v>
      </c>
      <c r="K247" s="115" t="n"/>
      <c r="L247" s="25">
        <f>K247/J247</f>
        <v/>
      </c>
      <c r="M247" s="26" t="n">
        <v>0.3381642512077295</v>
      </c>
      <c r="N247" s="25">
        <f>LEFT(I247,FIND("X",I247)-1)*RIGHT(I247,LEN(I247)-FIND("X",I247)-1)*M247</f>
        <v/>
      </c>
      <c r="O247" s="27">
        <f>(N247*L247)/1000</f>
        <v/>
      </c>
    </row>
    <row r="248" ht="15" customHeight="1">
      <c r="A248" s="149" t="n">
        <v>27</v>
      </c>
      <c r="B248" s="150" t="inlineStr">
        <is>
          <t>MSX 68</t>
        </is>
      </c>
      <c r="C248" s="138" t="inlineStr">
        <is>
          <t>LVP</t>
        </is>
      </c>
      <c r="D248" s="29" t="inlineStr">
        <is>
          <t>Top</t>
        </is>
      </c>
      <c r="E248" s="29" t="n">
        <v>60</v>
      </c>
      <c r="F248" s="29" t="inlineStr">
        <is>
          <t>H.C.</t>
        </is>
      </c>
      <c r="G248" s="29" t="inlineStr">
        <is>
          <t>Hand Cutting</t>
        </is>
      </c>
      <c r="H248" s="29" t="inlineStr">
        <is>
          <t>327 X 732</t>
        </is>
      </c>
      <c r="I248" s="29" t="inlineStr">
        <is>
          <t>27 X 29</t>
        </is>
      </c>
      <c r="J248" s="29" t="n">
        <v>2</v>
      </c>
      <c r="K248" s="114" t="n"/>
      <c r="L248" s="31">
        <f>K248/J248</f>
        <v/>
      </c>
      <c r="M248" s="32" t="n">
        <v>1.103988603988604</v>
      </c>
      <c r="N248" s="31">
        <f>LEFT(I248,FIND("X",I248)-1)*RIGHT(I248,LEN(I248)-FIND("X",I248)-1)*M248</f>
        <v/>
      </c>
      <c r="O248" s="33">
        <f>(N248*L248)/1000</f>
        <v/>
      </c>
    </row>
    <row r="249" ht="15" customHeight="1">
      <c r="A249" s="133" t="n"/>
      <c r="B249" s="133" t="n"/>
      <c r="C249" s="136" t="n"/>
      <c r="D249" s="11" t="inlineStr">
        <is>
          <t>Bottom</t>
        </is>
      </c>
      <c r="E249" s="11" t="n">
        <v>40</v>
      </c>
      <c r="F249" s="29" t="inlineStr">
        <is>
          <t>H.C.</t>
        </is>
      </c>
      <c r="G249" s="11" t="inlineStr">
        <is>
          <t>Hand Cutting</t>
        </is>
      </c>
      <c r="H249" s="29" t="inlineStr">
        <is>
          <t>327 X 732</t>
        </is>
      </c>
      <c r="I249" s="29" t="inlineStr">
        <is>
          <t>27 X 29</t>
        </is>
      </c>
      <c r="J249" s="29" t="n">
        <v>2</v>
      </c>
      <c r="K249" s="34" t="n"/>
      <c r="L249" s="14">
        <f>K249/J249</f>
        <v/>
      </c>
      <c r="M249" s="15" t="n">
        <v>0.6977821913273751</v>
      </c>
      <c r="N249" s="14">
        <f>LEFT(I249,FIND("X",I249)-1)*RIGHT(I249,LEN(I249)-FIND("X",I249)-1)*M249</f>
        <v/>
      </c>
      <c r="O249" s="16">
        <f>(N249*L249)/1000</f>
        <v/>
      </c>
    </row>
    <row r="250" ht="15" customHeight="1">
      <c r="A250" s="135" t="n"/>
      <c r="B250" s="135" t="n"/>
      <c r="C250" s="22" t="inlineStr">
        <is>
          <t>SCFG</t>
        </is>
      </c>
      <c r="D250" s="23" t="inlineStr">
        <is>
          <t>-</t>
        </is>
      </c>
      <c r="E250" s="23" t="n">
        <v>15</v>
      </c>
      <c r="F250" s="23" t="inlineStr">
        <is>
          <t>H.C.</t>
        </is>
      </c>
      <c r="G250" s="23" t="inlineStr">
        <is>
          <t>Hand Cutting</t>
        </is>
      </c>
      <c r="H250" s="23" t="inlineStr">
        <is>
          <t>343 X 753</t>
        </is>
      </c>
      <c r="I250" s="23" t="inlineStr">
        <is>
          <t>61 X 71.5</t>
        </is>
      </c>
      <c r="J250" s="23" t="n">
        <v>10</v>
      </c>
      <c r="K250" s="115" t="n"/>
      <c r="L250" s="25">
        <f>K250/J250</f>
        <v/>
      </c>
      <c r="M250" s="26" t="n">
        <v>0.3381642512077295</v>
      </c>
      <c r="N250" s="25">
        <f>LEFT(I250,FIND("X",I250)-1)*RIGHT(I250,LEN(I250)-FIND("X",I250)-1)*M250</f>
        <v/>
      </c>
      <c r="O250" s="27">
        <f>(N250*L250)/1000</f>
        <v/>
      </c>
    </row>
    <row r="251" ht="15" customHeight="1">
      <c r="A251" s="149" t="n">
        <v>28</v>
      </c>
      <c r="B251" s="150" t="inlineStr">
        <is>
          <t>MSX 75</t>
        </is>
      </c>
      <c r="C251" s="138" t="inlineStr">
        <is>
          <t>LVP</t>
        </is>
      </c>
      <c r="D251" s="29" t="inlineStr">
        <is>
          <t>Top</t>
        </is>
      </c>
      <c r="E251" s="29" t="n">
        <v>60</v>
      </c>
      <c r="F251" s="29" t="inlineStr">
        <is>
          <t>Single</t>
        </is>
      </c>
      <c r="G251" s="29" t="inlineStr">
        <is>
          <t>MSX 75 LVP</t>
        </is>
      </c>
      <c r="H251" s="29" t="inlineStr">
        <is>
          <t>427 X 508</t>
        </is>
      </c>
      <c r="I251" s="29" t="inlineStr">
        <is>
          <t>20.5 X 34.5</t>
        </is>
      </c>
      <c r="J251" s="29" t="n">
        <v>2</v>
      </c>
      <c r="K251" s="114" t="n"/>
      <c r="L251" s="31">
        <f>K251/J251</f>
        <v/>
      </c>
      <c r="M251" s="32" t="n">
        <v>1.103988603988604</v>
      </c>
      <c r="N251" s="31">
        <f>LEFT(I251,FIND("X",I251)-1)*RIGHT(I251,LEN(I251)-FIND("X",I251)-1)*M251</f>
        <v/>
      </c>
      <c r="O251" s="33">
        <f>(N251*L251)/1000</f>
        <v/>
      </c>
    </row>
    <row r="252" ht="15" customHeight="1">
      <c r="A252" s="133" t="n"/>
      <c r="B252" s="133" t="n"/>
      <c r="C252" s="136" t="n"/>
      <c r="D252" s="11" t="inlineStr">
        <is>
          <t>Bottom</t>
        </is>
      </c>
      <c r="E252" s="11" t="n">
        <v>40</v>
      </c>
      <c r="F252" s="29" t="inlineStr">
        <is>
          <t>Single</t>
        </is>
      </c>
      <c r="G252" s="29" t="inlineStr">
        <is>
          <t>MSX 75 LVP</t>
        </is>
      </c>
      <c r="H252" s="29" t="inlineStr">
        <is>
          <t>427 X 508</t>
        </is>
      </c>
      <c r="I252" s="11" t="inlineStr">
        <is>
          <t>20.5 X 34.5</t>
        </is>
      </c>
      <c r="J252" s="11" t="n">
        <v>2</v>
      </c>
      <c r="K252" s="34" t="n"/>
      <c r="L252" s="14">
        <f>K252/J252</f>
        <v/>
      </c>
      <c r="M252" s="15" t="n">
        <v>0.6977821913273751</v>
      </c>
      <c r="N252" s="14">
        <f>LEFT(I252,FIND("X",I252)-1)*RIGHT(I252,LEN(I252)-FIND("X",I252)-1)*M252</f>
        <v/>
      </c>
      <c r="O252" s="16">
        <f>(N252*L252)/1000</f>
        <v/>
      </c>
    </row>
    <row r="253" ht="15" customHeight="1">
      <c r="A253" s="135" t="n"/>
      <c r="B253" s="135" t="n"/>
      <c r="C253" s="22" t="inlineStr">
        <is>
          <t>SCFG</t>
        </is>
      </c>
      <c r="D253" s="23" t="inlineStr">
        <is>
          <t>-</t>
        </is>
      </c>
      <c r="E253" s="23" t="n">
        <v>15</v>
      </c>
      <c r="F253" s="23" t="inlineStr">
        <is>
          <t>H.C.</t>
        </is>
      </c>
      <c r="G253" s="23" t="inlineStr">
        <is>
          <t>Hand Cutting</t>
        </is>
      </c>
      <c r="H253" s="23" t="inlineStr">
        <is>
          <t>443 X 524</t>
        </is>
      </c>
      <c r="I253" s="23" t="inlineStr">
        <is>
          <t>43 X 91</t>
        </is>
      </c>
      <c r="J253" s="23" t="n">
        <v>10</v>
      </c>
      <c r="K253" s="115" t="n"/>
      <c r="L253" s="25">
        <f>K253/J253</f>
        <v/>
      </c>
      <c r="M253" s="26" t="n">
        <v>0.3381642512077295</v>
      </c>
      <c r="N253" s="25">
        <f>LEFT(I253,FIND("X",I253)-1)*RIGHT(I253,LEN(I253)-FIND("X",I253)-1)*M253</f>
        <v/>
      </c>
      <c r="O253" s="27">
        <f>(N253*L253)/1000</f>
        <v/>
      </c>
    </row>
    <row r="254" ht="15" customHeight="1">
      <c r="A254" s="149" t="n">
        <v>29</v>
      </c>
      <c r="B254" s="150" t="inlineStr">
        <is>
          <t>MSX 80</t>
        </is>
      </c>
      <c r="C254" s="138" t="inlineStr">
        <is>
          <t>LVP</t>
        </is>
      </c>
      <c r="D254" s="29" t="inlineStr">
        <is>
          <t>Top</t>
        </is>
      </c>
      <c r="E254" s="29" t="n">
        <v>60</v>
      </c>
      <c r="F254" s="29" t="inlineStr">
        <is>
          <t>Single</t>
        </is>
      </c>
      <c r="G254" s="29" t="inlineStr">
        <is>
          <t>MSX 80 LVP</t>
        </is>
      </c>
      <c r="H254" s="29" t="inlineStr">
        <is>
          <t>127 X 192</t>
        </is>
      </c>
      <c r="I254" s="29" t="inlineStr">
        <is>
          <t>22 X 24</t>
        </is>
      </c>
      <c r="J254" s="29" t="n">
        <v>9</v>
      </c>
      <c r="K254" s="114" t="n">
        <v>250</v>
      </c>
      <c r="L254" s="31">
        <f>K254/J254</f>
        <v/>
      </c>
      <c r="M254" s="32" t="n">
        <v>1.103988603988604</v>
      </c>
      <c r="N254" s="31">
        <f>LEFT(I254,FIND("X",I254)-1)*RIGHT(I254,LEN(I254)-FIND("X",I254)-1)*M254</f>
        <v/>
      </c>
      <c r="O254" s="33">
        <f>(N254*L254)/1000</f>
        <v/>
      </c>
    </row>
    <row r="255" ht="15" customHeight="1">
      <c r="A255" s="133" t="n"/>
      <c r="B255" s="133" t="n"/>
      <c r="C255" s="136" t="n"/>
      <c r="D255" s="11" t="inlineStr">
        <is>
          <t>Bottom</t>
        </is>
      </c>
      <c r="E255" s="11" t="n">
        <v>40</v>
      </c>
      <c r="F255" s="29" t="inlineStr">
        <is>
          <t>Single</t>
        </is>
      </c>
      <c r="G255" s="29" t="inlineStr">
        <is>
          <t>MSX 80 LVP</t>
        </is>
      </c>
      <c r="H255" s="29" t="inlineStr">
        <is>
          <t>127 X 192</t>
        </is>
      </c>
      <c r="I255" s="11" t="inlineStr">
        <is>
          <t>22 X 24</t>
        </is>
      </c>
      <c r="J255" s="11" t="n">
        <v>9</v>
      </c>
      <c r="K255" s="34" t="n">
        <v>250</v>
      </c>
      <c r="L255" s="14">
        <f>K255/J255</f>
        <v/>
      </c>
      <c r="M255" s="15" t="n">
        <v>0.6977821913273751</v>
      </c>
      <c r="N255" s="14">
        <f>LEFT(I255,FIND("X",I255)-1)*RIGHT(I255,LEN(I255)-FIND("X",I255)-1)*M255</f>
        <v/>
      </c>
      <c r="O255" s="16">
        <f>(N255*L255)/1000</f>
        <v/>
      </c>
    </row>
    <row r="256" ht="15" customHeight="1">
      <c r="A256" s="135" t="n"/>
      <c r="B256" s="135" t="n"/>
      <c r="C256" s="22" t="inlineStr">
        <is>
          <t>SCFG</t>
        </is>
      </c>
      <c r="D256" s="23" t="inlineStr">
        <is>
          <t>-</t>
        </is>
      </c>
      <c r="E256" s="23" t="n">
        <v>15</v>
      </c>
      <c r="F256" s="29" t="inlineStr">
        <is>
          <t>Single</t>
        </is>
      </c>
      <c r="G256" s="23" t="inlineStr">
        <is>
          <t>MSX 80 SCFG</t>
        </is>
      </c>
      <c r="H256" s="23" t="inlineStr">
        <is>
          <t>147 X 211</t>
        </is>
      </c>
      <c r="I256" s="23" t="inlineStr">
        <is>
          <t>18 X 33</t>
        </is>
      </c>
      <c r="J256" s="23" t="n">
        <v>10</v>
      </c>
      <c r="K256" s="115" t="n">
        <v>250</v>
      </c>
      <c r="L256" s="25">
        <f>K256/J256</f>
        <v/>
      </c>
      <c r="M256" s="26" t="n">
        <v>0.3381642512077295</v>
      </c>
      <c r="N256" s="25">
        <f>LEFT(I256,FIND("X",I256)-1)*RIGHT(I256,LEN(I256)-FIND("X",I256)-1)*M256</f>
        <v/>
      </c>
      <c r="O256" s="27">
        <f>(N256*L256)/1000</f>
        <v/>
      </c>
    </row>
    <row r="257" ht="15" customHeight="1">
      <c r="A257" s="149" t="n">
        <v>30</v>
      </c>
      <c r="B257" s="150" t="inlineStr">
        <is>
          <t>MSX 82</t>
        </is>
      </c>
      <c r="C257" s="138" t="inlineStr">
        <is>
          <t>LVP</t>
        </is>
      </c>
      <c r="D257" s="29" t="inlineStr">
        <is>
          <t>Top</t>
        </is>
      </c>
      <c r="E257" s="29" t="n">
        <v>60</v>
      </c>
      <c r="F257" s="29" t="inlineStr">
        <is>
          <t>Single</t>
        </is>
      </c>
      <c r="G257" s="29" t="inlineStr">
        <is>
          <t>MSX 82 LVP</t>
        </is>
      </c>
      <c r="H257" s="29" t="inlineStr">
        <is>
          <t>178 X 254</t>
        </is>
      </c>
      <c r="I257" s="29" t="inlineStr">
        <is>
          <t>21 X 23</t>
        </is>
      </c>
      <c r="J257" s="29" t="n">
        <v>6</v>
      </c>
      <c r="K257" s="114" t="n">
        <v>50</v>
      </c>
      <c r="L257" s="31">
        <f>K257/J257</f>
        <v/>
      </c>
      <c r="M257" s="32" t="n">
        <v>1.103988603988604</v>
      </c>
      <c r="N257" s="31">
        <f>LEFT(I257,FIND("X",I257)-1)*RIGHT(I257,LEN(I257)-FIND("X",I257)-1)*M257</f>
        <v/>
      </c>
      <c r="O257" s="33">
        <f>(N257*L257)/1000</f>
        <v/>
      </c>
    </row>
    <row r="258" ht="15" customHeight="1">
      <c r="A258" s="133" t="n"/>
      <c r="B258" s="133" t="n"/>
      <c r="C258" s="136" t="n"/>
      <c r="D258" s="11" t="inlineStr">
        <is>
          <t>Bottom</t>
        </is>
      </c>
      <c r="E258" s="11" t="n">
        <v>40</v>
      </c>
      <c r="F258" s="29" t="inlineStr">
        <is>
          <t>Single</t>
        </is>
      </c>
      <c r="G258" s="29" t="inlineStr">
        <is>
          <t>MSX 82 LVP</t>
        </is>
      </c>
      <c r="H258" s="29" t="inlineStr">
        <is>
          <t>178 X 254</t>
        </is>
      </c>
      <c r="I258" s="11" t="inlineStr">
        <is>
          <t>21 X 23</t>
        </is>
      </c>
      <c r="J258" s="11" t="n">
        <v>6</v>
      </c>
      <c r="K258" s="34" t="n">
        <v>50</v>
      </c>
      <c r="L258" s="14">
        <f>K258/J258</f>
        <v/>
      </c>
      <c r="M258" s="15" t="n">
        <v>0.6977821913273751</v>
      </c>
      <c r="N258" s="14">
        <f>LEFT(I258,FIND("X",I258)-1)*RIGHT(I258,LEN(I258)-FIND("X",I258)-1)*M258</f>
        <v/>
      </c>
      <c r="O258" s="16">
        <f>(N258*L258)/1000</f>
        <v/>
      </c>
    </row>
    <row r="259" ht="15" customHeight="1">
      <c r="A259" s="135" t="n"/>
      <c r="B259" s="135" t="n"/>
      <c r="C259" s="22" t="inlineStr">
        <is>
          <t>SCFG</t>
        </is>
      </c>
      <c r="D259" s="23" t="inlineStr">
        <is>
          <t>-</t>
        </is>
      </c>
      <c r="E259" s="23" t="n">
        <v>15</v>
      </c>
      <c r="F259" s="23" t="inlineStr">
        <is>
          <t>Single</t>
        </is>
      </c>
      <c r="G259" s="23" t="inlineStr">
        <is>
          <t>MSX 82 SCFG</t>
        </is>
      </c>
      <c r="H259" s="23" t="inlineStr">
        <is>
          <t>198 X 275</t>
        </is>
      </c>
      <c r="I259" s="23" t="inlineStr">
        <is>
          <t>23 X 43</t>
        </is>
      </c>
      <c r="J259" s="23" t="n">
        <v>10</v>
      </c>
      <c r="K259" s="115" t="n">
        <v>50</v>
      </c>
      <c r="L259" s="25">
        <f>K259/J259</f>
        <v/>
      </c>
      <c r="M259" s="26" t="n">
        <v>0.3381642512077295</v>
      </c>
      <c r="N259" s="25">
        <f>LEFT(I259,FIND("X",I259)-1)*RIGHT(I259,LEN(I259)-FIND("X",I259)-1)*M259</f>
        <v/>
      </c>
      <c r="O259" s="27">
        <f>(N259*L259)/1000</f>
        <v/>
      </c>
    </row>
    <row r="260" ht="15" customHeight="1">
      <c r="A260" s="149" t="n">
        <v>31</v>
      </c>
      <c r="B260" s="150" t="inlineStr">
        <is>
          <t>MSX 84</t>
        </is>
      </c>
      <c r="C260" s="138" t="inlineStr">
        <is>
          <t>LVP</t>
        </is>
      </c>
      <c r="D260" s="29" t="inlineStr">
        <is>
          <t>Top</t>
        </is>
      </c>
      <c r="E260" s="29" t="n">
        <v>60</v>
      </c>
      <c r="F260" s="29" t="inlineStr">
        <is>
          <t>Single</t>
        </is>
      </c>
      <c r="G260" s="29" t="inlineStr">
        <is>
          <t>MCX 84 LVP</t>
        </is>
      </c>
      <c r="H260" s="29" t="inlineStr">
        <is>
          <t>204 X 273</t>
        </is>
      </c>
      <c r="I260" s="29" t="inlineStr">
        <is>
          <t>17 X 23</t>
        </is>
      </c>
      <c r="J260" s="29" t="n">
        <v>4</v>
      </c>
      <c r="K260" s="114" t="n">
        <v>10</v>
      </c>
      <c r="L260" s="31">
        <f>K260/J260</f>
        <v/>
      </c>
      <c r="M260" s="32" t="n">
        <v>1.103988603988604</v>
      </c>
      <c r="N260" s="31">
        <f>LEFT(I260,FIND("X",I260)-1)*RIGHT(I260,LEN(I260)-FIND("X",I260)-1)*M260</f>
        <v/>
      </c>
      <c r="O260" s="33">
        <f>(N260*L260)/1000</f>
        <v/>
      </c>
    </row>
    <row r="261" ht="15" customHeight="1">
      <c r="A261" s="133" t="n"/>
      <c r="B261" s="133" t="n"/>
      <c r="C261" s="136" t="n"/>
      <c r="D261" s="11" t="inlineStr">
        <is>
          <t>Bottom</t>
        </is>
      </c>
      <c r="E261" s="11" t="n">
        <v>40</v>
      </c>
      <c r="F261" s="29" t="inlineStr">
        <is>
          <t>Single</t>
        </is>
      </c>
      <c r="G261" s="11" t="inlineStr">
        <is>
          <t>MCX 84 LVP</t>
        </is>
      </c>
      <c r="H261" s="11" t="inlineStr">
        <is>
          <t>204 X 273</t>
        </is>
      </c>
      <c r="I261" s="11" t="inlineStr">
        <is>
          <t>17 X 23</t>
        </is>
      </c>
      <c r="J261" s="11" t="n">
        <v>4</v>
      </c>
      <c r="K261" s="34" t="n">
        <v>10</v>
      </c>
      <c r="L261" s="14">
        <f>K261/J261</f>
        <v/>
      </c>
      <c r="M261" s="15" t="n">
        <v>0.6977821913273751</v>
      </c>
      <c r="N261" s="14">
        <f>LEFT(I261,FIND("X",I261)-1)*RIGHT(I261,LEN(I261)-FIND("X",I261)-1)*M261</f>
        <v/>
      </c>
      <c r="O261" s="16">
        <f>(N261*L261)/1000</f>
        <v/>
      </c>
    </row>
    <row r="262" ht="15" customHeight="1">
      <c r="A262" s="135" t="n"/>
      <c r="B262" s="135" t="n"/>
      <c r="C262" s="22" t="inlineStr">
        <is>
          <t>SCFG</t>
        </is>
      </c>
      <c r="D262" s="23" t="inlineStr">
        <is>
          <t>-</t>
        </is>
      </c>
      <c r="E262" s="23" t="n">
        <v>15</v>
      </c>
      <c r="F262" s="23" t="inlineStr">
        <is>
          <t>Single</t>
        </is>
      </c>
      <c r="G262" s="23" t="inlineStr">
        <is>
          <t>MSX 84 SCFG</t>
        </is>
      </c>
      <c r="H262" s="23" t="inlineStr">
        <is>
          <t>223 X 294</t>
        </is>
      </c>
      <c r="I262" s="23" t="inlineStr">
        <is>
          <t>25 X 48</t>
        </is>
      </c>
      <c r="J262" s="23" t="n">
        <v>10</v>
      </c>
      <c r="K262" s="115" t="n">
        <v>10</v>
      </c>
      <c r="L262" s="25">
        <f>K262/J262</f>
        <v/>
      </c>
      <c r="M262" s="26" t="n">
        <v>0.3381642512077295</v>
      </c>
      <c r="N262" s="25">
        <f>LEFT(I262,FIND("X",I262)-1)*RIGHT(I262,LEN(I262)-FIND("X",I262)-1)*M262</f>
        <v/>
      </c>
      <c r="O262" s="27">
        <f>(N262*L262)/1000</f>
        <v/>
      </c>
    </row>
    <row r="263" ht="15" customHeight="1">
      <c r="A263" s="149" t="n">
        <v>32</v>
      </c>
      <c r="B263" s="150" t="inlineStr">
        <is>
          <t>MSX 86</t>
        </is>
      </c>
      <c r="C263" s="138" t="inlineStr">
        <is>
          <t>LVP</t>
        </is>
      </c>
      <c r="D263" s="29" t="inlineStr">
        <is>
          <t>Top</t>
        </is>
      </c>
      <c r="E263" s="29" t="n">
        <v>60</v>
      </c>
      <c r="F263" s="29" t="inlineStr">
        <is>
          <t>Single</t>
        </is>
      </c>
      <c r="G263" s="29" t="inlineStr">
        <is>
          <t>MCX 86 LVP</t>
        </is>
      </c>
      <c r="H263" s="29" t="inlineStr">
        <is>
          <t>235 X 330</t>
        </is>
      </c>
      <c r="I263" s="29" t="inlineStr">
        <is>
          <t>14 X 20</t>
        </is>
      </c>
      <c r="J263" s="29" t="n">
        <v>2</v>
      </c>
      <c r="K263" s="114" t="n">
        <v>10</v>
      </c>
      <c r="L263" s="31">
        <f>K263/J263</f>
        <v/>
      </c>
      <c r="M263" s="32" t="n">
        <v>1.103988603988604</v>
      </c>
      <c r="N263" s="31">
        <f>LEFT(I263,FIND("X",I263)-1)*RIGHT(I263,LEN(I263)-FIND("X",I263)-1)*M263</f>
        <v/>
      </c>
      <c r="O263" s="33">
        <f>(N263*L263)/1000</f>
        <v/>
      </c>
    </row>
    <row r="264" ht="15" customHeight="1">
      <c r="A264" s="133" t="n"/>
      <c r="B264" s="133" t="n"/>
      <c r="C264" s="136" t="n"/>
      <c r="D264" s="11" t="inlineStr">
        <is>
          <t>Bottom</t>
        </is>
      </c>
      <c r="E264" s="11" t="n">
        <v>40</v>
      </c>
      <c r="F264" s="29" t="inlineStr">
        <is>
          <t>Single</t>
        </is>
      </c>
      <c r="G264" s="11" t="inlineStr">
        <is>
          <t>MCX 86 LVP</t>
        </is>
      </c>
      <c r="H264" s="11" t="inlineStr">
        <is>
          <t>235 X 330</t>
        </is>
      </c>
      <c r="I264" s="11" t="inlineStr">
        <is>
          <t>14 X 20</t>
        </is>
      </c>
      <c r="J264" s="11" t="n">
        <v>2</v>
      </c>
      <c r="K264" s="34" t="n">
        <v>10</v>
      </c>
      <c r="L264" s="14">
        <f>K264/J264</f>
        <v/>
      </c>
      <c r="M264" s="15" t="n">
        <v>0.6977821913273751</v>
      </c>
      <c r="N264" s="14">
        <f>LEFT(I264,FIND("X",I264)-1)*RIGHT(I264,LEN(I264)-FIND("X",I264)-1)*M264</f>
        <v/>
      </c>
      <c r="O264" s="16">
        <f>(N264*L264)/1000</f>
        <v/>
      </c>
    </row>
    <row r="265" ht="15" customHeight="1">
      <c r="A265" s="135" t="n"/>
      <c r="B265" s="135" t="n"/>
      <c r="C265" s="22" t="inlineStr">
        <is>
          <t>SCFG</t>
        </is>
      </c>
      <c r="D265" s="23" t="inlineStr">
        <is>
          <t>-</t>
        </is>
      </c>
      <c r="E265" s="23" t="n">
        <v>15</v>
      </c>
      <c r="F265" s="23" t="inlineStr">
        <is>
          <t>Single</t>
        </is>
      </c>
      <c r="G265" s="23" t="inlineStr">
        <is>
          <t>MSX 86 SCFG</t>
        </is>
      </c>
      <c r="H265" s="23" t="inlineStr">
        <is>
          <t>255 X 351</t>
        </is>
      </c>
      <c r="I265" s="23" t="inlineStr">
        <is>
          <t>29 X 54</t>
        </is>
      </c>
      <c r="J265" s="23" t="n">
        <v>10</v>
      </c>
      <c r="K265" s="115" t="n">
        <v>10</v>
      </c>
      <c r="L265" s="25">
        <f>K265/J265</f>
        <v/>
      </c>
      <c r="M265" s="26" t="n">
        <v>0.3381642512077295</v>
      </c>
      <c r="N265" s="25">
        <f>LEFT(I265,FIND("X",I265)-1)*RIGHT(I265,LEN(I265)-FIND("X",I265)-1)*M265</f>
        <v/>
      </c>
      <c r="O265" s="27">
        <f>(N265*L265)/1000</f>
        <v/>
      </c>
    </row>
    <row r="266">
      <c r="A266" s="141" t="inlineStr">
        <is>
          <t>KWIK Series</t>
        </is>
      </c>
      <c r="B266" s="142" t="n"/>
      <c r="C266" s="142" t="n"/>
      <c r="D266" s="142" t="n"/>
      <c r="E266" s="142" t="n"/>
      <c r="F266" s="142" t="n"/>
      <c r="G266" s="142" t="n"/>
      <c r="H266" s="142" t="n"/>
      <c r="I266" s="142" t="n"/>
      <c r="J266" s="142" t="n"/>
      <c r="K266" s="142" t="n"/>
      <c r="L266" s="142" t="n"/>
      <c r="M266" s="142" t="n"/>
      <c r="N266" s="142" t="n"/>
      <c r="O266" s="143" t="n"/>
    </row>
    <row r="267">
      <c r="A267" s="144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45" t="n"/>
    </row>
    <row r="268" ht="13.5" customHeight="1" thickBot="1">
      <c r="A268" s="146" t="n"/>
      <c r="B268" s="147" t="n"/>
      <c r="C268" s="147" t="n"/>
      <c r="D268" s="147" t="n"/>
      <c r="E268" s="147" t="n"/>
      <c r="F268" s="147" t="n"/>
      <c r="G268" s="147" t="n"/>
      <c r="H268" s="147" t="n"/>
      <c r="I268" s="147" t="n"/>
      <c r="J268" s="147" t="n"/>
      <c r="K268" s="147" t="n"/>
      <c r="L268" s="147" t="n"/>
      <c r="M268" s="147" t="n"/>
      <c r="N268" s="147" t="n"/>
      <c r="O268" s="148" t="n"/>
    </row>
    <row r="269" ht="15" customHeight="1">
      <c r="A269" s="149" t="n">
        <v>1</v>
      </c>
      <c r="B269" s="150" t="inlineStr">
        <is>
          <t>Kwik 0</t>
        </is>
      </c>
      <c r="C269" s="97" t="inlineStr">
        <is>
          <t>Fabric</t>
        </is>
      </c>
      <c r="D269" s="29" t="n"/>
      <c r="E269" s="29" t="n"/>
      <c r="F269" s="29" t="n"/>
      <c r="G269" s="29" t="n"/>
      <c r="H269" s="29" t="n"/>
      <c r="I269" s="29" t="n"/>
      <c r="J269" s="29" t="n"/>
      <c r="K269" s="114" t="n"/>
      <c r="L269" s="31">
        <f>K269/J269</f>
        <v/>
      </c>
      <c r="M269" s="32" t="e">
        <v>#N/A</v>
      </c>
      <c r="N269" s="31">
        <f>LEFT(I269,FIND("X",I269)-1)*RIGHT(I269,LEN(I269)-FIND("X",I269)-1)*M269</f>
        <v/>
      </c>
      <c r="O269" s="33">
        <f>(N269*L269)/1000</f>
        <v/>
      </c>
    </row>
    <row r="270" ht="15" customHeight="1">
      <c r="A270" s="135" t="n"/>
      <c r="B270" s="135" t="n"/>
      <c r="C270" s="22" t="inlineStr">
        <is>
          <t>SCFG</t>
        </is>
      </c>
      <c r="D270" s="23" t="inlineStr">
        <is>
          <t>-</t>
        </is>
      </c>
      <c r="E270" s="23" t="n">
        <v>15</v>
      </c>
      <c r="F270" s="23" t="inlineStr">
        <is>
          <t>Single</t>
        </is>
      </c>
      <c r="G270" s="23" t="inlineStr">
        <is>
          <t>KWIK 0 SCFG</t>
        </is>
      </c>
      <c r="H270" s="23" t="n">
        <v>60</v>
      </c>
      <c r="I270" s="23" t="inlineStr">
        <is>
          <t>22 X 22</t>
        </is>
      </c>
      <c r="J270" s="23" t="n">
        <v>49</v>
      </c>
      <c r="K270" s="115" t="n"/>
      <c r="L270" s="25">
        <f>K270/J270</f>
        <v/>
      </c>
      <c r="M270" s="26" t="n">
        <v>0.3381642512077295</v>
      </c>
      <c r="N270" s="25">
        <f>LEFT(I270,FIND("X",I270)-1)*RIGHT(I270,LEN(I270)-FIND("X",I270)-1)*M270</f>
        <v/>
      </c>
      <c r="O270" s="27">
        <f>(N270*L270)/1000</f>
        <v/>
      </c>
    </row>
    <row r="271" ht="15" customHeight="1">
      <c r="A271" s="149" t="n">
        <v>2</v>
      </c>
      <c r="B271" s="150" t="inlineStr">
        <is>
          <t>Kwik 1</t>
        </is>
      </c>
      <c r="C271" s="97" t="inlineStr">
        <is>
          <t>Fabric</t>
        </is>
      </c>
      <c r="D271" s="29" t="n"/>
      <c r="E271" s="29" t="n"/>
      <c r="F271" s="29" t="n"/>
      <c r="G271" s="29" t="n"/>
      <c r="H271" s="29" t="n"/>
      <c r="I271" s="29" t="n"/>
      <c r="J271" s="29" t="n"/>
      <c r="K271" s="114" t="n"/>
      <c r="L271" s="31">
        <f>K271/J271</f>
        <v/>
      </c>
      <c r="M271" s="32" t="e">
        <v>#N/A</v>
      </c>
      <c r="N271" s="31">
        <f>LEFT(I271,FIND("X",I271)-1)*RIGHT(I271,LEN(I271)-FIND("X",I271)-1)*M271</f>
        <v/>
      </c>
      <c r="O271" s="33">
        <f>(N271*L271)/1000</f>
        <v/>
      </c>
    </row>
    <row r="272" ht="15" customHeight="1">
      <c r="A272" s="135" t="n"/>
      <c r="B272" s="135" t="n"/>
      <c r="C272" s="22" t="inlineStr">
        <is>
          <t>SCFG</t>
        </is>
      </c>
      <c r="D272" s="23" t="inlineStr">
        <is>
          <t>-</t>
        </is>
      </c>
      <c r="E272" s="23" t="n">
        <v>15</v>
      </c>
      <c r="F272" s="23" t="inlineStr">
        <is>
          <t>Single</t>
        </is>
      </c>
      <c r="G272" s="23" t="inlineStr">
        <is>
          <t>KWIK 1 SCFG</t>
        </is>
      </c>
      <c r="H272" s="23" t="n">
        <v>75</v>
      </c>
      <c r="I272" s="23" t="inlineStr">
        <is>
          <t>22.5 X 22.5</t>
        </is>
      </c>
      <c r="J272" s="23" t="n">
        <v>36</v>
      </c>
      <c r="K272" s="115" t="n">
        <v>4800</v>
      </c>
      <c r="L272" s="25">
        <f>K272/J272</f>
        <v/>
      </c>
      <c r="M272" s="26" t="n">
        <v>0.3381642512077295</v>
      </c>
      <c r="N272" s="25">
        <f>LEFT(I272,FIND("X",I272)-1)*RIGHT(I272,LEN(I272)-FIND("X",I272)-1)*M272</f>
        <v/>
      </c>
      <c r="O272" s="27">
        <f>(N272*L272)/1000</f>
        <v/>
      </c>
    </row>
    <row r="273" ht="15" customHeight="1">
      <c r="A273" s="149" t="n">
        <v>3</v>
      </c>
      <c r="B273" s="150" t="inlineStr">
        <is>
          <t>Kwik 2</t>
        </is>
      </c>
      <c r="C273" s="138" t="inlineStr">
        <is>
          <t>LVP</t>
        </is>
      </c>
      <c r="D273" s="29" t="inlineStr">
        <is>
          <t>Top</t>
        </is>
      </c>
      <c r="E273" s="29" t="n">
        <v>75</v>
      </c>
      <c r="F273" s="29" t="inlineStr">
        <is>
          <t>Passing</t>
        </is>
      </c>
      <c r="G273" s="29" t="inlineStr">
        <is>
          <t>KWIK 2 LVP</t>
        </is>
      </c>
      <c r="H273" s="29" t="n">
        <v>70</v>
      </c>
      <c r="I273" s="29" t="inlineStr">
        <is>
          <t>23 X 23</t>
        </is>
      </c>
      <c r="J273" s="29" t="n">
        <v>49</v>
      </c>
      <c r="K273" s="114" t="n">
        <v>100</v>
      </c>
      <c r="L273" s="31">
        <f>K273/J273</f>
        <v/>
      </c>
      <c r="M273" s="32" t="n">
        <v>1.433962264150943</v>
      </c>
      <c r="N273" s="31">
        <f>LEFT(I273,FIND("X",I273)-1)*RIGHT(I273,LEN(I273)-FIND("X",I273)-1)*M273</f>
        <v/>
      </c>
      <c r="O273" s="33">
        <f>(N273*L273)/1000</f>
        <v/>
      </c>
    </row>
    <row r="274" ht="15" customHeight="1">
      <c r="A274" s="133" t="n"/>
      <c r="B274" s="133" t="n"/>
      <c r="C274" s="136" t="n"/>
      <c r="D274" s="11" t="inlineStr">
        <is>
          <t>Bottom</t>
        </is>
      </c>
      <c r="E274" s="11" t="n"/>
      <c r="F274" s="11" t="n"/>
      <c r="G274" s="11" t="n"/>
      <c r="H274" s="11" t="n"/>
      <c r="I274" s="11" t="n"/>
      <c r="J274" s="11" t="n"/>
      <c r="K274" s="34" t="n">
        <v>100</v>
      </c>
      <c r="L274" s="14">
        <f>K274/J274</f>
        <v/>
      </c>
      <c r="M274" s="15" t="e">
        <v>#N/A</v>
      </c>
      <c r="N274" s="14">
        <f>LEFT(I274,FIND("X",I274)-1)*RIGHT(I274,LEN(I274)-FIND("X",I274)-1)*M274</f>
        <v/>
      </c>
      <c r="O274" s="16">
        <f>(N274*L274)/1000</f>
        <v/>
      </c>
    </row>
    <row r="275" ht="15" customHeight="1">
      <c r="A275" s="135" t="n"/>
      <c r="B275" s="135" t="n"/>
      <c r="C275" s="22" t="inlineStr">
        <is>
          <t>SCFG</t>
        </is>
      </c>
      <c r="D275" s="23" t="inlineStr">
        <is>
          <t>-</t>
        </is>
      </c>
      <c r="E275" s="23" t="n">
        <v>15</v>
      </c>
      <c r="F275" s="23" t="inlineStr">
        <is>
          <t>Single</t>
        </is>
      </c>
      <c r="G275" s="23" t="inlineStr">
        <is>
          <t>KWIK 2 SCFG</t>
        </is>
      </c>
      <c r="H275" s="23" t="n">
        <v>89</v>
      </c>
      <c r="I275" s="23" t="inlineStr">
        <is>
          <t>21.5 X 21.5</t>
        </is>
      </c>
      <c r="J275" s="23" t="n">
        <v>25</v>
      </c>
      <c r="K275" s="115" t="n">
        <v>100</v>
      </c>
      <c r="L275" s="25">
        <f>K275/J275</f>
        <v/>
      </c>
      <c r="M275" s="26" t="n">
        <v>0.3381642512077295</v>
      </c>
      <c r="N275" s="25">
        <f>LEFT(I275,FIND("X",I275)-1)*RIGHT(I275,LEN(I275)-FIND("X",I275)-1)*M275</f>
        <v/>
      </c>
      <c r="O275" s="154">
        <f>(N275*L275)/1000</f>
        <v/>
      </c>
    </row>
    <row r="276" ht="15" customHeight="1">
      <c r="A276" s="149" t="n">
        <v>4</v>
      </c>
      <c r="B276" s="150" t="inlineStr">
        <is>
          <t>Kwik 3</t>
        </is>
      </c>
      <c r="C276" s="138" t="inlineStr">
        <is>
          <t>LVP</t>
        </is>
      </c>
      <c r="D276" s="29" t="inlineStr">
        <is>
          <t>Top</t>
        </is>
      </c>
      <c r="E276" s="29" t="n">
        <v>40</v>
      </c>
      <c r="F276" s="29" t="inlineStr">
        <is>
          <t>Single</t>
        </is>
      </c>
      <c r="G276" s="29" t="inlineStr">
        <is>
          <t>KWIK 3 LVP</t>
        </is>
      </c>
      <c r="H276" s="29" t="inlineStr">
        <is>
          <t>89 x 89</t>
        </is>
      </c>
      <c r="I276" s="29" t="inlineStr">
        <is>
          <t>24 X 24</t>
        </is>
      </c>
      <c r="J276" s="29" t="n">
        <v>36</v>
      </c>
      <c r="K276" s="114" t="n">
        <v>100</v>
      </c>
      <c r="L276" s="31">
        <f>K276/J276</f>
        <v/>
      </c>
      <c r="M276" s="32" t="n">
        <v>0.6977821913273751</v>
      </c>
      <c r="N276" s="31">
        <f>LEFT(I276,FIND("X",I276)-1)*RIGHT(I276,LEN(I276)-FIND("X",I276)-1)*M276</f>
        <v/>
      </c>
      <c r="O276" s="155">
        <f>(N276*L276)/1000</f>
        <v/>
      </c>
    </row>
    <row r="277" ht="15" customHeight="1">
      <c r="A277" s="133" t="n"/>
      <c r="B277" s="133" t="n"/>
      <c r="C277" s="136" t="n"/>
      <c r="D277" s="11" t="inlineStr">
        <is>
          <t>Bottom</t>
        </is>
      </c>
      <c r="E277" s="11" t="n">
        <v>40</v>
      </c>
      <c r="F277" s="11" t="inlineStr">
        <is>
          <t>Single</t>
        </is>
      </c>
      <c r="G277" s="29" t="inlineStr">
        <is>
          <t>KWIK 3 LVP</t>
        </is>
      </c>
      <c r="H277" s="29" t="inlineStr">
        <is>
          <t>89 x 89</t>
        </is>
      </c>
      <c r="I277" s="29" t="inlineStr">
        <is>
          <t>24 X 24</t>
        </is>
      </c>
      <c r="J277" s="29" t="n">
        <v>36</v>
      </c>
      <c r="K277" s="34" t="n">
        <v>100</v>
      </c>
      <c r="L277" s="14">
        <f>K277/J277</f>
        <v/>
      </c>
      <c r="M277" s="15" t="n">
        <v>0.6977821913273751</v>
      </c>
      <c r="N277" s="14">
        <f>LEFT(I277,FIND("X",I277)-1)*RIGHT(I277,LEN(I277)-FIND("X",I277)-1)*M277</f>
        <v/>
      </c>
      <c r="O277" s="156">
        <f>(N277*L277)/1000</f>
        <v/>
      </c>
    </row>
    <row r="278" ht="15" customHeight="1">
      <c r="A278" s="135" t="n"/>
      <c r="B278" s="135" t="n"/>
      <c r="C278" s="22" t="inlineStr">
        <is>
          <t>SCFG</t>
        </is>
      </c>
      <c r="D278" s="23" t="inlineStr">
        <is>
          <t>-</t>
        </is>
      </c>
      <c r="E278" s="23" t="n">
        <v>15</v>
      </c>
      <c r="F278" s="23" t="inlineStr">
        <is>
          <t>Single</t>
        </is>
      </c>
      <c r="G278" s="23" t="inlineStr">
        <is>
          <t>KWIK 3 SCFG</t>
        </is>
      </c>
      <c r="H278" s="23" t="inlineStr">
        <is>
          <t>108 x 108</t>
        </is>
      </c>
      <c r="I278" s="23" t="inlineStr">
        <is>
          <t>25 X 25</t>
        </is>
      </c>
      <c r="J278" s="23" t="n">
        <v>25</v>
      </c>
      <c r="K278" s="115" t="n">
        <v>100</v>
      </c>
      <c r="L278" s="25">
        <f>K278/J278</f>
        <v/>
      </c>
      <c r="M278" s="26" t="n">
        <v>0.3381642512077295</v>
      </c>
      <c r="N278" s="25">
        <f>LEFT(I278,FIND("X",I278)-1)*RIGHT(I278,LEN(I278)-FIND("X",I278)-1)*M278</f>
        <v/>
      </c>
      <c r="O278" s="157">
        <f>(N278*L278)/1000</f>
        <v/>
      </c>
    </row>
    <row r="279" ht="15" customHeight="1">
      <c r="A279" s="149" t="n">
        <v>5</v>
      </c>
      <c r="B279" s="150" t="inlineStr">
        <is>
          <t>Kwik 4</t>
        </is>
      </c>
      <c r="C279" s="138" t="inlineStr">
        <is>
          <t>LVP</t>
        </is>
      </c>
      <c r="D279" s="29" t="inlineStr">
        <is>
          <t>Top</t>
        </is>
      </c>
      <c r="E279" s="29" t="n">
        <v>60</v>
      </c>
      <c r="F279" s="29" t="inlineStr">
        <is>
          <t>Single</t>
        </is>
      </c>
      <c r="G279" s="29" t="inlineStr">
        <is>
          <t>KWIK 4 LVP</t>
        </is>
      </c>
      <c r="H279" s="29" t="inlineStr">
        <is>
          <t>136 x 136</t>
        </is>
      </c>
      <c r="I279" s="29" t="inlineStr">
        <is>
          <t>23.5 X 23.5</t>
        </is>
      </c>
      <c r="J279" s="29" t="n">
        <v>16</v>
      </c>
      <c r="K279" s="114" t="n">
        <v>100</v>
      </c>
      <c r="L279" s="31">
        <f>K279/J279</f>
        <v/>
      </c>
      <c r="M279" s="32" t="n">
        <v>1.103988603988604</v>
      </c>
      <c r="N279" s="31">
        <f>LEFT(I279,FIND("X",I279)-1)*RIGHT(I279,LEN(I279)-FIND("X",I279)-1)*M279</f>
        <v/>
      </c>
      <c r="O279" s="153">
        <f>(N279*L279)/1000</f>
        <v/>
      </c>
    </row>
    <row r="280" ht="15" customHeight="1">
      <c r="A280" s="133" t="n"/>
      <c r="B280" s="133" t="n"/>
      <c r="C280" s="136" t="n"/>
      <c r="D280" s="11" t="inlineStr">
        <is>
          <t>Bottom</t>
        </is>
      </c>
      <c r="E280" s="11" t="n">
        <v>40</v>
      </c>
      <c r="F280" s="11" t="inlineStr">
        <is>
          <t>Single</t>
        </is>
      </c>
      <c r="G280" s="29" t="inlineStr">
        <is>
          <t>KWIK 4 LVP</t>
        </is>
      </c>
      <c r="H280" s="29" t="inlineStr">
        <is>
          <t>136 x 136</t>
        </is>
      </c>
      <c r="I280" s="29" t="inlineStr">
        <is>
          <t>23.5 X 23.5</t>
        </is>
      </c>
      <c r="J280" s="29" t="n">
        <v>16</v>
      </c>
      <c r="K280" s="34" t="n">
        <v>100</v>
      </c>
      <c r="L280" s="14">
        <f>K280/J280</f>
        <v/>
      </c>
      <c r="M280" s="15" t="n">
        <v>0.6977821913273751</v>
      </c>
      <c r="N280" s="14">
        <f>LEFT(I280,FIND("X",I280)-1)*RIGHT(I280,LEN(I280)-FIND("X",I280)-1)*M280</f>
        <v/>
      </c>
      <c r="O280" s="158">
        <f>(N280*L280)/1000</f>
        <v/>
      </c>
    </row>
    <row r="281" ht="15" customHeight="1">
      <c r="A281" s="135" t="n"/>
      <c r="B281" s="135" t="n"/>
      <c r="C281" s="22" t="inlineStr">
        <is>
          <t>SCFG</t>
        </is>
      </c>
      <c r="D281" s="23" t="inlineStr">
        <is>
          <t>-</t>
        </is>
      </c>
      <c r="E281" s="23" t="n">
        <v>15</v>
      </c>
      <c r="F281" s="23" t="inlineStr">
        <is>
          <t>Single</t>
        </is>
      </c>
      <c r="G281" s="23" t="inlineStr">
        <is>
          <t>KWIK 4 SCFG</t>
        </is>
      </c>
      <c r="H281" s="23" t="inlineStr">
        <is>
          <t>161 x 161</t>
        </is>
      </c>
      <c r="I281" s="23" t="inlineStr">
        <is>
          <t>21.5 X 21.5</t>
        </is>
      </c>
      <c r="J281" s="23" t="n">
        <v>9</v>
      </c>
      <c r="K281" s="115" t="n">
        <v>100</v>
      </c>
      <c r="L281" s="25">
        <f>K281/J281</f>
        <v/>
      </c>
      <c r="M281" s="26" t="n">
        <v>0.3381642512077295</v>
      </c>
      <c r="N281" s="25">
        <f>LEFT(I281,FIND("X",I281)-1)*RIGHT(I281,LEN(I281)-FIND("X",I281)-1)*M281</f>
        <v/>
      </c>
      <c r="O281" s="27">
        <f>(N281*L281)/1000</f>
        <v/>
      </c>
    </row>
    <row r="282" ht="15" customHeight="1">
      <c r="A282" s="149" t="n">
        <v>6</v>
      </c>
      <c r="B282" s="150" t="inlineStr">
        <is>
          <t>Kwik 5</t>
        </is>
      </c>
      <c r="C282" s="138" t="inlineStr">
        <is>
          <t>LVP</t>
        </is>
      </c>
      <c r="D282" s="29" t="inlineStr">
        <is>
          <t>Top</t>
        </is>
      </c>
      <c r="E282" s="29" t="n">
        <v>60</v>
      </c>
      <c r="F282" s="29" t="inlineStr">
        <is>
          <t>Single</t>
        </is>
      </c>
      <c r="G282" s="29" t="inlineStr">
        <is>
          <t>KWIK 5 LVP</t>
        </is>
      </c>
      <c r="H282" s="29" t="inlineStr">
        <is>
          <t>165 X 165</t>
        </is>
      </c>
      <c r="I282" s="29" t="inlineStr">
        <is>
          <t>21 X 21</t>
        </is>
      </c>
      <c r="J282" s="29" t="n">
        <v>9</v>
      </c>
      <c r="K282" s="114" t="n">
        <v>100</v>
      </c>
      <c r="L282" s="31">
        <f>K282/J282</f>
        <v/>
      </c>
      <c r="M282" s="32" t="n">
        <v>1.103988603988604</v>
      </c>
      <c r="N282" s="31">
        <f>LEFT(I282,FIND("X",I282)-1)*RIGHT(I282,LEN(I282)-FIND("X",I282)-1)*M282</f>
        <v/>
      </c>
      <c r="O282" s="153">
        <f>(N282*L282)/1000</f>
        <v/>
      </c>
    </row>
    <row r="283" ht="15" customHeight="1">
      <c r="A283" s="133" t="n"/>
      <c r="B283" s="133" t="n"/>
      <c r="C283" s="136" t="n"/>
      <c r="D283" s="11" t="inlineStr">
        <is>
          <t>Bottom</t>
        </is>
      </c>
      <c r="E283" s="11" t="n">
        <v>40</v>
      </c>
      <c r="F283" s="11" t="inlineStr">
        <is>
          <t>Single</t>
        </is>
      </c>
      <c r="G283" s="29" t="inlineStr">
        <is>
          <t>KWIK 5 LVP</t>
        </is>
      </c>
      <c r="H283" s="29" t="inlineStr">
        <is>
          <t>165 X 165</t>
        </is>
      </c>
      <c r="I283" s="29" t="inlineStr">
        <is>
          <t>21 X 21</t>
        </is>
      </c>
      <c r="J283" s="29" t="n">
        <v>9</v>
      </c>
      <c r="K283" s="34" t="n">
        <v>100</v>
      </c>
      <c r="L283" s="14">
        <f>K283/J283</f>
        <v/>
      </c>
      <c r="M283" s="15" t="n">
        <v>0.6977821913273751</v>
      </c>
      <c r="N283" s="14">
        <f>LEFT(I283,FIND("X",I283)-1)*RIGHT(I283,LEN(I283)-FIND("X",I283)-1)*M283</f>
        <v/>
      </c>
      <c r="O283" s="158">
        <f>(N283*L283)/1000</f>
        <v/>
      </c>
    </row>
    <row r="284" ht="15" customHeight="1">
      <c r="A284" s="135" t="n"/>
      <c r="B284" s="135" t="n"/>
      <c r="C284" s="22" t="inlineStr">
        <is>
          <t>SCFG</t>
        </is>
      </c>
      <c r="D284" s="23" t="inlineStr">
        <is>
          <t>-</t>
        </is>
      </c>
      <c r="E284" s="23" t="n">
        <v>15</v>
      </c>
      <c r="F284" s="23" t="inlineStr">
        <is>
          <t>Single</t>
        </is>
      </c>
      <c r="G284" s="23" t="inlineStr">
        <is>
          <t>KWIK 5 SCFG</t>
        </is>
      </c>
      <c r="H284" s="23" t="inlineStr">
        <is>
          <t>188 x 188</t>
        </is>
      </c>
      <c r="I284" s="23" t="inlineStr">
        <is>
          <t>24.5 X 24.5</t>
        </is>
      </c>
      <c r="J284" s="23" t="n">
        <v>9</v>
      </c>
      <c r="K284" s="115" t="n">
        <v>100</v>
      </c>
      <c r="L284" s="25">
        <f>K284/J284</f>
        <v/>
      </c>
      <c r="M284" s="26" t="n">
        <v>0.3381642512077295</v>
      </c>
      <c r="N284" s="25">
        <f>LEFT(I284,FIND("X",I284)-1)*RIGHT(I284,LEN(I284)-FIND("X",I284)-1)*M284</f>
        <v/>
      </c>
      <c r="O284" s="154">
        <f>(N284*L284)/1000</f>
        <v/>
      </c>
    </row>
    <row r="285" ht="15" customHeight="1">
      <c r="A285" s="149" t="n">
        <v>7</v>
      </c>
      <c r="B285" s="150" t="inlineStr">
        <is>
          <t>Kwik 5.5</t>
        </is>
      </c>
      <c r="C285" s="138" t="inlineStr">
        <is>
          <t>LVP</t>
        </is>
      </c>
      <c r="D285" s="29" t="inlineStr">
        <is>
          <t>Top</t>
        </is>
      </c>
      <c r="E285" s="29" t="n">
        <v>60</v>
      </c>
      <c r="F285" s="29" t="inlineStr">
        <is>
          <t>Single</t>
        </is>
      </c>
      <c r="G285" s="29" t="inlineStr">
        <is>
          <t>KWIK 5.5 LVP</t>
        </is>
      </c>
      <c r="H285" s="29" t="inlineStr">
        <is>
          <t>185 X 185</t>
        </is>
      </c>
      <c r="I285" s="29" t="inlineStr">
        <is>
          <t>23.5 X 23.5</t>
        </is>
      </c>
      <c r="J285" s="29" t="n">
        <v>9</v>
      </c>
      <c r="K285" s="114" t="n">
        <v>100</v>
      </c>
      <c r="L285" s="31">
        <f>K285/J285</f>
        <v/>
      </c>
      <c r="M285" s="32" t="n">
        <v>1.103988603988604</v>
      </c>
      <c r="N285" s="31">
        <f>LEFT(I285,FIND("X",I285)-1)*RIGHT(I285,LEN(I285)-FIND("X",I285)-1)*M285</f>
        <v/>
      </c>
      <c r="O285" s="153">
        <f>(N285*L285)/1000</f>
        <v/>
      </c>
    </row>
    <row r="286" ht="15" customHeight="1">
      <c r="A286" s="133" t="n"/>
      <c r="B286" s="133" t="n"/>
      <c r="C286" s="136" t="n"/>
      <c r="D286" s="11" t="inlineStr">
        <is>
          <t>Bottom</t>
        </is>
      </c>
      <c r="E286" s="11" t="n">
        <v>40</v>
      </c>
      <c r="F286" s="11" t="inlineStr">
        <is>
          <t>Single</t>
        </is>
      </c>
      <c r="G286" s="29" t="inlineStr">
        <is>
          <t>KWIK 5.5 LVP</t>
        </is>
      </c>
      <c r="H286" s="29" t="inlineStr">
        <is>
          <t>185 X 185</t>
        </is>
      </c>
      <c r="I286" s="29" t="inlineStr">
        <is>
          <t>23.5 X 23.5</t>
        </is>
      </c>
      <c r="J286" s="29" t="n">
        <v>9</v>
      </c>
      <c r="K286" s="34" t="n">
        <v>100</v>
      </c>
      <c r="L286" s="14">
        <f>K286/J286</f>
        <v/>
      </c>
      <c r="M286" s="15" t="n">
        <v>0.6977821913273751</v>
      </c>
      <c r="N286" s="14">
        <f>LEFT(I286,FIND("X",I286)-1)*RIGHT(I286,LEN(I286)-FIND("X",I286)-1)*M286</f>
        <v/>
      </c>
      <c r="O286" s="158">
        <f>(N286*L286)/1000</f>
        <v/>
      </c>
    </row>
    <row r="287" ht="15" customHeight="1">
      <c r="A287" s="135" t="n"/>
      <c r="B287" s="135" t="n"/>
      <c r="C287" s="22" t="inlineStr">
        <is>
          <t>SCFG</t>
        </is>
      </c>
      <c r="D287" s="23" t="inlineStr">
        <is>
          <t>-</t>
        </is>
      </c>
      <c r="E287" s="23" t="n">
        <v>15</v>
      </c>
      <c r="F287" s="23" t="inlineStr">
        <is>
          <t>Single</t>
        </is>
      </c>
      <c r="G287" s="11" t="inlineStr">
        <is>
          <t>KWIK 5.5 SCFG</t>
        </is>
      </c>
      <c r="H287" s="11" t="inlineStr">
        <is>
          <t>207 X 207</t>
        </is>
      </c>
      <c r="I287" s="23" t="inlineStr">
        <is>
          <t>27 X 27</t>
        </is>
      </c>
      <c r="J287" s="23" t="n">
        <v>9</v>
      </c>
      <c r="K287" s="115" t="n">
        <v>100</v>
      </c>
      <c r="L287" s="25">
        <f>K287/J287</f>
        <v/>
      </c>
      <c r="M287" s="26" t="n">
        <v>0.3381642512077295</v>
      </c>
      <c r="N287" s="25">
        <f>LEFT(I287,FIND("X",I287)-1)*RIGHT(I287,LEN(I287)-FIND("X",I287)-1)*M287</f>
        <v/>
      </c>
      <c r="O287" s="154">
        <f>(N287*L287)/1000</f>
        <v/>
      </c>
    </row>
    <row r="288" ht="15" customHeight="1">
      <c r="A288" s="149" t="n">
        <v>8</v>
      </c>
      <c r="B288" s="150" t="inlineStr">
        <is>
          <t>Kwik 6</t>
        </is>
      </c>
      <c r="C288" s="138" t="inlineStr">
        <is>
          <t>LVP</t>
        </is>
      </c>
      <c r="D288" s="29" t="inlineStr">
        <is>
          <t>Top</t>
        </is>
      </c>
      <c r="E288" s="29" t="n">
        <v>60</v>
      </c>
      <c r="F288" s="29" t="inlineStr">
        <is>
          <t>Single</t>
        </is>
      </c>
      <c r="G288" s="29" t="inlineStr">
        <is>
          <t>KWIK 6 LVP</t>
        </is>
      </c>
      <c r="H288" s="29" t="inlineStr">
        <is>
          <t>236 X 236</t>
        </is>
      </c>
      <c r="I288" s="29" t="inlineStr">
        <is>
          <t>20 X 20</t>
        </is>
      </c>
      <c r="J288" s="29" t="n">
        <v>4</v>
      </c>
      <c r="K288" s="114" t="n">
        <v>100</v>
      </c>
      <c r="L288" s="31">
        <f>K288/J288</f>
        <v/>
      </c>
      <c r="M288" s="32" t="n">
        <v>1.103988603988604</v>
      </c>
      <c r="N288" s="31">
        <f>LEFT(I288,FIND("X",I288)-1)*RIGHT(I288,LEN(I288)-FIND("X",I288)-1)*M288</f>
        <v/>
      </c>
      <c r="O288" s="153">
        <f>(N288*L288)/1000</f>
        <v/>
      </c>
    </row>
    <row r="289" ht="15" customHeight="1">
      <c r="A289" s="133" t="n"/>
      <c r="B289" s="133" t="n"/>
      <c r="C289" s="136" t="n"/>
      <c r="D289" s="11" t="inlineStr">
        <is>
          <t>Bottom</t>
        </is>
      </c>
      <c r="E289" s="11" t="n">
        <v>40</v>
      </c>
      <c r="F289" s="11" t="inlineStr">
        <is>
          <t>Single</t>
        </is>
      </c>
      <c r="G289" s="29" t="inlineStr">
        <is>
          <t>KWIK 6 LVP</t>
        </is>
      </c>
      <c r="H289" s="29" t="inlineStr">
        <is>
          <t>236 X 236</t>
        </is>
      </c>
      <c r="I289" s="29" t="inlineStr">
        <is>
          <t>20 X 20</t>
        </is>
      </c>
      <c r="J289" s="29" t="n">
        <v>4</v>
      </c>
      <c r="K289" s="34" t="n">
        <v>100</v>
      </c>
      <c r="L289" s="14">
        <f>K289/J289</f>
        <v/>
      </c>
      <c r="M289" s="15" t="n">
        <v>0.6977821913273751</v>
      </c>
      <c r="N289" s="14">
        <f>LEFT(I289,FIND("X",I289)-1)*RIGHT(I289,LEN(I289)-FIND("X",I289)-1)*M289</f>
        <v/>
      </c>
      <c r="O289" s="158">
        <f>(N289*L289)/1000</f>
        <v/>
      </c>
    </row>
    <row r="290" ht="15" customHeight="1">
      <c r="A290" s="135" t="n"/>
      <c r="B290" s="135" t="n"/>
      <c r="C290" s="22" t="inlineStr">
        <is>
          <t>SCFG</t>
        </is>
      </c>
      <c r="D290" s="23" t="inlineStr">
        <is>
          <t>-</t>
        </is>
      </c>
      <c r="E290" s="23" t="n">
        <v>15</v>
      </c>
      <c r="F290" s="23" t="inlineStr">
        <is>
          <t>Single</t>
        </is>
      </c>
      <c r="G290" s="23" t="inlineStr">
        <is>
          <t>KWIK 6 SCFG</t>
        </is>
      </c>
      <c r="H290" s="23" t="inlineStr">
        <is>
          <t>262 X 262</t>
        </is>
      </c>
      <c r="I290" s="23" t="inlineStr">
        <is>
          <t>22 X 22</t>
        </is>
      </c>
      <c r="J290" s="23" t="n">
        <v>4</v>
      </c>
      <c r="K290" s="115" t="n">
        <v>100</v>
      </c>
      <c r="L290" s="25">
        <f>K290/J290</f>
        <v/>
      </c>
      <c r="M290" s="26" t="n">
        <v>0.3381642512077295</v>
      </c>
      <c r="N290" s="25">
        <f>LEFT(I290,FIND("X",I290)-1)*RIGHT(I290,LEN(I290)-FIND("X",I290)-1)*M290</f>
        <v/>
      </c>
      <c r="O290" s="154">
        <f>(N290*L290)/1000</f>
        <v/>
      </c>
    </row>
    <row r="291" ht="15" customHeight="1">
      <c r="A291" s="149" t="n">
        <v>9</v>
      </c>
      <c r="B291" s="150" t="inlineStr">
        <is>
          <t>Kwik 7</t>
        </is>
      </c>
      <c r="C291" s="138" t="inlineStr">
        <is>
          <t>LVP</t>
        </is>
      </c>
      <c r="D291" s="29" t="inlineStr">
        <is>
          <t>Top</t>
        </is>
      </c>
      <c r="E291" s="29" t="n">
        <v>60</v>
      </c>
      <c r="F291" s="29" t="inlineStr">
        <is>
          <t>Single</t>
        </is>
      </c>
      <c r="G291" s="29" t="inlineStr">
        <is>
          <t>KWIK 7 LVP</t>
        </is>
      </c>
      <c r="H291" s="29" t="inlineStr">
        <is>
          <t>290 X 290</t>
        </is>
      </c>
      <c r="I291" s="29" t="inlineStr">
        <is>
          <t>24 X 24</t>
        </is>
      </c>
      <c r="J291" s="29" t="n">
        <v>4</v>
      </c>
      <c r="K291" s="114" t="n">
        <v>100</v>
      </c>
      <c r="L291" s="31">
        <f>K291/J291</f>
        <v/>
      </c>
      <c r="M291" s="32" t="n">
        <v>1.103988603988604</v>
      </c>
      <c r="N291" s="31">
        <f>LEFT(I291,FIND("X",I291)-1)*RIGHT(I291,LEN(I291)-FIND("X",I291)-1)*M291</f>
        <v/>
      </c>
      <c r="O291" s="103">
        <f>(N291*L291)/1000</f>
        <v/>
      </c>
    </row>
    <row r="292" ht="15" customHeight="1">
      <c r="A292" s="133" t="n"/>
      <c r="B292" s="133" t="n"/>
      <c r="C292" s="136" t="n"/>
      <c r="D292" s="11" t="inlineStr">
        <is>
          <t>Bottom</t>
        </is>
      </c>
      <c r="E292" s="11" t="n">
        <v>40</v>
      </c>
      <c r="F292" s="11" t="inlineStr">
        <is>
          <t>Single</t>
        </is>
      </c>
      <c r="G292" s="29" t="inlineStr">
        <is>
          <t>KWIK 7 LVP</t>
        </is>
      </c>
      <c r="H292" s="29" t="inlineStr">
        <is>
          <t>290 X 290</t>
        </is>
      </c>
      <c r="I292" s="29" t="inlineStr">
        <is>
          <t>24 X 24</t>
        </is>
      </c>
      <c r="J292" s="29" t="n">
        <v>4</v>
      </c>
      <c r="K292" s="34" t="n">
        <v>100</v>
      </c>
      <c r="L292" s="14">
        <f>K292/J292</f>
        <v/>
      </c>
      <c r="M292" s="15" t="n">
        <v>0.6977821913273751</v>
      </c>
      <c r="N292" s="14">
        <f>LEFT(I292,FIND("X",I292)-1)*RIGHT(I292,LEN(I292)-FIND("X",I292)-1)*M292</f>
        <v/>
      </c>
      <c r="O292" s="104">
        <f>(N292*L292)/1000</f>
        <v/>
      </c>
    </row>
    <row r="293" ht="15" customHeight="1">
      <c r="A293" s="135" t="n"/>
      <c r="B293" s="135" t="n"/>
      <c r="C293" s="22" t="inlineStr">
        <is>
          <t>SCFG</t>
        </is>
      </c>
      <c r="D293" s="23" t="inlineStr">
        <is>
          <t>-</t>
        </is>
      </c>
      <c r="E293" s="23" t="n">
        <v>15</v>
      </c>
      <c r="F293" s="23" t="inlineStr">
        <is>
          <t>Single</t>
        </is>
      </c>
      <c r="G293" s="23" t="inlineStr">
        <is>
          <t>KWIK 7 SCFG</t>
        </is>
      </c>
      <c r="H293" s="23" t="inlineStr">
        <is>
          <t>311 X 311</t>
        </is>
      </c>
      <c r="I293" s="23" t="inlineStr">
        <is>
          <t>26 X 26</t>
        </is>
      </c>
      <c r="J293" s="23" t="n">
        <v>4</v>
      </c>
      <c r="K293" s="115" t="n">
        <v>100</v>
      </c>
      <c r="L293" s="25">
        <f>K293/J293</f>
        <v/>
      </c>
      <c r="M293" s="26" t="n">
        <v>0.3381642512077295</v>
      </c>
      <c r="N293" s="25">
        <f>LEFT(I293,FIND("X",I293)-1)*RIGHT(I293,LEN(I293)-FIND("X",I293)-1)*M293</f>
        <v/>
      </c>
      <c r="O293" s="27">
        <f>(N293*L293)/1000</f>
        <v/>
      </c>
    </row>
    <row r="294" ht="15" customHeight="1">
      <c r="A294" s="149" t="n">
        <v>10</v>
      </c>
      <c r="B294" s="150" t="inlineStr">
        <is>
          <t>Kwik 8</t>
        </is>
      </c>
      <c r="C294" s="138" t="inlineStr">
        <is>
          <t>LVP</t>
        </is>
      </c>
      <c r="D294" s="29" t="inlineStr">
        <is>
          <t>Top</t>
        </is>
      </c>
      <c r="E294" s="29" t="n">
        <v>60</v>
      </c>
      <c r="F294" s="29" t="inlineStr">
        <is>
          <t>Single</t>
        </is>
      </c>
      <c r="G294" s="29" t="inlineStr">
        <is>
          <t>KWIK 8 LVP</t>
        </is>
      </c>
      <c r="H294" s="29" t="inlineStr">
        <is>
          <t>340 X 340</t>
        </is>
      </c>
      <c r="I294" s="29" t="inlineStr">
        <is>
          <t>28 X 28</t>
        </is>
      </c>
      <c r="J294" s="29" t="n">
        <v>4</v>
      </c>
      <c r="K294" s="114" t="n">
        <v>100</v>
      </c>
      <c r="L294" s="31">
        <f>K294/J294</f>
        <v/>
      </c>
      <c r="M294" s="32" t="n">
        <v>1.103988603988604</v>
      </c>
      <c r="N294" s="31">
        <f>LEFT(I294,FIND("X",I294)-1)*RIGHT(I294,LEN(I294)-FIND("X",I294)-1)*M294</f>
        <v/>
      </c>
      <c r="O294" s="153">
        <f>(N294*L294)/1000</f>
        <v/>
      </c>
    </row>
    <row r="295" ht="15" customHeight="1">
      <c r="A295" s="133" t="n"/>
      <c r="B295" s="133" t="n"/>
      <c r="C295" s="136" t="n"/>
      <c r="D295" s="11" t="inlineStr">
        <is>
          <t>Bottom</t>
        </is>
      </c>
      <c r="E295" s="11" t="n">
        <v>40</v>
      </c>
      <c r="F295" s="11" t="inlineStr">
        <is>
          <t>Single</t>
        </is>
      </c>
      <c r="G295" s="29" t="inlineStr">
        <is>
          <t>KWIK 8 LVP</t>
        </is>
      </c>
      <c r="H295" s="29" t="inlineStr">
        <is>
          <t>340 X 340</t>
        </is>
      </c>
      <c r="I295" s="29" t="inlineStr">
        <is>
          <t>28 X 28</t>
        </is>
      </c>
      <c r="J295" s="29" t="n">
        <v>4</v>
      </c>
      <c r="K295" s="34" t="n">
        <v>100</v>
      </c>
      <c r="L295" s="14">
        <f>K295/J295</f>
        <v/>
      </c>
      <c r="M295" s="15" t="n">
        <v>0.6977821913273751</v>
      </c>
      <c r="N295" s="14">
        <f>LEFT(I295,FIND("X",I295)-1)*RIGHT(I295,LEN(I295)-FIND("X",I295)-1)*M295</f>
        <v/>
      </c>
      <c r="O295" s="158">
        <f>(N295*L295)/1000</f>
        <v/>
      </c>
    </row>
    <row r="296" ht="15" customHeight="1">
      <c r="A296" s="135" t="n"/>
      <c r="B296" s="135" t="n"/>
      <c r="C296" s="22" t="inlineStr">
        <is>
          <t>SCFG</t>
        </is>
      </c>
      <c r="D296" s="23" t="inlineStr">
        <is>
          <t>-</t>
        </is>
      </c>
      <c r="E296" s="23" t="n">
        <v>15</v>
      </c>
      <c r="F296" s="23" t="inlineStr">
        <is>
          <t>Single</t>
        </is>
      </c>
      <c r="G296" s="23" t="inlineStr">
        <is>
          <t>KWIK 8 SCFG</t>
        </is>
      </c>
      <c r="H296" s="23" t="inlineStr">
        <is>
          <t>363 X 363</t>
        </is>
      </c>
      <c r="I296" s="23" t="inlineStr">
        <is>
          <t>30 X 30</t>
        </is>
      </c>
      <c r="J296" s="23" t="n">
        <v>4</v>
      </c>
      <c r="K296" s="115" t="n">
        <v>100</v>
      </c>
      <c r="L296" s="25">
        <f>K296/J296</f>
        <v/>
      </c>
      <c r="M296" s="26" t="n">
        <v>0.3381642512077295</v>
      </c>
      <c r="N296" s="25">
        <f>LEFT(I296,FIND("X",I296)-1)*RIGHT(I296,LEN(I296)-FIND("X",I296)-1)*M296</f>
        <v/>
      </c>
      <c r="O296" s="27">
        <f>(N296*L296)/1000</f>
        <v/>
      </c>
    </row>
    <row r="297" ht="15" customHeight="1">
      <c r="A297" s="149" t="n">
        <v>11</v>
      </c>
      <c r="B297" s="150" t="inlineStr">
        <is>
          <t>Kwik 9</t>
        </is>
      </c>
      <c r="C297" s="138" t="inlineStr">
        <is>
          <t>LVP</t>
        </is>
      </c>
      <c r="D297" s="29" t="inlineStr">
        <is>
          <t>Top</t>
        </is>
      </c>
      <c r="E297" s="29" t="n">
        <v>60</v>
      </c>
      <c r="F297" s="29" t="inlineStr">
        <is>
          <t>Single</t>
        </is>
      </c>
      <c r="G297" s="29" t="inlineStr">
        <is>
          <t>KWIK 9 LVP</t>
        </is>
      </c>
      <c r="H297" s="29" t="inlineStr">
        <is>
          <t>363 X 363</t>
        </is>
      </c>
      <c r="I297" s="29" t="inlineStr">
        <is>
          <t>15 X 15</t>
        </is>
      </c>
      <c r="J297" s="29" t="n">
        <v>1</v>
      </c>
      <c r="K297" s="114" t="n">
        <v>100</v>
      </c>
      <c r="L297" s="31">
        <f>K297/J297</f>
        <v/>
      </c>
      <c r="M297" s="32" t="n">
        <v>1.103988603988604</v>
      </c>
      <c r="N297" s="31">
        <f>LEFT(I297,FIND("X",I297)-1)*RIGHT(I297,LEN(I297)-FIND("X",I297)-1)*M297</f>
        <v/>
      </c>
      <c r="O297" s="153">
        <f>(N297*L297)/1000</f>
        <v/>
      </c>
    </row>
    <row r="298" ht="15" customHeight="1">
      <c r="A298" s="133" t="n"/>
      <c r="B298" s="133" t="n"/>
      <c r="C298" s="136" t="n"/>
      <c r="D298" s="11" t="inlineStr">
        <is>
          <t>Bottom</t>
        </is>
      </c>
      <c r="E298" s="11" t="n">
        <v>40</v>
      </c>
      <c r="F298" s="11" t="inlineStr">
        <is>
          <t>Single</t>
        </is>
      </c>
      <c r="G298" s="29" t="inlineStr">
        <is>
          <t>KWIK 9 LVP</t>
        </is>
      </c>
      <c r="H298" s="29" t="inlineStr">
        <is>
          <t>363 X 363</t>
        </is>
      </c>
      <c r="I298" s="29" t="inlineStr">
        <is>
          <t>15 X 15</t>
        </is>
      </c>
      <c r="J298" s="29" t="n">
        <v>1</v>
      </c>
      <c r="K298" s="34" t="n">
        <v>100</v>
      </c>
      <c r="L298" s="14">
        <f>K298/J298</f>
        <v/>
      </c>
      <c r="M298" s="15" t="n">
        <v>0.6977821913273751</v>
      </c>
      <c r="N298" s="14">
        <f>LEFT(I298,FIND("X",I298)-1)*RIGHT(I298,LEN(I298)-FIND("X",I298)-1)*M298</f>
        <v/>
      </c>
      <c r="O298" s="158">
        <f>(N298*L298)/1000</f>
        <v/>
      </c>
    </row>
    <row r="299" ht="15" customHeight="1">
      <c r="A299" s="135" t="n"/>
      <c r="B299" s="135" t="n"/>
      <c r="C299" s="22" t="inlineStr">
        <is>
          <t>SCFG</t>
        </is>
      </c>
      <c r="D299" s="23" t="inlineStr">
        <is>
          <t>-</t>
        </is>
      </c>
      <c r="E299" s="23" t="n">
        <v>15</v>
      </c>
      <c r="F299" s="23" t="inlineStr">
        <is>
          <t>Single</t>
        </is>
      </c>
      <c r="G299" s="23" t="inlineStr">
        <is>
          <t>KWIK 9 SCFG</t>
        </is>
      </c>
      <c r="H299" s="23" t="inlineStr">
        <is>
          <t>383 X 383</t>
        </is>
      </c>
      <c r="I299" s="23" t="inlineStr">
        <is>
          <t>32 X 31</t>
        </is>
      </c>
      <c r="J299" s="23" t="n">
        <v>4</v>
      </c>
      <c r="K299" s="115" t="n">
        <v>100</v>
      </c>
      <c r="L299" s="25">
        <f>K299/J299</f>
        <v/>
      </c>
      <c r="M299" s="26" t="n">
        <v>0.3381642512077295</v>
      </c>
      <c r="N299" s="25">
        <f>LEFT(I299,FIND("X",I299)-1)*RIGHT(I299,LEN(I299)-FIND("X",I299)-1)*M299</f>
        <v/>
      </c>
      <c r="O299" s="27">
        <f>(N299*L299)/1000</f>
        <v/>
      </c>
    </row>
    <row r="300" ht="15" customHeight="1">
      <c r="A300" s="149" t="n">
        <v>12</v>
      </c>
      <c r="B300" s="150" t="inlineStr">
        <is>
          <t>Kwik 10</t>
        </is>
      </c>
      <c r="C300" s="138" t="inlineStr">
        <is>
          <t>LVP</t>
        </is>
      </c>
      <c r="D300" s="29" t="inlineStr">
        <is>
          <t>Top</t>
        </is>
      </c>
      <c r="E300" s="29" t="n">
        <v>60</v>
      </c>
      <c r="F300" s="29" t="inlineStr">
        <is>
          <t>Single</t>
        </is>
      </c>
      <c r="G300" s="29" t="inlineStr">
        <is>
          <t>KWIK 10 LVP</t>
        </is>
      </c>
      <c r="H300" s="29" t="inlineStr">
        <is>
          <t>431 X 431</t>
        </is>
      </c>
      <c r="I300" s="29" t="inlineStr">
        <is>
          <t>18 X 18</t>
        </is>
      </c>
      <c r="J300" s="29" t="n">
        <v>1</v>
      </c>
      <c r="K300" s="114" t="n">
        <v>100</v>
      </c>
      <c r="L300" s="31">
        <f>K300/J300</f>
        <v/>
      </c>
      <c r="M300" s="32" t="n">
        <v>1.103988603988604</v>
      </c>
      <c r="N300" s="31">
        <f>LEFT(I300,FIND("X",I300)-1)*RIGHT(I300,LEN(I300)-FIND("X",I300)-1)*M300</f>
        <v/>
      </c>
      <c r="O300" s="153">
        <f>(N300*L300)/1000</f>
        <v/>
      </c>
    </row>
    <row r="301" ht="15" customHeight="1">
      <c r="A301" s="133" t="n"/>
      <c r="B301" s="133" t="n"/>
      <c r="C301" s="136" t="n"/>
      <c r="D301" s="11" t="inlineStr">
        <is>
          <t>Bottom</t>
        </is>
      </c>
      <c r="E301" s="11" t="n">
        <v>40</v>
      </c>
      <c r="F301" s="11" t="inlineStr">
        <is>
          <t>Single</t>
        </is>
      </c>
      <c r="G301" s="29" t="inlineStr">
        <is>
          <t>KWIK 10 LVP</t>
        </is>
      </c>
      <c r="H301" s="29" t="inlineStr">
        <is>
          <t>431 X 431</t>
        </is>
      </c>
      <c r="I301" s="29" t="inlineStr">
        <is>
          <t>18 X 18</t>
        </is>
      </c>
      <c r="J301" s="29" t="n">
        <v>1</v>
      </c>
      <c r="K301" s="34" t="n">
        <v>100</v>
      </c>
      <c r="L301" s="14">
        <f>K301/J301</f>
        <v/>
      </c>
      <c r="M301" s="15" t="n">
        <v>0.6977821913273751</v>
      </c>
      <c r="N301" s="14">
        <f>LEFT(I301,FIND("X",I301)-1)*RIGHT(I301,LEN(I301)-FIND("X",I301)-1)*M301</f>
        <v/>
      </c>
      <c r="O301" s="158">
        <f>(N301*L301)/1000</f>
        <v/>
      </c>
    </row>
    <row r="302" ht="15.75" customHeight="1" thickBot="1">
      <c r="A302" s="135" t="n"/>
      <c r="B302" s="135" t="n"/>
      <c r="C302" s="22" t="inlineStr">
        <is>
          <t>SCFG</t>
        </is>
      </c>
      <c r="D302" s="23" t="inlineStr">
        <is>
          <t>-</t>
        </is>
      </c>
      <c r="E302" s="23" t="n">
        <v>15</v>
      </c>
      <c r="F302" s="23" t="inlineStr">
        <is>
          <t>Single</t>
        </is>
      </c>
      <c r="G302" s="23" t="inlineStr">
        <is>
          <t>KWIK 10 SCFG</t>
        </is>
      </c>
      <c r="H302" s="23" t="inlineStr">
        <is>
          <t>447 X 447</t>
        </is>
      </c>
      <c r="I302" s="23" t="inlineStr">
        <is>
          <t>18.5 X 18.5</t>
        </is>
      </c>
      <c r="J302" s="23" t="n">
        <v>1</v>
      </c>
      <c r="K302" s="115" t="n">
        <v>100</v>
      </c>
      <c r="L302" s="25">
        <f>K302/J302</f>
        <v/>
      </c>
      <c r="M302" s="26" t="n">
        <v>0.3381642512077295</v>
      </c>
      <c r="N302" s="25">
        <f>LEFT(I302,FIND("X",I302)-1)*RIGHT(I302,LEN(I302)-FIND("X",I302)-1)*M302</f>
        <v/>
      </c>
      <c r="O302" s="27">
        <f>(N302*L302)/1000</f>
        <v/>
      </c>
    </row>
  </sheetData>
  <mergeCells count="277">
    <mergeCell ref="B146:B148"/>
    <mergeCell ref="B53:B55"/>
    <mergeCell ref="A263:A265"/>
    <mergeCell ref="C128:C129"/>
    <mergeCell ref="A26:A28"/>
    <mergeCell ref="C29:C30"/>
    <mergeCell ref="B68:B70"/>
    <mergeCell ref="A20:A22"/>
    <mergeCell ref="A200:A202"/>
    <mergeCell ref="B279:B281"/>
    <mergeCell ref="A134:A136"/>
    <mergeCell ref="B257:B259"/>
    <mergeCell ref="A194:A196"/>
    <mergeCell ref="A38:A40"/>
    <mergeCell ref="A29:A31"/>
    <mergeCell ref="A23:A25"/>
    <mergeCell ref="B251:B253"/>
    <mergeCell ref="A68:A70"/>
    <mergeCell ref="B92:B94"/>
    <mergeCell ref="B5:B7"/>
    <mergeCell ref="B110:B112"/>
    <mergeCell ref="C227:C228"/>
    <mergeCell ref="C242:C243"/>
    <mergeCell ref="C71:C72"/>
    <mergeCell ref="C276:C277"/>
    <mergeCell ref="C236:C237"/>
    <mergeCell ref="B20:B22"/>
    <mergeCell ref="A245:A247"/>
    <mergeCell ref="C41:C42"/>
    <mergeCell ref="A155:A157"/>
    <mergeCell ref="B47:B49"/>
    <mergeCell ref="C291:C292"/>
    <mergeCell ref="C2:C3"/>
    <mergeCell ref="A107:A109"/>
    <mergeCell ref="A269:A270"/>
    <mergeCell ref="A291:A293"/>
    <mergeCell ref="C300:C301"/>
    <mergeCell ref="A260:A262"/>
    <mergeCell ref="A173:A175"/>
    <mergeCell ref="A300:A302"/>
    <mergeCell ref="B233:B235"/>
    <mergeCell ref="A83:A85"/>
    <mergeCell ref="B215:B217"/>
    <mergeCell ref="C188:C189"/>
    <mergeCell ref="B242:B244"/>
    <mergeCell ref="B62:B64"/>
    <mergeCell ref="B134:B136"/>
    <mergeCell ref="B152:B154"/>
    <mergeCell ref="B297:B299"/>
    <mergeCell ref="B8:B10"/>
    <mergeCell ref="A212:A214"/>
    <mergeCell ref="B291:B293"/>
    <mergeCell ref="A41:A43"/>
    <mergeCell ref="A221:A223"/>
    <mergeCell ref="A50:A52"/>
    <mergeCell ref="C86:C87"/>
    <mergeCell ref="B176:B178"/>
    <mergeCell ref="B23:B25"/>
    <mergeCell ref="A236:A238"/>
    <mergeCell ref="A149:A151"/>
    <mergeCell ref="C254:C255"/>
    <mergeCell ref="C248:C249"/>
    <mergeCell ref="C263:C264"/>
    <mergeCell ref="A254:A256"/>
    <mergeCell ref="A98:O100"/>
    <mergeCell ref="B191:B193"/>
    <mergeCell ref="B107:B109"/>
    <mergeCell ref="C14:C15"/>
    <mergeCell ref="C191:C192"/>
    <mergeCell ref="A266:O268"/>
    <mergeCell ref="A185:A187"/>
    <mergeCell ref="B128:B130"/>
    <mergeCell ref="B285:B287"/>
    <mergeCell ref="B254:B256"/>
    <mergeCell ref="A122:A124"/>
    <mergeCell ref="C218:C219"/>
    <mergeCell ref="A5:A7"/>
    <mergeCell ref="A32:A34"/>
    <mergeCell ref="C230:C231"/>
    <mergeCell ref="B164:B166"/>
    <mergeCell ref="A14:A16"/>
    <mergeCell ref="A230:A232"/>
    <mergeCell ref="B173:B175"/>
    <mergeCell ref="A224:A226"/>
    <mergeCell ref="B74:B76"/>
    <mergeCell ref="B83:B85"/>
    <mergeCell ref="B197:B199"/>
    <mergeCell ref="C65:C66"/>
    <mergeCell ref="B206:B208"/>
    <mergeCell ref="B188:B190"/>
    <mergeCell ref="C47:C48"/>
    <mergeCell ref="B35:B37"/>
    <mergeCell ref="C56:C57"/>
    <mergeCell ref="A161:A163"/>
    <mergeCell ref="A288:A290"/>
    <mergeCell ref="A170:A172"/>
    <mergeCell ref="B203:B205"/>
    <mergeCell ref="C282:C283"/>
    <mergeCell ref="B125:B127"/>
    <mergeCell ref="B248:B250"/>
    <mergeCell ref="B131:B133"/>
    <mergeCell ref="C203:C204"/>
    <mergeCell ref="B140:B142"/>
    <mergeCell ref="C297:C298"/>
    <mergeCell ref="C95:C96"/>
    <mergeCell ref="B149:B151"/>
    <mergeCell ref="C8:C9"/>
    <mergeCell ref="C17:C18"/>
    <mergeCell ref="A227:A229"/>
    <mergeCell ref="B11:B13"/>
    <mergeCell ref="C32:C33"/>
    <mergeCell ref="B273:B275"/>
    <mergeCell ref="B282:B284"/>
    <mergeCell ref="A137:A139"/>
    <mergeCell ref="A197:A199"/>
    <mergeCell ref="B182:B184"/>
    <mergeCell ref="A146:A148"/>
    <mergeCell ref="A74:A76"/>
    <mergeCell ref="C245:C246"/>
    <mergeCell ref="C74:C75"/>
    <mergeCell ref="C239:C240"/>
    <mergeCell ref="B14:B16"/>
    <mergeCell ref="A167:O169"/>
    <mergeCell ref="A188:A190"/>
    <mergeCell ref="A179:A181"/>
    <mergeCell ref="A239:A241"/>
    <mergeCell ref="C83:C84"/>
    <mergeCell ref="C68:C69"/>
    <mergeCell ref="A71:A73"/>
    <mergeCell ref="B38:B40"/>
    <mergeCell ref="C107:C108"/>
    <mergeCell ref="B230:B232"/>
    <mergeCell ref="A251:A253"/>
    <mergeCell ref="C101:C102"/>
    <mergeCell ref="C116:C117"/>
    <mergeCell ref="C294:C295"/>
    <mergeCell ref="C5:C6"/>
    <mergeCell ref="A101:A103"/>
    <mergeCell ref="A116:A118"/>
    <mergeCell ref="A294:A296"/>
    <mergeCell ref="C221:C222"/>
    <mergeCell ref="A125:A127"/>
    <mergeCell ref="A8:A10"/>
    <mergeCell ref="B158:B160"/>
    <mergeCell ref="B65:B67"/>
    <mergeCell ref="C113:C114"/>
    <mergeCell ref="C20:C21"/>
    <mergeCell ref="B245:B247"/>
    <mergeCell ref="A271:A272"/>
    <mergeCell ref="A17:A19"/>
    <mergeCell ref="A2:A4"/>
    <mergeCell ref="A47:A49"/>
    <mergeCell ref="B80:B82"/>
    <mergeCell ref="C50:C51"/>
    <mergeCell ref="B260:B262"/>
    <mergeCell ref="B89:B91"/>
    <mergeCell ref="C44:C45"/>
    <mergeCell ref="C215:C216"/>
    <mergeCell ref="A206:A208"/>
    <mergeCell ref="B300:B302"/>
    <mergeCell ref="A62:A64"/>
    <mergeCell ref="A215:A217"/>
    <mergeCell ref="A59:A61"/>
    <mergeCell ref="C80:C81"/>
    <mergeCell ref="C59:C60"/>
    <mergeCell ref="C273:C274"/>
    <mergeCell ref="A44:A46"/>
    <mergeCell ref="B26:B28"/>
    <mergeCell ref="B113:B115"/>
    <mergeCell ref="A143:A145"/>
    <mergeCell ref="A92:A94"/>
    <mergeCell ref="A152:A154"/>
    <mergeCell ref="C257:C258"/>
    <mergeCell ref="A279:A281"/>
    <mergeCell ref="B185:B187"/>
    <mergeCell ref="A257:A259"/>
    <mergeCell ref="B212:B214"/>
    <mergeCell ref="B41:B43"/>
    <mergeCell ref="B194:B196"/>
    <mergeCell ref="B221:B223"/>
    <mergeCell ref="B50:B52"/>
    <mergeCell ref="B59:B61"/>
    <mergeCell ref="A176:A178"/>
    <mergeCell ref="C194:C195"/>
    <mergeCell ref="A128:A130"/>
    <mergeCell ref="C23:C24"/>
    <mergeCell ref="B276:B278"/>
    <mergeCell ref="A191:A193"/>
    <mergeCell ref="C122:C123"/>
    <mergeCell ref="C209:C210"/>
    <mergeCell ref="B263:B265"/>
    <mergeCell ref="A65:A67"/>
    <mergeCell ref="B269:B270"/>
    <mergeCell ref="B155:B157"/>
    <mergeCell ref="B2:B4"/>
    <mergeCell ref="C233:C234"/>
    <mergeCell ref="C224:C225"/>
    <mergeCell ref="B116:B118"/>
    <mergeCell ref="B101:B103"/>
    <mergeCell ref="A233:A235"/>
    <mergeCell ref="C62:C63"/>
    <mergeCell ref="B17:B19"/>
    <mergeCell ref="B77:B79"/>
    <mergeCell ref="A242:A244"/>
    <mergeCell ref="C38:C39"/>
    <mergeCell ref="B179:B181"/>
    <mergeCell ref="B86:B88"/>
    <mergeCell ref="B44:B46"/>
    <mergeCell ref="C288:C289"/>
    <mergeCell ref="A248:A250"/>
    <mergeCell ref="A104:A106"/>
    <mergeCell ref="C77:C78"/>
    <mergeCell ref="A297:A299"/>
    <mergeCell ref="A164:A166"/>
    <mergeCell ref="A113:A115"/>
    <mergeCell ref="B119:B121"/>
    <mergeCell ref="A56:A58"/>
    <mergeCell ref="C285:C286"/>
    <mergeCell ref="C197:C198"/>
    <mergeCell ref="A285:A287"/>
    <mergeCell ref="C212:C213"/>
    <mergeCell ref="C206:C207"/>
    <mergeCell ref="B143:B145"/>
    <mergeCell ref="C89:C90"/>
    <mergeCell ref="C104:C105"/>
    <mergeCell ref="A209:A211"/>
    <mergeCell ref="B288:B290"/>
    <mergeCell ref="A203:A205"/>
    <mergeCell ref="C26:C27"/>
    <mergeCell ref="A131:A133"/>
    <mergeCell ref="C35:C36"/>
    <mergeCell ref="A140:A142"/>
    <mergeCell ref="A53:A55"/>
    <mergeCell ref="C251:C252"/>
    <mergeCell ref="A35:A37"/>
    <mergeCell ref="B95:B97"/>
    <mergeCell ref="B104:B106"/>
    <mergeCell ref="B218:B220"/>
    <mergeCell ref="A77:A79"/>
    <mergeCell ref="B122:B124"/>
    <mergeCell ref="B227:B229"/>
    <mergeCell ref="B56:B58"/>
    <mergeCell ref="C11:C12"/>
    <mergeCell ref="B236:B238"/>
    <mergeCell ref="A182:A184"/>
    <mergeCell ref="B32:B34"/>
    <mergeCell ref="A276:A278"/>
    <mergeCell ref="C110:C111"/>
    <mergeCell ref="B224:B226"/>
    <mergeCell ref="C119:C120"/>
    <mergeCell ref="A110:A112"/>
    <mergeCell ref="B200:B202"/>
    <mergeCell ref="A119:A121"/>
    <mergeCell ref="B209:B211"/>
    <mergeCell ref="B161:B163"/>
    <mergeCell ref="A11:A13"/>
    <mergeCell ref="B29:B31"/>
    <mergeCell ref="B170:B172"/>
    <mergeCell ref="C125:C126"/>
    <mergeCell ref="B71:B73"/>
    <mergeCell ref="C53:C54"/>
    <mergeCell ref="B294:B296"/>
    <mergeCell ref="A158:A160"/>
    <mergeCell ref="A218:A220"/>
    <mergeCell ref="B271:B272"/>
    <mergeCell ref="A86:A88"/>
    <mergeCell ref="C279:C280"/>
    <mergeCell ref="A80:A82"/>
    <mergeCell ref="A95:A97"/>
    <mergeCell ref="A273:A275"/>
    <mergeCell ref="B239:B241"/>
    <mergeCell ref="A89:A91"/>
    <mergeCell ref="C200:C201"/>
    <mergeCell ref="A282:A284"/>
    <mergeCell ref="C260:C261"/>
    <mergeCell ref="B137:B139"/>
    <mergeCell ref="C92:C93"/>
  </mergeCells>
  <pageMargins left="0.7086614173228347" right="0.7086614173228347" top="0.7480314960629921" bottom="0.7480314960629921" header="0.3149606299212598" footer="0.3149606299212598"/>
  <pageSetup orientation="landscape" paperSize="9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O67"/>
  <sheetViews>
    <sheetView zoomScaleNormal="100" workbookViewId="0">
      <pane ySplit="1" topLeftCell="A26" activePane="bottomLeft" state="frozen"/>
      <selection pane="bottomLeft" activeCell="F35" sqref="F35"/>
    </sheetView>
  </sheetViews>
  <sheetFormatPr baseColWidth="8" defaultRowHeight="12.75"/>
  <cols>
    <col width="7.85546875" customWidth="1" style="1" min="1" max="1"/>
    <col width="11.5703125" customWidth="1" style="1" min="2" max="2"/>
    <col width="12.7109375" customWidth="1" style="1" min="3" max="3"/>
    <col width="9.28515625" customWidth="1" style="1" min="4" max="4"/>
    <col width="6.42578125" bestFit="1" customWidth="1" style="1" min="5" max="5"/>
    <col width="8.5703125" bestFit="1" customWidth="1" style="1" min="6" max="6"/>
    <col width="20.7109375" customWidth="1" style="1" min="7" max="7"/>
    <col width="12.7109375" customWidth="1" style="1" min="8" max="8"/>
    <col width="12.5703125" customWidth="1" style="1" min="9" max="9"/>
    <col width="6.7109375" bestFit="1" customWidth="1" style="1" min="10" max="10"/>
    <col width="12.85546875" customWidth="1" style="123" min="11" max="11"/>
    <col width="10.7109375" customWidth="1" style="2" min="12" max="12"/>
    <col width="6.7109375" bestFit="1" customWidth="1" min="13" max="13"/>
    <col width="11.28515625" customWidth="1" min="14" max="14"/>
    <col width="9.85546875" bestFit="1" customWidth="1" style="3" min="15" max="15"/>
  </cols>
  <sheetData>
    <row r="1" ht="45.75" customFormat="1" customHeight="1" s="7" thickBot="1">
      <c r="A1" s="4" t="inlineStr">
        <is>
          <t>Sr No</t>
        </is>
      </c>
      <c r="B1" s="4" t="inlineStr">
        <is>
          <t>Item Name</t>
        </is>
      </c>
      <c r="C1" s="4" t="inlineStr">
        <is>
          <t>Compound</t>
        </is>
      </c>
      <c r="D1" s="4" t="inlineStr">
        <is>
          <t>Side</t>
        </is>
      </c>
      <c r="E1" s="4" t="inlineStr">
        <is>
          <t>Thou</t>
        </is>
      </c>
      <c r="F1" s="4" t="inlineStr">
        <is>
          <t>Die Type</t>
        </is>
      </c>
      <c r="G1" s="4" t="inlineStr">
        <is>
          <t>Die Name</t>
        </is>
      </c>
      <c r="H1" s="4" t="inlineStr">
        <is>
          <t>Die Size in MM</t>
        </is>
      </c>
      <c r="I1" s="4" t="inlineStr">
        <is>
          <t>Comp Sheet Size in Inch</t>
        </is>
      </c>
      <c r="J1" s="4" t="inlineStr">
        <is>
          <t>Per sheet item</t>
        </is>
      </c>
      <c r="K1" s="4" t="inlineStr">
        <is>
          <t>order</t>
        </is>
      </c>
      <c r="L1" s="5" t="inlineStr">
        <is>
          <t>Required sheet</t>
        </is>
      </c>
      <c r="M1" s="6" t="inlineStr">
        <is>
          <t>Per sheet Gm</t>
        </is>
      </c>
      <c r="N1" s="6" t="inlineStr">
        <is>
          <t>Per sheet Weight in Gm</t>
        </is>
      </c>
      <c r="O1" s="6" t="inlineStr">
        <is>
          <t>Total kg</t>
        </is>
      </c>
    </row>
    <row r="2" ht="15" customHeight="1">
      <c r="A2" s="149" t="n">
        <v>1</v>
      </c>
      <c r="B2" s="150" t="inlineStr">
        <is>
          <t>MSX 10</t>
        </is>
      </c>
      <c r="C2" s="58" t="inlineStr">
        <is>
          <t>LVP</t>
        </is>
      </c>
      <c r="D2" s="29" t="inlineStr">
        <is>
          <t>Top</t>
        </is>
      </c>
      <c r="E2" s="29" t="n">
        <v>90</v>
      </c>
      <c r="F2" s="29" t="inlineStr">
        <is>
          <t>Passing</t>
        </is>
      </c>
      <c r="G2" s="29" t="inlineStr">
        <is>
          <t>MSX 10 LVP</t>
        </is>
      </c>
      <c r="H2" s="29" t="inlineStr">
        <is>
          <t>36 X 55</t>
        </is>
      </c>
      <c r="I2" s="29" t="inlineStr">
        <is>
          <t>15 X 20.5</t>
        </is>
      </c>
      <c r="J2" s="29" t="n">
        <v>64</v>
      </c>
      <c r="K2" s="114" t="n">
        <v>1000</v>
      </c>
      <c r="L2" s="31">
        <f>K2/J2</f>
        <v/>
      </c>
      <c r="M2" s="32" t="n">
        <v>1.605797101449275</v>
      </c>
      <c r="N2" s="31">
        <f>LEFT(I2,FIND("X",I2)-1)*RIGHT(I2,LEN(I2)-FIND("X",I2)-1)*M2</f>
        <v/>
      </c>
      <c r="O2" s="33">
        <f>(N2*L2)/1000</f>
        <v/>
      </c>
    </row>
    <row r="3" ht="14.25" customHeight="1">
      <c r="A3" s="133" t="n"/>
      <c r="B3" s="133" t="n"/>
      <c r="C3" s="59" t="n"/>
      <c r="D3" s="11" t="inlineStr">
        <is>
          <t>Bottom</t>
        </is>
      </c>
      <c r="E3" s="11" t="n"/>
      <c r="F3" s="11" t="n"/>
      <c r="G3" s="11" t="n"/>
      <c r="H3" s="11" t="n"/>
      <c r="I3" s="11" t="n"/>
      <c r="J3" s="11" t="n"/>
      <c r="K3" s="114" t="n">
        <v>1000</v>
      </c>
      <c r="L3" s="14">
        <f>K3/J3</f>
        <v/>
      </c>
      <c r="M3" s="15" t="e">
        <v>#N/A</v>
      </c>
      <c r="N3" s="14">
        <f>LEFT(I3,FIND("X",I3)-1)*RIGHT(I3,LEN(I3)-FIND("X",I3)-1)*M3</f>
        <v/>
      </c>
      <c r="O3" s="16">
        <f>(N3*L3)/1000</f>
        <v/>
      </c>
    </row>
    <row r="4" ht="15.75" customHeight="1" thickBot="1">
      <c r="A4" s="135" t="n"/>
      <c r="B4" s="135" t="n"/>
      <c r="C4" s="22" t="inlineStr">
        <is>
          <t>SCFG</t>
        </is>
      </c>
      <c r="D4" s="23" t="inlineStr">
        <is>
          <t>-</t>
        </is>
      </c>
      <c r="E4" s="23" t="n">
        <v>15</v>
      </c>
      <c r="F4" s="23" t="inlineStr">
        <is>
          <t>Single</t>
        </is>
      </c>
      <c r="G4" s="23" t="inlineStr">
        <is>
          <t>MSX 10 SCFG</t>
        </is>
      </c>
      <c r="H4" s="23" t="inlineStr">
        <is>
          <t>55 X 75</t>
        </is>
      </c>
      <c r="I4" s="23" t="inlineStr">
        <is>
          <t>22.5 X 23.5</t>
        </is>
      </c>
      <c r="J4" s="23" t="n">
        <v>48</v>
      </c>
      <c r="K4" s="114" t="n">
        <v>1000</v>
      </c>
      <c r="L4" s="25">
        <f>K4/J4</f>
        <v/>
      </c>
      <c r="M4" s="26" t="n">
        <v>0.3381642512077295</v>
      </c>
      <c r="N4" s="25">
        <f>LEFT(I4,FIND("X",I4)-1)*RIGHT(I4,LEN(I4)-FIND("X",I4)-1)*M4</f>
        <v/>
      </c>
      <c r="O4" s="27">
        <f>(N4*L4)/1000</f>
        <v/>
      </c>
    </row>
    <row r="5" ht="15" customHeight="1">
      <c r="A5" s="149" t="n">
        <v>2</v>
      </c>
      <c r="B5" s="150" t="inlineStr">
        <is>
          <t>MSX 12</t>
        </is>
      </c>
      <c r="C5" s="58" t="inlineStr">
        <is>
          <t>LVP</t>
        </is>
      </c>
      <c r="D5" s="29" t="inlineStr">
        <is>
          <t>Top</t>
        </is>
      </c>
      <c r="E5" s="29" t="n">
        <v>90</v>
      </c>
      <c r="F5" s="29" t="inlineStr">
        <is>
          <t>Passing</t>
        </is>
      </c>
      <c r="G5" s="29" t="inlineStr">
        <is>
          <t>MSX 12 LVP</t>
        </is>
      </c>
      <c r="H5" s="29" t="inlineStr">
        <is>
          <t>51 X 95</t>
        </is>
      </c>
      <c r="I5" s="29" t="inlineStr">
        <is>
          <t>20.5 X 21</t>
        </is>
      </c>
      <c r="J5" s="29" t="n">
        <v>45</v>
      </c>
      <c r="K5" s="114" t="n">
        <v>1000</v>
      </c>
      <c r="L5" s="31">
        <f>K5/J5</f>
        <v/>
      </c>
      <c r="M5" s="32" t="n">
        <v>1.605797101449275</v>
      </c>
      <c r="N5" s="31">
        <f>LEFT(I5,FIND("X",I5)-1)*RIGHT(I5,LEN(I5)-FIND("X",I5)-1)*M5</f>
        <v/>
      </c>
      <c r="O5" s="33">
        <f>(N5*L5)/1000</f>
        <v/>
      </c>
    </row>
    <row r="6" ht="15" customHeight="1">
      <c r="A6" s="133" t="n"/>
      <c r="B6" s="133" t="n"/>
      <c r="C6" s="59" t="n"/>
      <c r="D6" s="11" t="inlineStr">
        <is>
          <t>Bottom</t>
        </is>
      </c>
      <c r="E6" s="11" t="n"/>
      <c r="F6" s="11" t="n"/>
      <c r="G6" s="11" t="n"/>
      <c r="H6" s="11" t="n"/>
      <c r="I6" s="11" t="n"/>
      <c r="J6" s="11" t="n"/>
      <c r="K6" s="34" t="n">
        <v>1000</v>
      </c>
      <c r="L6" s="14">
        <f>K6/J6</f>
        <v/>
      </c>
      <c r="M6" s="15" t="e">
        <v>#N/A</v>
      </c>
      <c r="N6" s="14">
        <f>LEFT(I6,FIND("X",I6)-1)*RIGHT(I6,LEN(I6)-FIND("X",I6)-1)*M6</f>
        <v/>
      </c>
      <c r="O6" s="16">
        <f>(N6*L6)/1000</f>
        <v/>
      </c>
    </row>
    <row r="7" ht="15.75" customHeight="1" thickBot="1">
      <c r="A7" s="135" t="n"/>
      <c r="B7" s="135" t="n"/>
      <c r="C7" s="22" t="inlineStr">
        <is>
          <t>SCFG</t>
        </is>
      </c>
      <c r="D7" s="23" t="inlineStr">
        <is>
          <t>-</t>
        </is>
      </c>
      <c r="E7" s="23" t="n">
        <v>15</v>
      </c>
      <c r="F7" s="23" t="inlineStr">
        <is>
          <t>Single</t>
        </is>
      </c>
      <c r="G7" s="23" t="inlineStr">
        <is>
          <t>MSX 12 SCFG</t>
        </is>
      </c>
      <c r="H7" s="23" t="inlineStr">
        <is>
          <t>66 X 110</t>
        </is>
      </c>
      <c r="I7" s="23" t="inlineStr">
        <is>
          <t>24 X 26</t>
        </is>
      </c>
      <c r="J7" s="23" t="n">
        <v>35</v>
      </c>
      <c r="K7" s="115" t="n">
        <v>1000</v>
      </c>
      <c r="L7" s="25">
        <f>K7/J7</f>
        <v/>
      </c>
      <c r="M7" s="26" t="n">
        <v>0.3381642512077295</v>
      </c>
      <c r="N7" s="25">
        <f>LEFT(I7,FIND("X",I7)-1)*RIGHT(I7,LEN(I7)-FIND("X",I7)-1)*M7</f>
        <v/>
      </c>
      <c r="O7" s="27">
        <f>(N7*L7)/1000</f>
        <v/>
      </c>
    </row>
    <row r="8" ht="15" customHeight="1">
      <c r="A8" s="149" t="n">
        <v>3</v>
      </c>
      <c r="B8" s="150" t="inlineStr">
        <is>
          <t>MSX 14</t>
        </is>
      </c>
      <c r="C8" s="58" t="inlineStr">
        <is>
          <t>LVP</t>
        </is>
      </c>
      <c r="D8" s="29" t="inlineStr">
        <is>
          <t>Top</t>
        </is>
      </c>
      <c r="E8" s="29" t="n">
        <v>90</v>
      </c>
      <c r="F8" s="29" t="inlineStr">
        <is>
          <t>Passing</t>
        </is>
      </c>
      <c r="G8" s="29" t="inlineStr">
        <is>
          <t>MSX 14 LVP</t>
        </is>
      </c>
      <c r="H8" s="29" t="inlineStr">
        <is>
          <t>62 X 115</t>
        </is>
      </c>
      <c r="I8" s="29" t="inlineStr">
        <is>
          <t>14 X 20</t>
        </is>
      </c>
      <c r="J8" s="29" t="n">
        <v>20</v>
      </c>
      <c r="K8" s="114" t="n">
        <v>1000</v>
      </c>
      <c r="L8" s="31">
        <f>K8/J8</f>
        <v/>
      </c>
      <c r="M8" s="32" t="n">
        <v>1.605797101449275</v>
      </c>
      <c r="N8" s="31">
        <f>LEFT(I8,FIND("X",I8)-1)*RIGHT(I8,LEN(I8)-FIND("X",I8)-1)*M8</f>
        <v/>
      </c>
      <c r="O8" s="33">
        <f>(N8*L8)/1000</f>
        <v/>
      </c>
    </row>
    <row r="9" ht="15" customHeight="1">
      <c r="A9" s="133" t="n"/>
      <c r="B9" s="133" t="n"/>
      <c r="C9" s="59" t="n"/>
      <c r="D9" s="11" t="inlineStr">
        <is>
          <t>Bottom</t>
        </is>
      </c>
      <c r="E9" s="11" t="n"/>
      <c r="F9" s="11" t="n"/>
      <c r="G9" s="11" t="n"/>
      <c r="H9" s="11" t="n"/>
      <c r="I9" s="11" t="n"/>
      <c r="J9" s="11" t="n"/>
      <c r="K9" s="34" t="n">
        <v>1000</v>
      </c>
      <c r="L9" s="14">
        <f>K9/J9</f>
        <v/>
      </c>
      <c r="M9" s="15" t="e">
        <v>#N/A</v>
      </c>
      <c r="N9" s="14">
        <f>LEFT(I9,FIND("X",I9)-1)*RIGHT(I9,LEN(I9)-FIND("X",I9)-1)*M9</f>
        <v/>
      </c>
      <c r="O9" s="16">
        <f>(N9*L9)/1000</f>
        <v/>
      </c>
    </row>
    <row r="10" ht="15.75" customHeight="1" thickBot="1">
      <c r="A10" s="135" t="n"/>
      <c r="B10" s="135" t="n"/>
      <c r="C10" s="22" t="inlineStr">
        <is>
          <t>SCFG</t>
        </is>
      </c>
      <c r="D10" s="23" t="inlineStr">
        <is>
          <t>-</t>
        </is>
      </c>
      <c r="E10" s="23" t="n">
        <v>15</v>
      </c>
      <c r="F10" s="23" t="inlineStr">
        <is>
          <t>Single</t>
        </is>
      </c>
      <c r="G10" s="23" t="inlineStr">
        <is>
          <t>MSX 14 SCFG</t>
        </is>
      </c>
      <c r="H10" s="23" t="inlineStr">
        <is>
          <t>80 X 137</t>
        </is>
      </c>
      <c r="I10" s="23" t="inlineStr">
        <is>
          <t>24 X 25</t>
        </is>
      </c>
      <c r="J10" s="23" t="n">
        <v>24</v>
      </c>
      <c r="K10" s="115" t="n">
        <v>1000</v>
      </c>
      <c r="L10" s="25">
        <f>K10/J10</f>
        <v/>
      </c>
      <c r="M10" s="26" t="n">
        <v>0.3381642512077295</v>
      </c>
      <c r="N10" s="25">
        <f>LEFT(I10,FIND("X",I10)-1)*RIGHT(I10,LEN(I10)-FIND("X",I10)-1)*M10</f>
        <v/>
      </c>
      <c r="O10" s="27">
        <f>(N10*L10)/1000</f>
        <v/>
      </c>
    </row>
    <row r="11" ht="15" customHeight="1">
      <c r="A11" s="149" t="n">
        <v>4</v>
      </c>
      <c r="B11" s="150" t="inlineStr">
        <is>
          <t>MSX 25</t>
        </is>
      </c>
      <c r="C11" s="138" t="inlineStr">
        <is>
          <t>LVP</t>
        </is>
      </c>
      <c r="D11" s="29" t="inlineStr">
        <is>
          <t>Top</t>
        </is>
      </c>
      <c r="E11" s="29" t="n">
        <v>40</v>
      </c>
      <c r="F11" s="29" t="inlineStr">
        <is>
          <t>Single</t>
        </is>
      </c>
      <c r="G11" s="29" t="inlineStr">
        <is>
          <t>MSX 25 TOP LVP</t>
        </is>
      </c>
      <c r="H11" s="29" t="inlineStr">
        <is>
          <t>90 X 108</t>
        </is>
      </c>
      <c r="I11" s="29" t="inlineStr">
        <is>
          <t>24 X 24</t>
        </is>
      </c>
      <c r="J11" s="29" t="n">
        <v>30</v>
      </c>
      <c r="K11" s="114" t="n">
        <v>1000</v>
      </c>
      <c r="L11" s="31">
        <f>K11/J11</f>
        <v/>
      </c>
      <c r="M11" s="32" t="n">
        <v>0.6977821913273751</v>
      </c>
      <c r="N11" s="31">
        <f>LEFT(I11,FIND("X",I11)-1)*RIGHT(I11,LEN(I11)-FIND("X",I11)-1)*M11</f>
        <v/>
      </c>
      <c r="O11" s="33">
        <f>(N11*L11)/1000</f>
        <v/>
      </c>
    </row>
    <row r="12" ht="15" customHeight="1">
      <c r="A12" s="133" t="n"/>
      <c r="B12" s="133" t="n"/>
      <c r="C12" s="136" t="n"/>
      <c r="D12" s="11" t="inlineStr">
        <is>
          <t>Bottom</t>
        </is>
      </c>
      <c r="E12" s="11" t="n">
        <v>40</v>
      </c>
      <c r="F12" s="29" t="inlineStr">
        <is>
          <t>Single</t>
        </is>
      </c>
      <c r="G12" s="11" t="inlineStr">
        <is>
          <t>MSX 25 BOT LVP</t>
        </is>
      </c>
      <c r="H12" s="11" t="inlineStr">
        <is>
          <t>100 X 118</t>
        </is>
      </c>
      <c r="I12" s="11" t="inlineStr">
        <is>
          <t>20.5 X 22</t>
        </is>
      </c>
      <c r="J12" s="11" t="n">
        <v>20</v>
      </c>
      <c r="K12" s="34" t="n">
        <v>1000</v>
      </c>
      <c r="L12" s="14">
        <f>K12/J12</f>
        <v/>
      </c>
      <c r="M12" s="15" t="n">
        <v>0.6977821913273751</v>
      </c>
      <c r="N12" s="14">
        <f>LEFT(I12,FIND("X",I12)-1)*RIGHT(I12,LEN(I12)-FIND("X",I12)-1)*M12</f>
        <v/>
      </c>
      <c r="O12" s="16">
        <f>(N12*L12)/1000</f>
        <v/>
      </c>
    </row>
    <row r="13" ht="15.75" customHeight="1" thickBot="1">
      <c r="A13" s="135" t="n"/>
      <c r="B13" s="135" t="n"/>
      <c r="C13" s="22" t="inlineStr">
        <is>
          <t>SCFG</t>
        </is>
      </c>
      <c r="D13" s="23" t="inlineStr">
        <is>
          <t>-</t>
        </is>
      </c>
      <c r="E13" s="23" t="n">
        <v>15</v>
      </c>
      <c r="F13" s="23" t="inlineStr">
        <is>
          <t>Single</t>
        </is>
      </c>
      <c r="G13" s="23" t="inlineStr">
        <is>
          <t>MSX 25 SCFG</t>
        </is>
      </c>
      <c r="H13" s="23" t="inlineStr">
        <is>
          <t>116 X 136</t>
        </is>
      </c>
      <c r="I13" s="23" t="inlineStr">
        <is>
          <t>21.5 X 24.5</t>
        </is>
      </c>
      <c r="J13" s="23" t="n">
        <v>16</v>
      </c>
      <c r="K13" s="115" t="n">
        <v>1000</v>
      </c>
      <c r="L13" s="25">
        <f>K13/J13</f>
        <v/>
      </c>
      <c r="M13" s="26" t="n">
        <v>0.3381642512077295</v>
      </c>
      <c r="N13" s="25">
        <f>LEFT(I13,FIND("X",I13)-1)*RIGHT(I13,LEN(I13)-FIND("X",I13)-1)*M13</f>
        <v/>
      </c>
      <c r="O13" s="27">
        <f>(N13*L13)/1000</f>
        <v/>
      </c>
    </row>
    <row r="14" ht="15" customHeight="1">
      <c r="A14" s="149" t="n">
        <v>5</v>
      </c>
      <c r="B14" s="150" t="inlineStr">
        <is>
          <t>MSX 35</t>
        </is>
      </c>
      <c r="C14" s="138" t="inlineStr">
        <is>
          <t>LVP</t>
        </is>
      </c>
      <c r="D14" s="29" t="inlineStr">
        <is>
          <t>Top</t>
        </is>
      </c>
      <c r="E14" s="29" t="n">
        <v>40</v>
      </c>
      <c r="F14" s="29" t="inlineStr">
        <is>
          <t>Single</t>
        </is>
      </c>
      <c r="G14" s="29" t="inlineStr">
        <is>
          <t>MSX 35 TOP LVP</t>
        </is>
      </c>
      <c r="H14" s="29" t="inlineStr">
        <is>
          <t>94 X 145</t>
        </is>
      </c>
      <c r="I14" s="29" t="inlineStr">
        <is>
          <t>21 X 25</t>
        </is>
      </c>
      <c r="J14" s="29" t="n">
        <v>20</v>
      </c>
      <c r="K14" s="114" t="n">
        <v>1000</v>
      </c>
      <c r="L14" s="31">
        <f>K14/J14</f>
        <v/>
      </c>
      <c r="M14" s="32" t="n">
        <v>0.6977821913273751</v>
      </c>
      <c r="N14" s="31">
        <f>LEFT(I14,FIND("X",I14)-1)*RIGHT(I14,LEN(I14)-FIND("X",I14)-1)*M14</f>
        <v/>
      </c>
      <c r="O14" s="33">
        <f>(N14*L14)/1000</f>
        <v/>
      </c>
    </row>
    <row r="15" ht="15" customHeight="1">
      <c r="A15" s="133" t="n"/>
      <c r="B15" s="133" t="n"/>
      <c r="C15" s="136" t="n"/>
      <c r="D15" s="11" t="inlineStr">
        <is>
          <t>Bottom</t>
        </is>
      </c>
      <c r="E15" s="11" t="n">
        <v>40</v>
      </c>
      <c r="F15" s="29" t="inlineStr">
        <is>
          <t>Single</t>
        </is>
      </c>
      <c r="G15" s="11" t="inlineStr">
        <is>
          <t>MSX 35 BOT LVP</t>
        </is>
      </c>
      <c r="H15" s="11" t="inlineStr">
        <is>
          <t>104 X 154</t>
        </is>
      </c>
      <c r="I15" s="11" t="inlineStr">
        <is>
          <t>20 X 23</t>
        </is>
      </c>
      <c r="J15" s="11" t="n">
        <v>15</v>
      </c>
      <c r="K15" s="34" t="n">
        <v>1000</v>
      </c>
      <c r="L15" s="14">
        <f>K15/J15</f>
        <v/>
      </c>
      <c r="M15" s="15" t="n">
        <v>0.6977821913273751</v>
      </c>
      <c r="N15" s="14">
        <f>LEFT(I15,FIND("X",I15)-1)*RIGHT(I15,LEN(I15)-FIND("X",I15)-1)*M15</f>
        <v/>
      </c>
      <c r="O15" s="16">
        <f>(N15*L15)/1000</f>
        <v/>
      </c>
    </row>
    <row r="16" ht="15.75" customHeight="1" thickBot="1">
      <c r="A16" s="135" t="n"/>
      <c r="B16" s="135" t="n"/>
      <c r="C16" s="22" t="inlineStr">
        <is>
          <t>SCFG</t>
        </is>
      </c>
      <c r="D16" s="23" t="inlineStr">
        <is>
          <t>-</t>
        </is>
      </c>
      <c r="E16" s="23" t="n">
        <v>15</v>
      </c>
      <c r="F16" s="23" t="inlineStr">
        <is>
          <t>Single</t>
        </is>
      </c>
      <c r="G16" s="23" t="inlineStr">
        <is>
          <t>MSX 35 SCFG</t>
        </is>
      </c>
      <c r="H16" s="23" t="inlineStr">
        <is>
          <t>122 X 175</t>
        </is>
      </c>
      <c r="I16" s="23" t="inlineStr">
        <is>
          <t>28 X 38.5</t>
        </is>
      </c>
      <c r="J16" s="23" t="n">
        <v>25</v>
      </c>
      <c r="K16" s="115" t="n">
        <v>1000</v>
      </c>
      <c r="L16" s="25">
        <f>K16/J16</f>
        <v/>
      </c>
      <c r="M16" s="26" t="n">
        <v>0.3381642512077295</v>
      </c>
      <c r="N16" s="25">
        <f>LEFT(I16,FIND("X",I16)-1)*RIGHT(I16,LEN(I16)-FIND("X",I16)-1)*M16</f>
        <v/>
      </c>
      <c r="O16" s="27">
        <f>(N16*L16)/1000</f>
        <v/>
      </c>
    </row>
    <row r="17" ht="15" customHeight="1">
      <c r="A17" s="149" t="n">
        <v>6</v>
      </c>
      <c r="B17" s="150" t="inlineStr">
        <is>
          <t>MSX 40</t>
        </is>
      </c>
      <c r="C17" s="138" t="inlineStr">
        <is>
          <t>LVP</t>
        </is>
      </c>
      <c r="D17" s="29" t="inlineStr">
        <is>
          <t>Top</t>
        </is>
      </c>
      <c r="E17" s="29" t="n">
        <v>60</v>
      </c>
      <c r="F17" s="29" t="inlineStr">
        <is>
          <t>Single</t>
        </is>
      </c>
      <c r="G17" s="29" t="inlineStr">
        <is>
          <t>MSX 40 TOP LVP</t>
        </is>
      </c>
      <c r="H17" s="29" t="inlineStr">
        <is>
          <t>76 X 168</t>
        </is>
      </c>
      <c r="I17" s="29" t="inlineStr">
        <is>
          <t>21 X 24</t>
        </is>
      </c>
      <c r="J17" s="29" t="n">
        <v>21</v>
      </c>
      <c r="K17" s="114" t="n">
        <v>1000</v>
      </c>
      <c r="L17" s="31">
        <f>K17/J17</f>
        <v/>
      </c>
      <c r="M17" s="32" t="n">
        <v>1.103988603988604</v>
      </c>
      <c r="N17" s="31">
        <f>LEFT(I17,FIND("X",I17)-1)*RIGHT(I17,LEN(I17)-FIND("X",I17)-1)*M17</f>
        <v/>
      </c>
      <c r="O17" s="33">
        <f>(N17*L17)/1000</f>
        <v/>
      </c>
    </row>
    <row r="18" ht="15" customHeight="1">
      <c r="A18" s="133" t="n"/>
      <c r="B18" s="133" t="n"/>
      <c r="C18" s="136" t="n"/>
      <c r="D18" s="11" t="inlineStr">
        <is>
          <t>Bottom</t>
        </is>
      </c>
      <c r="E18" s="11" t="n">
        <v>40</v>
      </c>
      <c r="F18" s="29" t="inlineStr">
        <is>
          <t>Single</t>
        </is>
      </c>
      <c r="G18" s="11" t="inlineStr">
        <is>
          <t>MSX 40 BOT LVP</t>
        </is>
      </c>
      <c r="H18" s="11" t="inlineStr">
        <is>
          <t>88 X 178</t>
        </is>
      </c>
      <c r="I18" s="11" t="inlineStr">
        <is>
          <t>20 X 23</t>
        </is>
      </c>
      <c r="J18" s="11" t="n">
        <v>15</v>
      </c>
      <c r="K18" s="34" t="n">
        <v>1000</v>
      </c>
      <c r="L18" s="14">
        <f>K18/J18</f>
        <v/>
      </c>
      <c r="M18" s="15" t="n">
        <v>0.6977821913273751</v>
      </c>
      <c r="N18" s="14">
        <f>LEFT(I18,FIND("X",I18)-1)*RIGHT(I18,LEN(I18)-FIND("X",I18)-1)*M18</f>
        <v/>
      </c>
      <c r="O18" s="16">
        <f>(N18*L18)/1000</f>
        <v/>
      </c>
    </row>
    <row r="19" ht="15.75" customHeight="1" thickBot="1">
      <c r="A19" s="135" t="n"/>
      <c r="B19" s="135" t="n"/>
      <c r="C19" s="22" t="inlineStr">
        <is>
          <t>SCFG</t>
        </is>
      </c>
      <c r="D19" s="23" t="inlineStr">
        <is>
          <t>-</t>
        </is>
      </c>
      <c r="E19" s="23" t="n">
        <v>15</v>
      </c>
      <c r="F19" s="23" t="inlineStr">
        <is>
          <t>Single</t>
        </is>
      </c>
      <c r="G19" s="23" t="inlineStr">
        <is>
          <t>MSX 40 SCFG</t>
        </is>
      </c>
      <c r="H19" s="23" t="inlineStr">
        <is>
          <t>110 X 198</t>
        </is>
      </c>
      <c r="I19" s="23" t="inlineStr">
        <is>
          <t>25.5 X 43</t>
        </is>
      </c>
      <c r="J19" s="23" t="n">
        <v>25</v>
      </c>
      <c r="K19" s="115" t="n">
        <v>1000</v>
      </c>
      <c r="L19" s="25">
        <f>K19/J19</f>
        <v/>
      </c>
      <c r="M19" s="26" t="n">
        <v>0.3381642512077295</v>
      </c>
      <c r="N19" s="25">
        <f>LEFT(I19,FIND("X",I19)-1)*RIGHT(I19,LEN(I19)-FIND("X",I19)-1)*M19</f>
        <v/>
      </c>
      <c r="O19" s="27">
        <f>(N19*L19)/1000</f>
        <v/>
      </c>
    </row>
    <row r="20" ht="15" customHeight="1">
      <c r="A20" s="149" t="n">
        <v>7</v>
      </c>
      <c r="B20" s="150" t="inlineStr">
        <is>
          <t>MSX 42</t>
        </is>
      </c>
      <c r="C20" s="138" t="inlineStr">
        <is>
          <t>LVP</t>
        </is>
      </c>
      <c r="D20" s="29" t="inlineStr">
        <is>
          <t>Top</t>
        </is>
      </c>
      <c r="E20" s="29" t="n">
        <v>60</v>
      </c>
      <c r="F20" s="29" t="inlineStr">
        <is>
          <t>Single</t>
        </is>
      </c>
      <c r="G20" s="29" t="inlineStr">
        <is>
          <t>MSX 42 TOP LVP</t>
        </is>
      </c>
      <c r="H20" s="29" t="inlineStr">
        <is>
          <t>100 X 230</t>
        </is>
      </c>
      <c r="I20" s="29" t="inlineStr">
        <is>
          <t>19 X 22</t>
        </is>
      </c>
      <c r="J20" s="29" t="n">
        <v>10</v>
      </c>
      <c r="K20" s="114" t="n">
        <v>1000</v>
      </c>
      <c r="L20" s="31">
        <f>K20/J20</f>
        <v/>
      </c>
      <c r="M20" s="32" t="n">
        <v>1.103988603988604</v>
      </c>
      <c r="N20" s="31">
        <f>LEFT(I20,FIND("X",I20)-1)*RIGHT(I20,LEN(I20)-FIND("X",I20)-1)*M20</f>
        <v/>
      </c>
      <c r="O20" s="33">
        <f>(N20*L20)/1000</f>
        <v/>
      </c>
    </row>
    <row r="21" ht="15" customHeight="1">
      <c r="A21" s="133" t="n"/>
      <c r="B21" s="133" t="n"/>
      <c r="C21" s="136" t="n"/>
      <c r="D21" s="11" t="inlineStr">
        <is>
          <t>Bottom</t>
        </is>
      </c>
      <c r="E21" s="11" t="n">
        <v>40</v>
      </c>
      <c r="F21" s="29" t="inlineStr">
        <is>
          <t>Single</t>
        </is>
      </c>
      <c r="G21" s="11" t="inlineStr">
        <is>
          <t>MSX 42 BOT LVP</t>
        </is>
      </c>
      <c r="H21" s="11" t="inlineStr">
        <is>
          <t>108 X 240</t>
        </is>
      </c>
      <c r="I21" s="11" t="inlineStr">
        <is>
          <t>20 X 24</t>
        </is>
      </c>
      <c r="J21" s="11" t="n">
        <v>10</v>
      </c>
      <c r="K21" s="34" t="n">
        <v>1000</v>
      </c>
      <c r="L21" s="14">
        <f>K21/J21</f>
        <v/>
      </c>
      <c r="M21" s="15" t="n">
        <v>0.6977821913273751</v>
      </c>
      <c r="N21" s="14">
        <f>LEFT(I21,FIND("X",I21)-1)*RIGHT(I21,LEN(I21)-FIND("X",I21)-1)*M21</f>
        <v/>
      </c>
      <c r="O21" s="16">
        <f>(N21*L21)/1000</f>
        <v/>
      </c>
    </row>
    <row r="22" ht="15.75" customHeight="1" thickBot="1">
      <c r="A22" s="135" t="n"/>
      <c r="B22" s="135" t="n"/>
      <c r="C22" s="22" t="inlineStr">
        <is>
          <t>SCFG</t>
        </is>
      </c>
      <c r="D22" s="23" t="inlineStr">
        <is>
          <t>-</t>
        </is>
      </c>
      <c r="E22" s="23" t="n">
        <v>15</v>
      </c>
      <c r="F22" s="23" t="inlineStr">
        <is>
          <t>Single</t>
        </is>
      </c>
      <c r="G22" s="23" t="inlineStr">
        <is>
          <t>MSX 42 SCFG</t>
        </is>
      </c>
      <c r="H22" s="23" t="inlineStr">
        <is>
          <t>126 X 260</t>
        </is>
      </c>
      <c r="I22" s="23" t="inlineStr">
        <is>
          <t>29 X 55</t>
        </is>
      </c>
      <c r="J22" s="23" t="n">
        <v>25</v>
      </c>
      <c r="K22" s="115" t="n">
        <v>1000</v>
      </c>
      <c r="L22" s="25">
        <f>K22/J22</f>
        <v/>
      </c>
      <c r="M22" s="26" t="n">
        <v>0.3381642512077295</v>
      </c>
      <c r="N22" s="25">
        <f>LEFT(I22,FIND("X",I22)-1)*RIGHT(I22,LEN(I22)-FIND("X",I22)-1)*M22</f>
        <v/>
      </c>
      <c r="O22" s="27">
        <f>(N22*L22)/1000</f>
        <v/>
      </c>
    </row>
    <row r="23" ht="12.75" customHeight="1">
      <c r="A23" s="149" t="n">
        <v>8</v>
      </c>
      <c r="B23" s="150" t="inlineStr">
        <is>
          <t>MSX 44</t>
        </is>
      </c>
      <c r="C23" s="138" t="inlineStr">
        <is>
          <t>LVP</t>
        </is>
      </c>
      <c r="D23" s="29" t="inlineStr">
        <is>
          <t>Top</t>
        </is>
      </c>
      <c r="E23" s="29" t="n">
        <v>60</v>
      </c>
      <c r="F23" s="29" t="inlineStr">
        <is>
          <t>Single</t>
        </is>
      </c>
      <c r="G23" s="29" t="inlineStr">
        <is>
          <t>MSX 44 TOP LVP</t>
        </is>
      </c>
      <c r="H23" s="29" t="inlineStr">
        <is>
          <t>100 X 108</t>
        </is>
      </c>
      <c r="I23" s="29" t="inlineStr">
        <is>
          <t>18 X 24</t>
        </is>
      </c>
      <c r="J23" s="29" t="n">
        <v>20</v>
      </c>
      <c r="K23" s="114" t="n">
        <v>1000</v>
      </c>
      <c r="L23" s="31">
        <f>K23/J23</f>
        <v/>
      </c>
      <c r="M23" s="32" t="n">
        <v>1.103988603988604</v>
      </c>
      <c r="N23" s="31">
        <f>LEFT(I23,FIND("X",I23)-1)*RIGHT(I23,LEN(I23)-FIND("X",I23)-1)*M23</f>
        <v/>
      </c>
      <c r="O23" s="33">
        <f>(N23*L23)/1000</f>
        <v/>
      </c>
    </row>
    <row r="24" ht="15" customHeight="1">
      <c r="A24" s="133" t="n"/>
      <c r="B24" s="133" t="n"/>
      <c r="C24" s="136" t="n"/>
      <c r="D24" s="11" t="inlineStr">
        <is>
          <t>Bottom</t>
        </is>
      </c>
      <c r="E24" s="11" t="n">
        <v>40</v>
      </c>
      <c r="F24" s="29" t="inlineStr">
        <is>
          <t>Single</t>
        </is>
      </c>
      <c r="G24" s="11" t="inlineStr">
        <is>
          <t>MSX 44 BOT LVP</t>
        </is>
      </c>
      <c r="H24" s="11" t="inlineStr">
        <is>
          <t>110 X 320</t>
        </is>
      </c>
      <c r="I24" s="11" t="inlineStr">
        <is>
          <t>24 X 26</t>
        </is>
      </c>
      <c r="J24" s="11" t="n">
        <v>10</v>
      </c>
      <c r="K24" s="34" t="n">
        <v>1000</v>
      </c>
      <c r="L24" s="14">
        <f>K24/J24</f>
        <v/>
      </c>
      <c r="M24" s="15" t="n">
        <v>0.6977821913273751</v>
      </c>
      <c r="N24" s="14">
        <f>LEFT(I24,FIND("X",I24)-1)*RIGHT(I24,LEN(I24)-FIND("X",I24)-1)*M24</f>
        <v/>
      </c>
      <c r="O24" s="16">
        <f>(N24*L24)/1000</f>
        <v/>
      </c>
    </row>
    <row r="25" ht="15.75" customHeight="1" thickBot="1">
      <c r="A25" s="135" t="n"/>
      <c r="B25" s="135" t="n"/>
      <c r="C25" s="22" t="inlineStr">
        <is>
          <t>SCFG</t>
        </is>
      </c>
      <c r="D25" s="23" t="inlineStr">
        <is>
          <t>-</t>
        </is>
      </c>
      <c r="E25" s="23" t="n">
        <v>15</v>
      </c>
      <c r="F25" s="23" t="inlineStr">
        <is>
          <t>Single</t>
        </is>
      </c>
      <c r="G25" s="23" t="inlineStr">
        <is>
          <t>MSX 44 SCFG</t>
        </is>
      </c>
      <c r="H25" s="23" t="inlineStr">
        <is>
          <t>135 X 346</t>
        </is>
      </c>
      <c r="I25" s="23" t="inlineStr">
        <is>
          <t>30.5 X 72</t>
        </is>
      </c>
      <c r="J25" s="23" t="n">
        <v>25</v>
      </c>
      <c r="K25" s="115" t="n">
        <v>1000</v>
      </c>
      <c r="L25" s="25">
        <f>K25/J25</f>
        <v/>
      </c>
      <c r="M25" s="26" t="n">
        <v>0.3381642512077295</v>
      </c>
      <c r="N25" s="25">
        <f>LEFT(I25,FIND("X",I25)-1)*RIGHT(I25,LEN(I25)-FIND("X",I25)-1)*M25</f>
        <v/>
      </c>
      <c r="O25" s="27">
        <f>(N25*L25)/1000</f>
        <v/>
      </c>
    </row>
    <row r="26" ht="15" customHeight="1">
      <c r="A26" s="149" t="n">
        <v>9</v>
      </c>
      <c r="B26" s="150" t="inlineStr">
        <is>
          <t>MSX 45</t>
        </is>
      </c>
      <c r="C26" s="138" t="inlineStr">
        <is>
          <t>LVP</t>
        </is>
      </c>
      <c r="D26" s="29" t="inlineStr">
        <is>
          <t>Top</t>
        </is>
      </c>
      <c r="E26" s="29" t="n">
        <v>40</v>
      </c>
      <c r="F26" s="29" t="inlineStr">
        <is>
          <t>Single</t>
        </is>
      </c>
      <c r="G26" s="29" t="inlineStr">
        <is>
          <t>MSX 45 LVP</t>
        </is>
      </c>
      <c r="H26" s="29" t="inlineStr">
        <is>
          <t>158 X 209</t>
        </is>
      </c>
      <c r="I26" s="29" t="inlineStr">
        <is>
          <t>18 X 20</t>
        </is>
      </c>
      <c r="J26" s="29" t="n">
        <v>6</v>
      </c>
      <c r="K26" s="114" t="n">
        <v>1000</v>
      </c>
      <c r="L26" s="31">
        <f>K26/J26</f>
        <v/>
      </c>
      <c r="M26" s="32" t="n">
        <v>0.6977821913273751</v>
      </c>
      <c r="N26" s="31">
        <f>LEFT(I26,FIND("X",I26)-1)*RIGHT(I26,LEN(I26)-FIND("X",I26)-1)*M26</f>
        <v/>
      </c>
      <c r="O26" s="33">
        <f>(N26*L26)/1000</f>
        <v/>
      </c>
    </row>
    <row r="27" ht="15" customHeight="1">
      <c r="A27" s="133" t="n"/>
      <c r="B27" s="133" t="n"/>
      <c r="C27" s="136" t="n"/>
      <c r="D27" s="11" t="inlineStr">
        <is>
          <t>Bottom</t>
        </is>
      </c>
      <c r="E27" s="11" t="n">
        <v>40</v>
      </c>
      <c r="F27" s="29" t="inlineStr">
        <is>
          <t>Single</t>
        </is>
      </c>
      <c r="G27" s="29" t="inlineStr">
        <is>
          <t>MSX 45 LVP</t>
        </is>
      </c>
      <c r="H27" s="29" t="inlineStr">
        <is>
          <t>158 X 209</t>
        </is>
      </c>
      <c r="I27" s="11" t="inlineStr">
        <is>
          <t>18 X 20</t>
        </is>
      </c>
      <c r="J27" s="11" t="n">
        <v>6</v>
      </c>
      <c r="K27" s="34" t="n">
        <v>1000</v>
      </c>
      <c r="L27" s="14">
        <f>K27/J27</f>
        <v/>
      </c>
      <c r="M27" s="15" t="n">
        <v>0.6977821913273751</v>
      </c>
      <c r="N27" s="14">
        <f>LEFT(I27,FIND("X",I27)-1)*RIGHT(I27,LEN(I27)-FIND("X",I27)-1)*M27</f>
        <v/>
      </c>
      <c r="O27" s="16">
        <f>(N27*L27)/1000</f>
        <v/>
      </c>
    </row>
    <row r="28" ht="15.75" customHeight="1" thickBot="1">
      <c r="A28" s="135" t="n"/>
      <c r="B28" s="135" t="n"/>
      <c r="C28" s="22" t="inlineStr">
        <is>
          <t>SCFG</t>
        </is>
      </c>
      <c r="D28" s="23" t="inlineStr">
        <is>
          <t>-</t>
        </is>
      </c>
      <c r="E28" s="23" t="n">
        <v>15</v>
      </c>
      <c r="F28" s="23" t="inlineStr">
        <is>
          <t>Single</t>
        </is>
      </c>
      <c r="G28" s="23" t="inlineStr">
        <is>
          <t>MSX 45 SCFG</t>
        </is>
      </c>
      <c r="H28" s="23" t="inlineStr">
        <is>
          <t>175 X 226</t>
        </is>
      </c>
      <c r="I28" s="23" t="inlineStr">
        <is>
          <t>38.5 X 48.5</t>
        </is>
      </c>
      <c r="J28" s="23" t="n">
        <v>25</v>
      </c>
      <c r="K28" s="115" t="n">
        <v>1000</v>
      </c>
      <c r="L28" s="25">
        <f>K28/J28</f>
        <v/>
      </c>
      <c r="M28" s="26" t="n">
        <v>0.3381642512077295</v>
      </c>
      <c r="N28" s="25">
        <f>LEFT(I28,FIND("X",I28)-1)*RIGHT(I28,LEN(I28)-FIND("X",I28)-1)*M28</f>
        <v/>
      </c>
      <c r="O28" s="27">
        <f>(N28*L28)/1000</f>
        <v/>
      </c>
    </row>
    <row r="29" ht="15" customHeight="1">
      <c r="A29" s="149" t="n">
        <v>10</v>
      </c>
      <c r="B29" s="150" t="inlineStr">
        <is>
          <t>MSX 46</t>
        </is>
      </c>
      <c r="C29" s="138" t="inlineStr">
        <is>
          <t>LVP</t>
        </is>
      </c>
      <c r="D29" s="29" t="inlineStr">
        <is>
          <t>Top</t>
        </is>
      </c>
      <c r="E29" s="29" t="n">
        <v>40</v>
      </c>
      <c r="F29" s="29" t="inlineStr">
        <is>
          <t>Single</t>
        </is>
      </c>
      <c r="G29" s="29" t="inlineStr">
        <is>
          <t>MSX 46 LVP</t>
        </is>
      </c>
      <c r="H29" s="29" t="inlineStr">
        <is>
          <t>128 X 389</t>
        </is>
      </c>
      <c r="I29" s="29" t="inlineStr">
        <is>
          <t>16 X 23</t>
        </is>
      </c>
      <c r="J29" s="29" t="n">
        <v>4</v>
      </c>
      <c r="K29" s="114" t="n">
        <v>1000</v>
      </c>
      <c r="L29" s="31">
        <f>K29/J29</f>
        <v/>
      </c>
      <c r="M29" s="32" t="n">
        <v>0.6977821913273751</v>
      </c>
      <c r="N29" s="31">
        <f>LEFT(I29,FIND("X",I29)-1)*RIGHT(I29,LEN(I29)-FIND("X",I29)-1)*M29</f>
        <v/>
      </c>
      <c r="O29" s="33">
        <f>(N29*L29)/1000</f>
        <v/>
      </c>
    </row>
    <row r="30" ht="15" customHeight="1">
      <c r="A30" s="133" t="n"/>
      <c r="B30" s="133" t="n"/>
      <c r="C30" s="136" t="n"/>
      <c r="D30" s="11" t="inlineStr">
        <is>
          <t>Bottom</t>
        </is>
      </c>
      <c r="E30" s="11" t="n">
        <v>40</v>
      </c>
      <c r="F30" s="29" t="inlineStr">
        <is>
          <t>Single</t>
        </is>
      </c>
      <c r="G30" s="29" t="inlineStr">
        <is>
          <t>MSX 46 LVP</t>
        </is>
      </c>
      <c r="H30" s="29" t="inlineStr">
        <is>
          <t>128 X 389</t>
        </is>
      </c>
      <c r="I30" s="11" t="inlineStr">
        <is>
          <t>16 X 23</t>
        </is>
      </c>
      <c r="J30" s="11" t="n">
        <v>4</v>
      </c>
      <c r="K30" s="34" t="n">
        <v>1000</v>
      </c>
      <c r="L30" s="14">
        <f>K30/J30</f>
        <v/>
      </c>
      <c r="M30" s="15" t="n">
        <v>0.6977821913273751</v>
      </c>
      <c r="N30" s="14">
        <f>LEFT(I30,FIND("X",I30)-1)*RIGHT(I30,LEN(I30)-FIND("X",I30)-1)*M30</f>
        <v/>
      </c>
      <c r="O30" s="16">
        <f>(N30*L30)/1000</f>
        <v/>
      </c>
    </row>
    <row r="31" ht="15.75" customHeight="1" thickBot="1">
      <c r="A31" s="135" t="n"/>
      <c r="B31" s="135" t="n"/>
      <c r="C31" s="22" t="inlineStr">
        <is>
          <t>SCFG</t>
        </is>
      </c>
      <c r="D31" s="23" t="inlineStr">
        <is>
          <t>-</t>
        </is>
      </c>
      <c r="E31" s="23" t="n">
        <v>15</v>
      </c>
      <c r="F31" s="23" t="inlineStr">
        <is>
          <t>Single</t>
        </is>
      </c>
      <c r="G31" s="23" t="inlineStr">
        <is>
          <t>MSX 46 SCFG</t>
        </is>
      </c>
      <c r="H31" s="23" t="inlineStr">
        <is>
          <t>148 X 409</t>
        </is>
      </c>
      <c r="I31" s="23" t="inlineStr">
        <is>
          <t>33 X 84.5</t>
        </is>
      </c>
      <c r="J31" s="23" t="n">
        <v>25</v>
      </c>
      <c r="K31" s="115" t="n">
        <v>1000</v>
      </c>
      <c r="L31" s="25">
        <f>K31/J31</f>
        <v/>
      </c>
      <c r="M31" s="26" t="n">
        <v>0.3381642512077295</v>
      </c>
      <c r="N31" s="25">
        <f>LEFT(I31,FIND("X",I31)-1)*RIGHT(I31,LEN(I31)-FIND("X",I31)-1)*M31</f>
        <v/>
      </c>
      <c r="O31" s="27">
        <f>(N31*L31)/1000</f>
        <v/>
      </c>
    </row>
    <row r="32" ht="15" customHeight="1">
      <c r="A32" s="149" t="n">
        <v>11</v>
      </c>
      <c r="B32" s="150" t="inlineStr">
        <is>
          <t>Kwik 0</t>
        </is>
      </c>
      <c r="C32" s="97" t="inlineStr">
        <is>
          <t>Fabric</t>
        </is>
      </c>
      <c r="D32" s="29" t="n"/>
      <c r="E32" s="29" t="n"/>
      <c r="F32" s="29" t="n"/>
      <c r="G32" s="29" t="n"/>
      <c r="H32" s="29" t="n"/>
      <c r="I32" s="29" t="n"/>
      <c r="J32" s="29" t="n"/>
      <c r="K32" s="114" t="n"/>
      <c r="L32" s="31">
        <f>K32/J32</f>
        <v/>
      </c>
      <c r="M32" s="32" t="e">
        <v>#N/A</v>
      </c>
      <c r="N32" s="31">
        <f>LEFT(I32,FIND("X",I32)-1)*RIGHT(I32,LEN(I32)-FIND("X",I32)-1)*M32</f>
        <v/>
      </c>
      <c r="O32" s="33">
        <f>(N32*L32)/1000</f>
        <v/>
      </c>
    </row>
    <row r="33" ht="15" customHeight="1">
      <c r="A33" s="133" t="n"/>
      <c r="B33" s="133" t="n"/>
      <c r="C33" s="125" t="n"/>
      <c r="D33" s="126" t="n"/>
      <c r="E33" s="126" t="n"/>
      <c r="F33" s="126" t="n"/>
      <c r="G33" s="126" t="n"/>
      <c r="H33" s="126" t="n"/>
      <c r="I33" s="126" t="n"/>
      <c r="J33" s="126" t="n"/>
      <c r="K33" s="127" t="n"/>
      <c r="L33" s="128" t="n"/>
      <c r="M33" s="129" t="n"/>
      <c r="N33" s="128" t="n"/>
      <c r="O33" s="130" t="n"/>
    </row>
    <row r="34" ht="15.75" customHeight="1" thickBot="1">
      <c r="A34" s="135" t="n"/>
      <c r="B34" s="135" t="n"/>
      <c r="C34" s="22" t="inlineStr">
        <is>
          <t>SCFG</t>
        </is>
      </c>
      <c r="D34" s="23" t="inlineStr">
        <is>
          <t>-</t>
        </is>
      </c>
      <c r="E34" s="23" t="n">
        <v>15</v>
      </c>
      <c r="F34" s="23" t="inlineStr">
        <is>
          <t>Single</t>
        </is>
      </c>
      <c r="G34" s="23" t="inlineStr">
        <is>
          <t>KWIK 0 SCFG</t>
        </is>
      </c>
      <c r="H34" s="23" t="n">
        <v>60</v>
      </c>
      <c r="I34" s="23" t="inlineStr">
        <is>
          <t>22 X 22</t>
        </is>
      </c>
      <c r="J34" s="23" t="n">
        <v>49</v>
      </c>
      <c r="K34" s="115" t="n"/>
      <c r="L34" s="25">
        <f>K34/J34</f>
        <v/>
      </c>
      <c r="M34" s="26" t="n">
        <v>0.3381642512077295</v>
      </c>
      <c r="N34" s="25">
        <f>LEFT(I34,FIND("X",I34)-1)*RIGHT(I34,LEN(I34)-FIND("X",I34)-1)*M34</f>
        <v/>
      </c>
      <c r="O34" s="27">
        <f>(N34*L34)/1000</f>
        <v/>
      </c>
    </row>
    <row r="35" ht="15" customHeight="1">
      <c r="A35" s="149" t="n">
        <v>12</v>
      </c>
      <c r="B35" s="150" t="inlineStr">
        <is>
          <t>Kwik 1</t>
        </is>
      </c>
      <c r="C35" s="97" t="inlineStr">
        <is>
          <t>Fabric</t>
        </is>
      </c>
      <c r="D35" s="29" t="n"/>
      <c r="E35" s="29" t="n"/>
      <c r="F35" s="29" t="n"/>
      <c r="G35" s="29" t="n"/>
      <c r="H35" s="29" t="n"/>
      <c r="I35" s="29" t="n"/>
      <c r="J35" s="29" t="n"/>
      <c r="K35" s="114" t="n"/>
      <c r="L35" s="31">
        <f>K35/J35</f>
        <v/>
      </c>
      <c r="M35" s="32" t="e">
        <v>#N/A</v>
      </c>
      <c r="N35" s="31">
        <f>LEFT(I35,FIND("X",I35)-1)*RIGHT(I35,LEN(I35)-FIND("X",I35)-1)*M35</f>
        <v/>
      </c>
      <c r="O35" s="33">
        <f>(N35*L35)/1000</f>
        <v/>
      </c>
    </row>
    <row r="36" ht="15" customHeight="1">
      <c r="A36" s="133" t="n"/>
      <c r="B36" s="133" t="n"/>
      <c r="C36" s="125" t="n"/>
      <c r="D36" s="126" t="n"/>
      <c r="E36" s="126" t="n"/>
      <c r="F36" s="126" t="n"/>
      <c r="G36" s="126" t="n"/>
      <c r="H36" s="126" t="n"/>
      <c r="I36" s="126" t="n"/>
      <c r="J36" s="126" t="n"/>
      <c r="K36" s="127" t="n"/>
      <c r="L36" s="128" t="n"/>
      <c r="M36" s="129" t="n"/>
      <c r="N36" s="128" t="n"/>
      <c r="O36" s="130" t="n"/>
    </row>
    <row r="37" ht="15.75" customHeight="1" thickBot="1">
      <c r="A37" s="135" t="n"/>
      <c r="B37" s="135" t="n"/>
      <c r="C37" s="22" t="inlineStr">
        <is>
          <t>SCFG</t>
        </is>
      </c>
      <c r="D37" s="23" t="inlineStr">
        <is>
          <t>-</t>
        </is>
      </c>
      <c r="E37" s="23" t="n">
        <v>15</v>
      </c>
      <c r="F37" s="23" t="inlineStr">
        <is>
          <t>Single</t>
        </is>
      </c>
      <c r="G37" s="23" t="inlineStr">
        <is>
          <t>KWIK 1 SCFG</t>
        </is>
      </c>
      <c r="H37" s="23" t="n">
        <v>75</v>
      </c>
      <c r="I37" s="23" t="inlineStr">
        <is>
          <t>22.5 X 22.5</t>
        </is>
      </c>
      <c r="J37" s="23" t="n">
        <v>36</v>
      </c>
      <c r="K37" s="115" t="n"/>
      <c r="L37" s="25">
        <f>K37/J37</f>
        <v/>
      </c>
      <c r="M37" s="26" t="n">
        <v>0.3381642512077295</v>
      </c>
      <c r="N37" s="25">
        <f>LEFT(I37,FIND("X",I37)-1)*RIGHT(I37,LEN(I37)-FIND("X",I37)-1)*M37</f>
        <v/>
      </c>
      <c r="O37" s="27">
        <f>(N37*L37)/1000</f>
        <v/>
      </c>
    </row>
    <row r="38" ht="15" customHeight="1">
      <c r="A38" s="149" t="n">
        <v>13</v>
      </c>
      <c r="B38" s="150" t="inlineStr">
        <is>
          <t>Kwik 2</t>
        </is>
      </c>
      <c r="C38" s="138" t="inlineStr">
        <is>
          <t>LVP</t>
        </is>
      </c>
      <c r="D38" s="29" t="inlineStr">
        <is>
          <t>Top</t>
        </is>
      </c>
      <c r="E38" s="29" t="n">
        <v>75</v>
      </c>
      <c r="F38" s="29" t="inlineStr">
        <is>
          <t>Passing</t>
        </is>
      </c>
      <c r="G38" s="29" t="inlineStr">
        <is>
          <t>KWIK 2 LVP</t>
        </is>
      </c>
      <c r="H38" s="29" t="n">
        <v>70</v>
      </c>
      <c r="I38" s="29" t="inlineStr">
        <is>
          <t>23 X 23</t>
        </is>
      </c>
      <c r="J38" s="29" t="n">
        <v>49</v>
      </c>
      <c r="K38" s="114" t="n"/>
      <c r="L38" s="31">
        <f>K38/J38</f>
        <v/>
      </c>
      <c r="M38" s="32" t="n">
        <v>1.433962264150943</v>
      </c>
      <c r="N38" s="31">
        <f>LEFT(I38,FIND("X",I38)-1)*RIGHT(I38,LEN(I38)-FIND("X",I38)-1)*M38</f>
        <v/>
      </c>
      <c r="O38" s="33">
        <f>(N38*L38)/1000</f>
        <v/>
      </c>
    </row>
    <row r="39" ht="15" customHeight="1">
      <c r="A39" s="133" t="n"/>
      <c r="B39" s="133" t="n"/>
      <c r="C39" s="136" t="n"/>
      <c r="D39" s="11" t="inlineStr">
        <is>
          <t>Bottom</t>
        </is>
      </c>
      <c r="E39" s="11" t="n"/>
      <c r="F39" s="11" t="n"/>
      <c r="G39" s="11" t="n"/>
      <c r="H39" s="11" t="n"/>
      <c r="I39" s="11" t="n"/>
      <c r="J39" s="11" t="n"/>
      <c r="K39" s="34" t="n"/>
      <c r="L39" s="14">
        <f>K39/J39</f>
        <v/>
      </c>
      <c r="M39" s="15" t="e">
        <v>#N/A</v>
      </c>
      <c r="N39" s="14">
        <f>LEFT(I39,FIND("X",I39)-1)*RIGHT(I39,LEN(I39)-FIND("X",I39)-1)*M39</f>
        <v/>
      </c>
      <c r="O39" s="16">
        <f>(N39*L39)/1000</f>
        <v/>
      </c>
    </row>
    <row r="40" ht="15.75" customHeight="1" thickBot="1">
      <c r="A40" s="135" t="n"/>
      <c r="B40" s="135" t="n"/>
      <c r="C40" s="22" t="inlineStr">
        <is>
          <t>SCFG</t>
        </is>
      </c>
      <c r="D40" s="23" t="inlineStr">
        <is>
          <t>-</t>
        </is>
      </c>
      <c r="E40" s="23" t="n">
        <v>15</v>
      </c>
      <c r="F40" s="23" t="inlineStr">
        <is>
          <t>Single</t>
        </is>
      </c>
      <c r="G40" s="23" t="inlineStr">
        <is>
          <t>KWIK 2 SCFG</t>
        </is>
      </c>
      <c r="H40" s="23" t="n">
        <v>89</v>
      </c>
      <c r="I40" s="23" t="inlineStr">
        <is>
          <t>21.5 X 21.5</t>
        </is>
      </c>
      <c r="J40" s="23" t="n">
        <v>25</v>
      </c>
      <c r="K40" s="115" t="n"/>
      <c r="L40" s="25">
        <f>K40/J40</f>
        <v/>
      </c>
      <c r="M40" s="26" t="n">
        <v>0.3381642512077295</v>
      </c>
      <c r="N40" s="25">
        <f>LEFT(I40,FIND("X",I40)-1)*RIGHT(I40,LEN(I40)-FIND("X",I40)-1)*M40</f>
        <v/>
      </c>
      <c r="O40" s="154">
        <f>(N40*L40)/1000</f>
        <v/>
      </c>
    </row>
    <row r="41" ht="15" customHeight="1">
      <c r="A41" s="149" t="n">
        <v>14</v>
      </c>
      <c r="B41" s="150" t="inlineStr">
        <is>
          <t>Kwik 3</t>
        </is>
      </c>
      <c r="C41" s="138" t="inlineStr">
        <is>
          <t>LVP</t>
        </is>
      </c>
      <c r="D41" s="29" t="inlineStr">
        <is>
          <t>Top</t>
        </is>
      </c>
      <c r="E41" s="29" t="n">
        <v>40</v>
      </c>
      <c r="F41" s="29" t="inlineStr">
        <is>
          <t>Single</t>
        </is>
      </c>
      <c r="G41" s="29" t="inlineStr">
        <is>
          <t>KWIK 3 LVP</t>
        </is>
      </c>
      <c r="H41" s="29" t="inlineStr">
        <is>
          <t>89 x 89</t>
        </is>
      </c>
      <c r="I41" s="29" t="inlineStr">
        <is>
          <t>24 X 24</t>
        </is>
      </c>
      <c r="J41" s="29" t="n">
        <v>36</v>
      </c>
      <c r="K41" s="114" t="n"/>
      <c r="L41" s="31">
        <f>K41/J41</f>
        <v/>
      </c>
      <c r="M41" s="32" t="n">
        <v>0.6977821913273751</v>
      </c>
      <c r="N41" s="31">
        <f>LEFT(I41,FIND("X",I41)-1)*RIGHT(I41,LEN(I41)-FIND("X",I41)-1)*M41</f>
        <v/>
      </c>
      <c r="O41" s="155">
        <f>(N41*L41)/1000</f>
        <v/>
      </c>
    </row>
    <row r="42" ht="15" customHeight="1">
      <c r="A42" s="133" t="n"/>
      <c r="B42" s="133" t="n"/>
      <c r="C42" s="136" t="n"/>
      <c r="D42" s="11" t="inlineStr">
        <is>
          <t>Bottom</t>
        </is>
      </c>
      <c r="E42" s="11" t="n">
        <v>40</v>
      </c>
      <c r="F42" s="11" t="inlineStr">
        <is>
          <t>Single</t>
        </is>
      </c>
      <c r="G42" s="29" t="inlineStr">
        <is>
          <t>KWIK 3 LVP</t>
        </is>
      </c>
      <c r="H42" s="29" t="inlineStr">
        <is>
          <t>89 x 89</t>
        </is>
      </c>
      <c r="I42" s="29" t="inlineStr">
        <is>
          <t>24 X 24</t>
        </is>
      </c>
      <c r="J42" s="29" t="n">
        <v>36</v>
      </c>
      <c r="K42" s="34" t="n"/>
      <c r="L42" s="14">
        <f>K42/J42</f>
        <v/>
      </c>
      <c r="M42" s="15" t="n">
        <v>0.6977821913273751</v>
      </c>
      <c r="N42" s="14">
        <f>LEFT(I42,FIND("X",I42)-1)*RIGHT(I42,LEN(I42)-FIND("X",I42)-1)*M42</f>
        <v/>
      </c>
      <c r="O42" s="156">
        <f>(N42*L42)/1000</f>
        <v/>
      </c>
    </row>
    <row r="43" ht="15.75" customHeight="1" thickBot="1">
      <c r="A43" s="135" t="n"/>
      <c r="B43" s="135" t="n"/>
      <c r="C43" s="22" t="inlineStr">
        <is>
          <t>SCFG</t>
        </is>
      </c>
      <c r="D43" s="23" t="inlineStr">
        <is>
          <t>-</t>
        </is>
      </c>
      <c r="E43" s="23" t="n">
        <v>15</v>
      </c>
      <c r="F43" s="23" t="inlineStr">
        <is>
          <t>Single</t>
        </is>
      </c>
      <c r="G43" s="23" t="inlineStr">
        <is>
          <t>KWIK 3 SCFG</t>
        </is>
      </c>
      <c r="H43" s="23" t="inlineStr">
        <is>
          <t>108 x 108</t>
        </is>
      </c>
      <c r="I43" s="23" t="inlineStr">
        <is>
          <t>25 X 25</t>
        </is>
      </c>
      <c r="J43" s="23" t="n">
        <v>25</v>
      </c>
      <c r="K43" s="115" t="n"/>
      <c r="L43" s="25">
        <f>K43/J43</f>
        <v/>
      </c>
      <c r="M43" s="26" t="n">
        <v>0.3381642512077295</v>
      </c>
      <c r="N43" s="25">
        <f>LEFT(I43,FIND("X",I43)-1)*RIGHT(I43,LEN(I43)-FIND("X",I43)-1)*M43</f>
        <v/>
      </c>
      <c r="O43" s="157">
        <f>(N43*L43)/1000</f>
        <v/>
      </c>
    </row>
    <row r="44" ht="15" customHeight="1">
      <c r="A44" s="149" t="n">
        <v>15</v>
      </c>
      <c r="B44" s="150" t="inlineStr">
        <is>
          <t>Kwik 4</t>
        </is>
      </c>
      <c r="C44" s="138" t="inlineStr">
        <is>
          <t>LVP</t>
        </is>
      </c>
      <c r="D44" s="29" t="inlineStr">
        <is>
          <t>Top</t>
        </is>
      </c>
      <c r="E44" s="29" t="n">
        <v>60</v>
      </c>
      <c r="F44" s="29" t="inlineStr">
        <is>
          <t>Single</t>
        </is>
      </c>
      <c r="G44" s="29" t="inlineStr">
        <is>
          <t>KWIK 4 LVP</t>
        </is>
      </c>
      <c r="H44" s="29" t="inlineStr">
        <is>
          <t>136 x 136</t>
        </is>
      </c>
      <c r="I44" s="29" t="inlineStr">
        <is>
          <t>23.5 X 23.5</t>
        </is>
      </c>
      <c r="J44" s="29" t="n">
        <v>16</v>
      </c>
      <c r="K44" s="114" t="n"/>
      <c r="L44" s="31">
        <f>K44/J44</f>
        <v/>
      </c>
      <c r="M44" s="32" t="n">
        <v>1.103988603988604</v>
      </c>
      <c r="N44" s="31">
        <f>LEFT(I44,FIND("X",I44)-1)*RIGHT(I44,LEN(I44)-FIND("X",I44)-1)*M44</f>
        <v/>
      </c>
      <c r="O44" s="153">
        <f>(N44*L44)/1000</f>
        <v/>
      </c>
    </row>
    <row r="45" ht="15" customHeight="1">
      <c r="A45" s="133" t="n"/>
      <c r="B45" s="133" t="n"/>
      <c r="C45" s="136" t="n"/>
      <c r="D45" s="11" t="inlineStr">
        <is>
          <t>Bottom</t>
        </is>
      </c>
      <c r="E45" s="11" t="n">
        <v>40</v>
      </c>
      <c r="F45" s="11" t="inlineStr">
        <is>
          <t>Single</t>
        </is>
      </c>
      <c r="G45" s="29" t="inlineStr">
        <is>
          <t>KWIK 4 LVP</t>
        </is>
      </c>
      <c r="H45" s="29" t="inlineStr">
        <is>
          <t>136 x 136</t>
        </is>
      </c>
      <c r="I45" s="29" t="inlineStr">
        <is>
          <t>23.5 X 23.5</t>
        </is>
      </c>
      <c r="J45" s="29" t="n">
        <v>16</v>
      </c>
      <c r="K45" s="34" t="n"/>
      <c r="L45" s="14">
        <f>K45/J45</f>
        <v/>
      </c>
      <c r="M45" s="15" t="n">
        <v>0.6977821913273751</v>
      </c>
      <c r="N45" s="14">
        <f>LEFT(I45,FIND("X",I45)-1)*RIGHT(I45,LEN(I45)-FIND("X",I45)-1)*M45</f>
        <v/>
      </c>
      <c r="O45" s="158">
        <f>(N45*L45)/1000</f>
        <v/>
      </c>
    </row>
    <row r="46" ht="15.75" customHeight="1" thickBot="1">
      <c r="A46" s="135" t="n"/>
      <c r="B46" s="135" t="n"/>
      <c r="C46" s="22" t="inlineStr">
        <is>
          <t>SCFG</t>
        </is>
      </c>
      <c r="D46" s="23" t="inlineStr">
        <is>
          <t>-</t>
        </is>
      </c>
      <c r="E46" s="23" t="n">
        <v>15</v>
      </c>
      <c r="F46" s="23" t="inlineStr">
        <is>
          <t>Single</t>
        </is>
      </c>
      <c r="G46" s="23" t="inlineStr">
        <is>
          <t>KWIK 4 SCFG</t>
        </is>
      </c>
      <c r="H46" s="23" t="inlineStr">
        <is>
          <t>161 x 161</t>
        </is>
      </c>
      <c r="I46" s="23" t="inlineStr">
        <is>
          <t>21.5 X 21.5</t>
        </is>
      </c>
      <c r="J46" s="23" t="n">
        <v>9</v>
      </c>
      <c r="K46" s="115" t="n"/>
      <c r="L46" s="25">
        <f>K46/J46</f>
        <v/>
      </c>
      <c r="M46" s="26" t="n">
        <v>0.3381642512077295</v>
      </c>
      <c r="N46" s="25">
        <f>LEFT(I46,FIND("X",I46)-1)*RIGHT(I46,LEN(I46)-FIND("X",I46)-1)*M46</f>
        <v/>
      </c>
      <c r="O46" s="27">
        <f>(N46*L46)/1000</f>
        <v/>
      </c>
    </row>
    <row r="47" ht="15" customHeight="1">
      <c r="A47" s="149" t="n">
        <v>16</v>
      </c>
      <c r="B47" s="150" t="inlineStr">
        <is>
          <t>Kwik 5</t>
        </is>
      </c>
      <c r="C47" s="138" t="inlineStr">
        <is>
          <t>LVP</t>
        </is>
      </c>
      <c r="D47" s="29" t="inlineStr">
        <is>
          <t>Top</t>
        </is>
      </c>
      <c r="E47" s="29" t="n">
        <v>60</v>
      </c>
      <c r="F47" s="29" t="inlineStr">
        <is>
          <t>Single</t>
        </is>
      </c>
      <c r="G47" s="29" t="inlineStr">
        <is>
          <t>KWIK 5 LVP</t>
        </is>
      </c>
      <c r="H47" s="29" t="inlineStr">
        <is>
          <t>165 X 165</t>
        </is>
      </c>
      <c r="I47" s="29" t="inlineStr">
        <is>
          <t>21 X 21</t>
        </is>
      </c>
      <c r="J47" s="29" t="n">
        <v>9</v>
      </c>
      <c r="K47" s="114" t="n"/>
      <c r="L47" s="31">
        <f>K47/J47</f>
        <v/>
      </c>
      <c r="M47" s="32" t="n">
        <v>1.103988603988604</v>
      </c>
      <c r="N47" s="31">
        <f>LEFT(I47,FIND("X",I47)-1)*RIGHT(I47,LEN(I47)-FIND("X",I47)-1)*M47</f>
        <v/>
      </c>
      <c r="O47" s="153">
        <f>(N47*L47)/1000</f>
        <v/>
      </c>
    </row>
    <row r="48" ht="15" customHeight="1">
      <c r="A48" s="133" t="n"/>
      <c r="B48" s="133" t="n"/>
      <c r="C48" s="136" t="n"/>
      <c r="D48" s="11" t="inlineStr">
        <is>
          <t>Bottom</t>
        </is>
      </c>
      <c r="E48" s="11" t="n">
        <v>40</v>
      </c>
      <c r="F48" s="11" t="inlineStr">
        <is>
          <t>Single</t>
        </is>
      </c>
      <c r="G48" s="29" t="inlineStr">
        <is>
          <t>KWIK 5 LVP</t>
        </is>
      </c>
      <c r="H48" s="29" t="inlineStr">
        <is>
          <t>165 X 165</t>
        </is>
      </c>
      <c r="I48" s="29" t="inlineStr">
        <is>
          <t>21 X 21</t>
        </is>
      </c>
      <c r="J48" s="29" t="n">
        <v>9</v>
      </c>
      <c r="K48" s="34" t="n"/>
      <c r="L48" s="14">
        <f>K48/J48</f>
        <v/>
      </c>
      <c r="M48" s="15" t="n">
        <v>0.6977821913273751</v>
      </c>
      <c r="N48" s="14">
        <f>LEFT(I48,FIND("X",I48)-1)*RIGHT(I48,LEN(I48)-FIND("X",I48)-1)*M48</f>
        <v/>
      </c>
      <c r="O48" s="158">
        <f>(N48*L48)/1000</f>
        <v/>
      </c>
    </row>
    <row r="49" ht="15.75" customHeight="1" thickBot="1">
      <c r="A49" s="135" t="n"/>
      <c r="B49" s="135" t="n"/>
      <c r="C49" s="22" t="inlineStr">
        <is>
          <t>SCFG</t>
        </is>
      </c>
      <c r="D49" s="23" t="inlineStr">
        <is>
          <t>-</t>
        </is>
      </c>
      <c r="E49" s="23" t="n">
        <v>15</v>
      </c>
      <c r="F49" s="23" t="inlineStr">
        <is>
          <t>Single</t>
        </is>
      </c>
      <c r="G49" s="23" t="inlineStr">
        <is>
          <t>KWIK 5 SCFG</t>
        </is>
      </c>
      <c r="H49" s="23" t="inlineStr">
        <is>
          <t>188 x 188</t>
        </is>
      </c>
      <c r="I49" s="23" t="inlineStr">
        <is>
          <t>24.5 X 24.5</t>
        </is>
      </c>
      <c r="J49" s="23" t="n">
        <v>9</v>
      </c>
      <c r="K49" s="115" t="n"/>
      <c r="L49" s="25">
        <f>K49/J49</f>
        <v/>
      </c>
      <c r="M49" s="26" t="n">
        <v>0.3381642512077295</v>
      </c>
      <c r="N49" s="25">
        <f>LEFT(I49,FIND("X",I49)-1)*RIGHT(I49,LEN(I49)-FIND("X",I49)-1)*M49</f>
        <v/>
      </c>
      <c r="O49" s="154">
        <f>(N49*L49)/1000</f>
        <v/>
      </c>
    </row>
    <row r="50" ht="15" customHeight="1">
      <c r="A50" s="149" t="n">
        <v>17</v>
      </c>
      <c r="B50" s="150" t="inlineStr">
        <is>
          <t>Kwik 6</t>
        </is>
      </c>
      <c r="C50" s="138" t="inlineStr">
        <is>
          <t>LVP</t>
        </is>
      </c>
      <c r="D50" s="29" t="inlineStr">
        <is>
          <t>Top</t>
        </is>
      </c>
      <c r="E50" s="29" t="n">
        <v>60</v>
      </c>
      <c r="F50" s="29" t="inlineStr">
        <is>
          <t>Single</t>
        </is>
      </c>
      <c r="G50" s="29" t="inlineStr">
        <is>
          <t>KWIK 6 LVP</t>
        </is>
      </c>
      <c r="H50" s="29" t="inlineStr">
        <is>
          <t>236 X 236</t>
        </is>
      </c>
      <c r="I50" s="29" t="inlineStr">
        <is>
          <t>20 X 20</t>
        </is>
      </c>
      <c r="J50" s="29" t="n">
        <v>4</v>
      </c>
      <c r="K50" s="114" t="n"/>
      <c r="L50" s="31">
        <f>K50/J50</f>
        <v/>
      </c>
      <c r="M50" s="32" t="n">
        <v>1.103988603988604</v>
      </c>
      <c r="N50" s="31">
        <f>LEFT(I50,FIND("X",I50)-1)*RIGHT(I50,LEN(I50)-FIND("X",I50)-1)*M50</f>
        <v/>
      </c>
      <c r="O50" s="153">
        <f>(N50*L50)/1000</f>
        <v/>
      </c>
    </row>
    <row r="51" ht="15" customHeight="1">
      <c r="A51" s="133" t="n"/>
      <c r="B51" s="133" t="n"/>
      <c r="C51" s="136" t="n"/>
      <c r="D51" s="11" t="inlineStr">
        <is>
          <t>Bottom</t>
        </is>
      </c>
      <c r="E51" s="11" t="n">
        <v>40</v>
      </c>
      <c r="F51" s="11" t="inlineStr">
        <is>
          <t>Single</t>
        </is>
      </c>
      <c r="G51" s="29" t="inlineStr">
        <is>
          <t>KWIK 6 LVP</t>
        </is>
      </c>
      <c r="H51" s="29" t="inlineStr">
        <is>
          <t>236 X 236</t>
        </is>
      </c>
      <c r="I51" s="29" t="inlineStr">
        <is>
          <t>20 X 20</t>
        </is>
      </c>
      <c r="J51" s="29" t="n">
        <v>4</v>
      </c>
      <c r="K51" s="34" t="n"/>
      <c r="L51" s="14">
        <f>K51/J51</f>
        <v/>
      </c>
      <c r="M51" s="15" t="n">
        <v>0.6977821913273751</v>
      </c>
      <c r="N51" s="14">
        <f>LEFT(I51,FIND("X",I51)-1)*RIGHT(I51,LEN(I51)-FIND("X",I51)-1)*M51</f>
        <v/>
      </c>
      <c r="O51" s="158">
        <f>(N51*L51)/1000</f>
        <v/>
      </c>
    </row>
    <row r="52" ht="15.75" customHeight="1" thickBot="1">
      <c r="A52" s="135" t="n"/>
      <c r="B52" s="135" t="n"/>
      <c r="C52" s="22" t="inlineStr">
        <is>
          <t>SCFG</t>
        </is>
      </c>
      <c r="D52" s="23" t="inlineStr">
        <is>
          <t>-</t>
        </is>
      </c>
      <c r="E52" s="23" t="n">
        <v>15</v>
      </c>
      <c r="F52" s="23" t="inlineStr">
        <is>
          <t>Single</t>
        </is>
      </c>
      <c r="G52" s="23" t="inlineStr">
        <is>
          <t>KWIK 6 SCFG</t>
        </is>
      </c>
      <c r="H52" s="23" t="inlineStr">
        <is>
          <t>262 X 262</t>
        </is>
      </c>
      <c r="I52" s="23" t="inlineStr">
        <is>
          <t>22 X 22</t>
        </is>
      </c>
      <c r="J52" s="23" t="n">
        <v>4</v>
      </c>
      <c r="K52" s="115" t="n"/>
      <c r="L52" s="25">
        <f>K52/J52</f>
        <v/>
      </c>
      <c r="M52" s="26" t="n">
        <v>0.3381642512077295</v>
      </c>
      <c r="N52" s="25">
        <f>LEFT(I52,FIND("X",I52)-1)*RIGHT(I52,LEN(I52)-FIND("X",I52)-1)*M52</f>
        <v/>
      </c>
      <c r="O52" s="154">
        <f>(N52*L52)/1000</f>
        <v/>
      </c>
    </row>
    <row r="53" ht="15" customHeight="1">
      <c r="A53" s="149" t="n">
        <v>18</v>
      </c>
      <c r="B53" s="150" t="inlineStr">
        <is>
          <t>Kwik 7</t>
        </is>
      </c>
      <c r="C53" s="138" t="inlineStr">
        <is>
          <t>LVP</t>
        </is>
      </c>
      <c r="D53" s="29" t="inlineStr">
        <is>
          <t>Top</t>
        </is>
      </c>
      <c r="E53" s="29" t="n">
        <v>60</v>
      </c>
      <c r="F53" s="29" t="inlineStr">
        <is>
          <t>Single</t>
        </is>
      </c>
      <c r="G53" s="29" t="inlineStr">
        <is>
          <t>KWIK 7 LVP</t>
        </is>
      </c>
      <c r="H53" s="29" t="inlineStr">
        <is>
          <t>290 X 290</t>
        </is>
      </c>
      <c r="I53" s="29" t="inlineStr">
        <is>
          <t>24 X 24</t>
        </is>
      </c>
      <c r="J53" s="29" t="n">
        <v>4</v>
      </c>
      <c r="K53" s="114" t="n"/>
      <c r="L53" s="31">
        <f>K53/J53</f>
        <v/>
      </c>
      <c r="M53" s="32" t="n">
        <v>1.103988603988604</v>
      </c>
      <c r="N53" s="31">
        <f>LEFT(I53,FIND("X",I53)-1)*RIGHT(I53,LEN(I53)-FIND("X",I53)-1)*M53</f>
        <v/>
      </c>
      <c r="O53" s="103">
        <f>(N53*L53)/1000</f>
        <v/>
      </c>
    </row>
    <row r="54" ht="12.75" customHeight="1">
      <c r="A54" s="133" t="n"/>
      <c r="B54" s="133" t="n"/>
      <c r="C54" s="136" t="n"/>
      <c r="D54" s="11" t="inlineStr">
        <is>
          <t>Bottom</t>
        </is>
      </c>
      <c r="E54" s="11" t="n">
        <v>40</v>
      </c>
      <c r="F54" s="11" t="inlineStr">
        <is>
          <t>Single</t>
        </is>
      </c>
      <c r="G54" s="29" t="inlineStr">
        <is>
          <t>KWIK 7 LVP</t>
        </is>
      </c>
      <c r="H54" s="29" t="inlineStr">
        <is>
          <t>290 X 290</t>
        </is>
      </c>
      <c r="I54" s="29" t="inlineStr">
        <is>
          <t>24 X 24</t>
        </is>
      </c>
      <c r="J54" s="29" t="n">
        <v>4</v>
      </c>
      <c r="K54" s="34" t="n"/>
      <c r="L54" s="14">
        <f>K54/J54</f>
        <v/>
      </c>
      <c r="M54" s="15" t="n">
        <v>0.6977821913273751</v>
      </c>
      <c r="N54" s="14">
        <f>LEFT(I54,FIND("X",I54)-1)*RIGHT(I54,LEN(I54)-FIND("X",I54)-1)*M54</f>
        <v/>
      </c>
      <c r="O54" s="104">
        <f>(N54*L54)/1000</f>
        <v/>
      </c>
    </row>
    <row r="55" ht="15.75" customHeight="1" thickBot="1">
      <c r="A55" s="135" t="n"/>
      <c r="B55" s="135" t="n"/>
      <c r="C55" s="22" t="inlineStr">
        <is>
          <t>SCFG</t>
        </is>
      </c>
      <c r="D55" s="23" t="inlineStr">
        <is>
          <t>-</t>
        </is>
      </c>
      <c r="E55" s="23" t="n">
        <v>15</v>
      </c>
      <c r="F55" s="23" t="inlineStr">
        <is>
          <t>Single</t>
        </is>
      </c>
      <c r="G55" s="23" t="inlineStr">
        <is>
          <t>KWIK 7 SCFG</t>
        </is>
      </c>
      <c r="H55" s="23" t="inlineStr">
        <is>
          <t>311 X 311</t>
        </is>
      </c>
      <c r="I55" s="23" t="inlineStr">
        <is>
          <t>26 X 26</t>
        </is>
      </c>
      <c r="J55" s="23" t="n">
        <v>4</v>
      </c>
      <c r="K55" s="115" t="n"/>
      <c r="L55" s="25">
        <f>K55/J55</f>
        <v/>
      </c>
      <c r="M55" s="26" t="n">
        <v>0.3381642512077295</v>
      </c>
      <c r="N55" s="25">
        <f>LEFT(I55,FIND("X",I55)-1)*RIGHT(I55,LEN(I55)-FIND("X",I55)-1)*M55</f>
        <v/>
      </c>
      <c r="O55" s="27">
        <f>(N55*L55)/1000</f>
        <v/>
      </c>
    </row>
    <row r="56" ht="15" customHeight="1">
      <c r="A56" s="149" t="n">
        <v>19</v>
      </c>
      <c r="B56" s="150" t="inlineStr">
        <is>
          <t>T-29</t>
        </is>
      </c>
      <c r="C56" s="138" t="inlineStr">
        <is>
          <t>LVP</t>
        </is>
      </c>
      <c r="D56" s="29" t="inlineStr">
        <is>
          <t>Top</t>
        </is>
      </c>
      <c r="E56" s="29" t="n">
        <v>50</v>
      </c>
      <c r="F56" s="29" t="inlineStr">
        <is>
          <t>Passing</t>
        </is>
      </c>
      <c r="G56" s="29" t="inlineStr">
        <is>
          <t>T 29 LVP</t>
        </is>
      </c>
      <c r="H56" s="29" t="n">
        <v>22</v>
      </c>
      <c r="I56" s="29" t="inlineStr">
        <is>
          <t>15.5 X 19</t>
        </is>
      </c>
      <c r="J56" s="29" t="n">
        <v>298</v>
      </c>
      <c r="K56" s="114" t="n"/>
      <c r="L56" s="31">
        <f>K56/J56</f>
        <v/>
      </c>
      <c r="M56" s="32" t="n">
        <v>0.9182530795072789</v>
      </c>
      <c r="N56" s="31">
        <f>LEFT(I56,FIND("X",I56)-1)*RIGHT(I56,LEN(I56)-FIND("X",I56)-1)*M56</f>
        <v/>
      </c>
      <c r="O56" s="33">
        <f>(N56*L56)/1000</f>
        <v/>
      </c>
    </row>
    <row r="57" ht="15" customHeight="1">
      <c r="A57" s="133" t="n"/>
      <c r="B57" s="133" t="n"/>
      <c r="C57" s="136" t="n"/>
      <c r="D57" s="11" t="inlineStr">
        <is>
          <t>Bottom</t>
        </is>
      </c>
      <c r="E57" s="11" t="n"/>
      <c r="F57" s="11" t="n"/>
      <c r="G57" s="29" t="n"/>
      <c r="H57" s="29" t="n"/>
      <c r="I57" s="29" t="n"/>
      <c r="J57" s="29" t="n"/>
      <c r="K57" s="114" t="n"/>
      <c r="L57" s="14">
        <f>K57/J57</f>
        <v/>
      </c>
      <c r="M57" s="15" t="e">
        <v>#N/A</v>
      </c>
      <c r="N57" s="14">
        <f>LEFT(I57,FIND("X",I57)-1)*RIGHT(I57,LEN(I57)-FIND("X",I57)-1)*M57</f>
        <v/>
      </c>
      <c r="O57" s="16">
        <f>(N57*L57)/1000</f>
        <v/>
      </c>
    </row>
    <row r="58" ht="15.75" customHeight="1" thickBot="1">
      <c r="A58" s="135" t="n"/>
      <c r="B58" s="135" t="n"/>
      <c r="C58" s="22" t="inlineStr">
        <is>
          <t>SCFG</t>
        </is>
      </c>
      <c r="D58" s="23" t="inlineStr">
        <is>
          <t>-</t>
        </is>
      </c>
      <c r="E58" s="23" t="n">
        <v>15</v>
      </c>
      <c r="F58" s="23" t="inlineStr">
        <is>
          <t>Single</t>
        </is>
      </c>
      <c r="G58" s="23" t="inlineStr">
        <is>
          <t>T 29 SCFG</t>
        </is>
      </c>
      <c r="H58" s="23" t="n">
        <v>35</v>
      </c>
      <c r="I58" s="23" t="inlineStr">
        <is>
          <t>24 X 25</t>
        </is>
      </c>
      <c r="J58" s="23" t="n">
        <v>149</v>
      </c>
      <c r="K58" s="114" t="n"/>
      <c r="L58" s="25">
        <f>K58/J58</f>
        <v/>
      </c>
      <c r="M58" s="26" t="n">
        <v>0.3381642512077295</v>
      </c>
      <c r="N58" s="25">
        <f>LEFT(I58,FIND("X",I58)-1)*RIGHT(I58,LEN(I58)-FIND("X",I58)-1)*M58</f>
        <v/>
      </c>
      <c r="O58" s="27">
        <f>(N58*L58)/1000</f>
        <v/>
      </c>
    </row>
    <row r="59" ht="15" customHeight="1">
      <c r="A59" s="149" t="n">
        <v>20</v>
      </c>
      <c r="B59" s="150" t="inlineStr">
        <is>
          <t>T-30</t>
        </is>
      </c>
      <c r="C59" s="138" t="inlineStr">
        <is>
          <t>LVP</t>
        </is>
      </c>
      <c r="D59" s="29" t="inlineStr">
        <is>
          <t>Top</t>
        </is>
      </c>
      <c r="E59" s="29" t="n">
        <v>50</v>
      </c>
      <c r="F59" s="29" t="inlineStr">
        <is>
          <t>Passing</t>
        </is>
      </c>
      <c r="G59" s="29" t="inlineStr">
        <is>
          <t>T 30 LVP</t>
        </is>
      </c>
      <c r="H59" s="29" t="n">
        <v>31</v>
      </c>
      <c r="I59" s="29" t="inlineStr">
        <is>
          <t>16.5 X 21</t>
        </is>
      </c>
      <c r="J59" s="29" t="n">
        <v>189</v>
      </c>
      <c r="K59" s="114" t="n"/>
      <c r="L59" s="31">
        <f>K59/J59</f>
        <v/>
      </c>
      <c r="M59" s="32" t="n">
        <v>0.9182530795072789</v>
      </c>
      <c r="N59" s="31">
        <f>LEFT(I59,FIND("X",I59)-1)*RIGHT(I59,LEN(I59)-FIND("X",I59)-1)*M59</f>
        <v/>
      </c>
      <c r="O59" s="33">
        <f>(N59*L59)/1000</f>
        <v/>
      </c>
    </row>
    <row r="60" ht="15" customHeight="1">
      <c r="A60" s="133" t="n"/>
      <c r="B60" s="133" t="n"/>
      <c r="C60" s="136" t="n"/>
      <c r="D60" s="11" t="inlineStr">
        <is>
          <t>Bottom</t>
        </is>
      </c>
      <c r="E60" s="11" t="n"/>
      <c r="F60" s="11" t="n"/>
      <c r="G60" s="29" t="n"/>
      <c r="H60" s="29" t="n"/>
      <c r="I60" s="29" t="n"/>
      <c r="J60" s="29" t="n"/>
      <c r="K60" s="114" t="n"/>
      <c r="L60" s="14">
        <f>K60/J60</f>
        <v/>
      </c>
      <c r="M60" s="15" t="e">
        <v>#N/A</v>
      </c>
      <c r="N60" s="14">
        <f>LEFT(I60,FIND("X",I60)-1)*RIGHT(I60,LEN(I60)-FIND("X",I60)-1)*M60</f>
        <v/>
      </c>
      <c r="O60" s="16">
        <f>(N60*L60)/1000</f>
        <v/>
      </c>
    </row>
    <row r="61" ht="15.75" customHeight="1" thickBot="1">
      <c r="A61" s="135" t="n"/>
      <c r="B61" s="135" t="n"/>
      <c r="C61" s="22" t="inlineStr">
        <is>
          <t>SCFG</t>
        </is>
      </c>
      <c r="D61" s="23" t="inlineStr">
        <is>
          <t>-</t>
        </is>
      </c>
      <c r="E61" s="23" t="n">
        <v>15</v>
      </c>
      <c r="F61" s="23" t="inlineStr">
        <is>
          <t>Single</t>
        </is>
      </c>
      <c r="G61" s="23" t="inlineStr">
        <is>
          <t>T 30 SCFG</t>
        </is>
      </c>
      <c r="H61" s="23" t="n">
        <v>44.5</v>
      </c>
      <c r="I61" s="23" t="inlineStr">
        <is>
          <t>24 X 25</t>
        </is>
      </c>
      <c r="J61" s="23" t="n">
        <v>137</v>
      </c>
      <c r="K61" s="114" t="n"/>
      <c r="L61" s="25">
        <f>K61/J61</f>
        <v/>
      </c>
      <c r="M61" s="26" t="n">
        <v>0.3381642512077295</v>
      </c>
      <c r="N61" s="25">
        <f>LEFT(I61,FIND("X",I61)-1)*RIGHT(I61,LEN(I61)-FIND("X",I61)-1)*M61</f>
        <v/>
      </c>
      <c r="O61" s="27">
        <f>(N61*L61)/1000</f>
        <v/>
      </c>
    </row>
    <row r="62" ht="15" customHeight="1">
      <c r="A62" s="149" t="n">
        <v>21</v>
      </c>
      <c r="B62" s="150" t="inlineStr">
        <is>
          <t>T-31</t>
        </is>
      </c>
      <c r="C62" s="138" t="inlineStr">
        <is>
          <t>LVP</t>
        </is>
      </c>
      <c r="D62" s="29" t="inlineStr">
        <is>
          <t>Top</t>
        </is>
      </c>
      <c r="E62" s="29" t="n">
        <v>50</v>
      </c>
      <c r="F62" s="29" t="inlineStr">
        <is>
          <t>Passing</t>
        </is>
      </c>
      <c r="G62" s="29" t="inlineStr">
        <is>
          <t>PRC RMR New,
 T 31 LVP</t>
        </is>
      </c>
      <c r="H62" s="29" t="n">
        <v>44</v>
      </c>
      <c r="I62" s="29" t="inlineStr">
        <is>
          <t>16.5 X 20.5</t>
        </is>
      </c>
      <c r="J62" s="29" t="n">
        <v>96</v>
      </c>
      <c r="K62" s="114" t="n"/>
      <c r="L62" s="31">
        <f>K62/J62</f>
        <v/>
      </c>
      <c r="M62" s="32" t="n">
        <v>0.9182530795072789</v>
      </c>
      <c r="N62" s="31">
        <f>LEFT(I62,FIND("X",I62)-1)*RIGHT(I62,LEN(I62)-FIND("X",I62)-1)*M62</f>
        <v/>
      </c>
      <c r="O62" s="33">
        <f>(N62*L62)/1000</f>
        <v/>
      </c>
    </row>
    <row r="63" ht="15" customHeight="1">
      <c r="A63" s="133" t="n"/>
      <c r="B63" s="133" t="n"/>
      <c r="C63" s="136" t="n"/>
      <c r="D63" s="11" t="inlineStr">
        <is>
          <t>Bottom</t>
        </is>
      </c>
      <c r="E63" s="11" t="n"/>
      <c r="F63" s="11" t="n"/>
      <c r="G63" s="29" t="n"/>
      <c r="H63" s="29" t="n"/>
      <c r="I63" s="29" t="n"/>
      <c r="J63" s="29" t="n"/>
      <c r="K63" s="114" t="n"/>
      <c r="L63" s="14">
        <f>K63/J63</f>
        <v/>
      </c>
      <c r="M63" s="15" t="e">
        <v>#N/A</v>
      </c>
      <c r="N63" s="14">
        <f>LEFT(I63,FIND("X",I63)-1)*RIGHT(I63,LEN(I63)-FIND("X",I63)-1)*M63</f>
        <v/>
      </c>
      <c r="O63" s="16">
        <f>(N63*L63)/1000</f>
        <v/>
      </c>
    </row>
    <row r="64" ht="15.75" customHeight="1" thickBot="1">
      <c r="A64" s="135" t="n"/>
      <c r="B64" s="135" t="n"/>
      <c r="C64" s="22" t="inlineStr">
        <is>
          <t>SCFG</t>
        </is>
      </c>
      <c r="D64" s="23" t="inlineStr">
        <is>
          <t>-</t>
        </is>
      </c>
      <c r="E64" s="23" t="n">
        <v>15</v>
      </c>
      <c r="F64" s="23" t="inlineStr">
        <is>
          <t>Single</t>
        </is>
      </c>
      <c r="G64" s="23" t="n"/>
      <c r="H64" s="23" t="n">
        <v>57.2</v>
      </c>
      <c r="I64" s="23" t="inlineStr">
        <is>
          <t>24 X 25</t>
        </is>
      </c>
      <c r="J64" s="23" t="n">
        <v>86</v>
      </c>
      <c r="K64" s="114" t="n"/>
      <c r="L64" s="25">
        <f>K64/J64</f>
        <v/>
      </c>
      <c r="M64" s="26" t="n">
        <v>0.3381642512077295</v>
      </c>
      <c r="N64" s="25">
        <f>LEFT(I64,FIND("X",I64)-1)*RIGHT(I64,LEN(I64)-FIND("X",I64)-1)*M64</f>
        <v/>
      </c>
      <c r="O64" s="27">
        <f>(N64*L64)/1000</f>
        <v/>
      </c>
    </row>
    <row r="65" ht="15" customHeight="1">
      <c r="A65" s="149" t="n">
        <v>22</v>
      </c>
      <c r="B65" s="150" t="inlineStr">
        <is>
          <t>T-32</t>
        </is>
      </c>
      <c r="C65" s="138" t="inlineStr">
        <is>
          <t>LVP</t>
        </is>
      </c>
      <c r="D65" s="29" t="inlineStr">
        <is>
          <t>Top</t>
        </is>
      </c>
      <c r="E65" s="29" t="n">
        <v>50</v>
      </c>
      <c r="F65" s="29" t="inlineStr">
        <is>
          <t>Passing</t>
        </is>
      </c>
      <c r="G65" s="29" t="inlineStr">
        <is>
          <t>PRC CX 3 Sq FABRIC,
PRC RLR,
 T32 LVP</t>
        </is>
      </c>
      <c r="H65" s="29" t="n">
        <v>67</v>
      </c>
      <c r="I65" s="29" t="inlineStr">
        <is>
          <t>11.5 X 20.5</t>
        </is>
      </c>
      <c r="J65" s="29" t="n">
        <v>24</v>
      </c>
      <c r="K65" s="114" t="n"/>
      <c r="L65" s="31">
        <f>K65/J65</f>
        <v/>
      </c>
      <c r="M65" s="32" t="n">
        <v>0.9182530795072789</v>
      </c>
      <c r="N65" s="31">
        <f>LEFT(I65,FIND("X",I65)-1)*RIGHT(I65,LEN(I65)-FIND("X",I65)-1)*M65</f>
        <v/>
      </c>
      <c r="O65" s="33">
        <f>(N65*L65)/1000</f>
        <v/>
      </c>
    </row>
    <row r="66" ht="15" customHeight="1">
      <c r="A66" s="133" t="n"/>
      <c r="B66" s="133" t="n"/>
      <c r="C66" s="136" t="n"/>
      <c r="D66" s="11" t="inlineStr">
        <is>
          <t>Bottom</t>
        </is>
      </c>
      <c r="E66" s="11" t="n"/>
      <c r="F66" s="11" t="n"/>
      <c r="G66" s="29" t="n"/>
      <c r="H66" s="29" t="n"/>
      <c r="I66" s="29" t="n"/>
      <c r="J66" s="29" t="n"/>
      <c r="K66" s="114" t="n"/>
      <c r="L66" s="14">
        <f>K66/J66</f>
        <v/>
      </c>
      <c r="M66" s="15" t="e">
        <v>#N/A</v>
      </c>
      <c r="N66" s="14">
        <f>LEFT(I66,FIND("X",I66)-1)*RIGHT(I66,LEN(I66)-FIND("X",I66)-1)*M66</f>
        <v/>
      </c>
      <c r="O66" s="16">
        <f>(N66*L66)/1000</f>
        <v/>
      </c>
    </row>
    <row r="67" ht="15.75" customHeight="1" thickBot="1">
      <c r="A67" s="135" t="n"/>
      <c r="B67" s="135" t="n"/>
      <c r="C67" s="22" t="inlineStr">
        <is>
          <t>SCFG</t>
        </is>
      </c>
      <c r="D67" s="23" t="inlineStr">
        <is>
          <t>-</t>
        </is>
      </c>
      <c r="E67" s="23" t="n">
        <v>15</v>
      </c>
      <c r="F67" s="23" t="inlineStr">
        <is>
          <t>Single</t>
        </is>
      </c>
      <c r="G67" s="23" t="n"/>
      <c r="H67" s="23" t="n">
        <v>79</v>
      </c>
      <c r="I67" s="23" t="inlineStr">
        <is>
          <t>24 X 25</t>
        </is>
      </c>
      <c r="J67" s="23" t="n">
        <v>36</v>
      </c>
      <c r="K67" s="114" t="n"/>
      <c r="L67" s="25">
        <f>K67/J67</f>
        <v/>
      </c>
      <c r="M67" s="26" t="n">
        <v>0.3381642512077295</v>
      </c>
      <c r="N67" s="25">
        <f>LEFT(I67,FIND("X",I67)-1)*RIGHT(I67,LEN(I67)-FIND("X",I67)-1)*M67</f>
        <v/>
      </c>
      <c r="O67" s="27">
        <f>(N67*L67)/1000</f>
        <v/>
      </c>
    </row>
  </sheetData>
  <mergeCells count="61">
    <mergeCell ref="B53:B55"/>
    <mergeCell ref="A8:A10"/>
    <mergeCell ref="A26:A28"/>
    <mergeCell ref="B65:B67"/>
    <mergeCell ref="A17:A19"/>
    <mergeCell ref="C20:C21"/>
    <mergeCell ref="A2:A4"/>
    <mergeCell ref="C29:C30"/>
    <mergeCell ref="A20:A22"/>
    <mergeCell ref="A29:A31"/>
    <mergeCell ref="A47:A49"/>
    <mergeCell ref="A5:A7"/>
    <mergeCell ref="A23:A25"/>
    <mergeCell ref="A38:A40"/>
    <mergeCell ref="A32:A34"/>
    <mergeCell ref="A14:A16"/>
    <mergeCell ref="C50:C51"/>
    <mergeCell ref="C26:C27"/>
    <mergeCell ref="C44:C45"/>
    <mergeCell ref="C59:C60"/>
    <mergeCell ref="A62:A64"/>
    <mergeCell ref="B5:B7"/>
    <mergeCell ref="A44:A46"/>
    <mergeCell ref="A59:A61"/>
    <mergeCell ref="A53:A55"/>
    <mergeCell ref="A35:A37"/>
    <mergeCell ref="C65:C66"/>
    <mergeCell ref="B35:B37"/>
    <mergeCell ref="C47:C48"/>
    <mergeCell ref="B26:B28"/>
    <mergeCell ref="B20:B22"/>
    <mergeCell ref="C56:C57"/>
    <mergeCell ref="C41:C42"/>
    <mergeCell ref="B56:B58"/>
    <mergeCell ref="C11:C12"/>
    <mergeCell ref="B47:B49"/>
    <mergeCell ref="B41:B43"/>
    <mergeCell ref="B32:B34"/>
    <mergeCell ref="B50:B52"/>
    <mergeCell ref="B59:B61"/>
    <mergeCell ref="B62:B64"/>
    <mergeCell ref="C23:C24"/>
    <mergeCell ref="C17:C18"/>
    <mergeCell ref="A11:A13"/>
    <mergeCell ref="A65:A67"/>
    <mergeCell ref="B11:B13"/>
    <mergeCell ref="A41:A43"/>
    <mergeCell ref="B8:B10"/>
    <mergeCell ref="B2:B4"/>
    <mergeCell ref="A50:A52"/>
    <mergeCell ref="C62:C63"/>
    <mergeCell ref="C53:C54"/>
    <mergeCell ref="B23:B25"/>
    <mergeCell ref="B17:B19"/>
    <mergeCell ref="C38:C39"/>
    <mergeCell ref="B44:B46"/>
    <mergeCell ref="B14:B16"/>
    <mergeCell ref="B29:B31"/>
    <mergeCell ref="B38:B40"/>
    <mergeCell ref="C14:C15"/>
    <mergeCell ref="A56:A58"/>
  </mergeCells>
  <pageMargins left="0.7086614173228347" right="0.7086614173228347" top="0.7480314960629921" bottom="0.7480314960629921" header="0.3149606299212598" footer="0.3149606299212598"/>
  <pageSetup orientation="landscape" paperSize="9" verticalDpi="0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3:O30"/>
  <sheetViews>
    <sheetView zoomScaleNormal="100" workbookViewId="0">
      <pane ySplit="3" topLeftCell="A4" activePane="bottomLeft" state="frozen"/>
      <selection activeCell="P2" sqref="P2"/>
      <selection pane="bottomLeft" activeCell="G22" sqref="G22"/>
    </sheetView>
  </sheetViews>
  <sheetFormatPr baseColWidth="8" defaultRowHeight="12.75"/>
  <cols>
    <col width="7.85546875" customWidth="1" style="1" min="1" max="1"/>
    <col width="11.5703125" customWidth="1" style="1" min="2" max="2"/>
    <col width="12.7109375" customWidth="1" style="1" min="3" max="3"/>
    <col width="9.28515625" customWidth="1" style="1" min="4" max="4"/>
    <col width="6.42578125" bestFit="1" customWidth="1" style="1" min="5" max="5"/>
    <col width="8.5703125" bestFit="1" customWidth="1" style="1" min="6" max="6"/>
    <col width="20.7109375" customWidth="1" style="1" min="7" max="7"/>
    <col width="12.7109375" customWidth="1" style="1" min="8" max="8"/>
    <col width="12.5703125" customWidth="1" style="1" min="9" max="9"/>
    <col width="6.7109375" bestFit="1" customWidth="1" style="1" min="10" max="10"/>
    <col width="12.85546875" customWidth="1" style="123" min="11" max="11"/>
    <col width="10.7109375" customWidth="1" style="2" min="12" max="12"/>
    <col width="6.7109375" bestFit="1" customWidth="1" min="13" max="13"/>
    <col width="11.28515625" customWidth="1" min="14" max="14"/>
    <col width="9.85546875" bestFit="1" customWidth="1" style="3" min="15" max="15"/>
  </cols>
  <sheetData>
    <row r="3" ht="45" customFormat="1" customHeight="1" s="7">
      <c r="A3" s="4" t="inlineStr">
        <is>
          <t>Sr No</t>
        </is>
      </c>
      <c r="B3" s="4" t="inlineStr">
        <is>
          <t>Item Name</t>
        </is>
      </c>
      <c r="C3" s="4" t="inlineStr">
        <is>
          <t>Compound</t>
        </is>
      </c>
      <c r="D3" s="4" t="inlineStr">
        <is>
          <t>Side</t>
        </is>
      </c>
      <c r="E3" s="4" t="inlineStr">
        <is>
          <t>Thou</t>
        </is>
      </c>
      <c r="F3" s="4" t="inlineStr">
        <is>
          <t>Die Type</t>
        </is>
      </c>
      <c r="G3" s="4" t="inlineStr">
        <is>
          <t>Die Name</t>
        </is>
      </c>
      <c r="H3" s="4" t="inlineStr">
        <is>
          <t>Die Size in MM</t>
        </is>
      </c>
      <c r="I3" s="4" t="inlineStr">
        <is>
          <t>Comp Sheet Size in Inch</t>
        </is>
      </c>
      <c r="J3" s="4" t="inlineStr">
        <is>
          <t>Per sheet item</t>
        </is>
      </c>
      <c r="K3" s="4" t="inlineStr">
        <is>
          <t>order</t>
        </is>
      </c>
      <c r="L3" s="5" t="inlineStr">
        <is>
          <t>Required sheet</t>
        </is>
      </c>
      <c r="M3" s="6" t="inlineStr">
        <is>
          <t>Per sheet Gm</t>
        </is>
      </c>
      <c r="N3" s="6" t="inlineStr">
        <is>
          <t>Per sheet Weight in Gm</t>
        </is>
      </c>
      <c r="O3" s="6" t="inlineStr">
        <is>
          <t>Total kg</t>
        </is>
      </c>
    </row>
    <row r="4" ht="15" customHeight="1">
      <c r="A4" s="11" t="n">
        <v>10</v>
      </c>
      <c r="B4" s="12" t="inlineStr">
        <is>
          <t>MSX 46</t>
        </is>
      </c>
      <c r="C4" s="12" t="inlineStr">
        <is>
          <t>LVP</t>
        </is>
      </c>
      <c r="D4" s="11" t="inlineStr">
        <is>
          <t>Top</t>
        </is>
      </c>
      <c r="E4" s="11" t="n">
        <v>40</v>
      </c>
      <c r="F4" s="11" t="inlineStr">
        <is>
          <t>Single</t>
        </is>
      </c>
      <c r="G4" s="11" t="inlineStr">
        <is>
          <t>MSX 46 LVP</t>
        </is>
      </c>
      <c r="H4" s="11" t="inlineStr">
        <is>
          <t>128 X 389</t>
        </is>
      </c>
      <c r="I4" s="11" t="inlineStr">
        <is>
          <t>16 X 23</t>
        </is>
      </c>
      <c r="J4" s="11" t="n">
        <v>4</v>
      </c>
      <c r="K4" s="13" t="n">
        <v>1000</v>
      </c>
      <c r="L4" s="14">
        <f>K4/J4</f>
        <v/>
      </c>
      <c r="M4" s="15" t="n">
        <v>0.6977821913273751</v>
      </c>
      <c r="N4" s="14">
        <f>LEFT(I4,FIND("X",I4)-1)*RIGHT(I4,LEN(I4)-FIND("X",I4)-1)*M4</f>
        <v/>
      </c>
      <c r="O4" s="16">
        <f>(N4*L4)/1000</f>
        <v/>
      </c>
    </row>
    <row r="5" ht="15" customHeight="1">
      <c r="A5" s="11" t="n">
        <v>10</v>
      </c>
      <c r="B5" s="12" t="inlineStr">
        <is>
          <t>MSX 46</t>
        </is>
      </c>
      <c r="C5" s="12" t="inlineStr">
        <is>
          <t>LVP</t>
        </is>
      </c>
      <c r="D5" s="11" t="inlineStr">
        <is>
          <t>Bottom</t>
        </is>
      </c>
      <c r="E5" s="11" t="n">
        <v>40</v>
      </c>
      <c r="F5" s="11" t="inlineStr">
        <is>
          <t>Single</t>
        </is>
      </c>
      <c r="G5" s="11" t="inlineStr">
        <is>
          <t>MSX 46 LVP</t>
        </is>
      </c>
      <c r="H5" s="11" t="inlineStr">
        <is>
          <t>128 X 389</t>
        </is>
      </c>
      <c r="I5" s="11" t="inlineStr">
        <is>
          <t>16 X 23</t>
        </is>
      </c>
      <c r="J5" s="11" t="n">
        <v>4</v>
      </c>
      <c r="K5" s="34" t="n">
        <v>1000</v>
      </c>
      <c r="L5" s="14">
        <f>K5/J5</f>
        <v/>
      </c>
      <c r="M5" s="15" t="n">
        <v>0.6977821913273751</v>
      </c>
      <c r="N5" s="14">
        <f>LEFT(I5,FIND("X",I5)-1)*RIGHT(I5,LEN(I5)-FIND("X",I5)-1)*M5</f>
        <v/>
      </c>
      <c r="O5" s="16">
        <f>(N5*L5)/1000</f>
        <v/>
      </c>
    </row>
    <row r="6" ht="15" customHeight="1">
      <c r="A6" s="11" t="n">
        <v>9</v>
      </c>
      <c r="B6" s="12" t="inlineStr">
        <is>
          <t>MSX 45</t>
        </is>
      </c>
      <c r="C6" s="12" t="inlineStr">
        <is>
          <t>LVP</t>
        </is>
      </c>
      <c r="D6" s="11" t="inlineStr">
        <is>
          <t>Top</t>
        </is>
      </c>
      <c r="E6" s="11" t="n">
        <v>40</v>
      </c>
      <c r="F6" s="11" t="inlineStr">
        <is>
          <t>Single</t>
        </is>
      </c>
      <c r="G6" s="11" t="inlineStr">
        <is>
          <t>MSX 45 LVP</t>
        </is>
      </c>
      <c r="H6" s="11" t="inlineStr">
        <is>
          <t>158 X 209</t>
        </is>
      </c>
      <c r="I6" s="11" t="inlineStr">
        <is>
          <t>18 X 20</t>
        </is>
      </c>
      <c r="J6" s="11" t="n">
        <v>6</v>
      </c>
      <c r="K6" s="13" t="n">
        <v>1000</v>
      </c>
      <c r="L6" s="14">
        <f>K6/J6</f>
        <v/>
      </c>
      <c r="M6" s="15" t="n">
        <v>0.6977821913273751</v>
      </c>
      <c r="N6" s="14">
        <f>LEFT(I6,FIND("X",I6)-1)*RIGHT(I6,LEN(I6)-FIND("X",I6)-1)*M6</f>
        <v/>
      </c>
      <c r="O6" s="16">
        <f>(N6*L6)/1000</f>
        <v/>
      </c>
    </row>
    <row r="7" ht="15" customHeight="1">
      <c r="A7" s="11" t="n">
        <v>9</v>
      </c>
      <c r="B7" s="12" t="inlineStr">
        <is>
          <t>MSX 45</t>
        </is>
      </c>
      <c r="C7" s="12" t="inlineStr">
        <is>
          <t>LVP</t>
        </is>
      </c>
      <c r="D7" s="11" t="inlineStr">
        <is>
          <t>Bottom</t>
        </is>
      </c>
      <c r="E7" s="11" t="n">
        <v>40</v>
      </c>
      <c r="F7" s="11" t="inlineStr">
        <is>
          <t>Single</t>
        </is>
      </c>
      <c r="G7" s="11" t="inlineStr">
        <is>
          <t>MSX 45 LVP</t>
        </is>
      </c>
      <c r="H7" s="11" t="inlineStr">
        <is>
          <t>158 X 209</t>
        </is>
      </c>
      <c r="I7" s="11" t="inlineStr">
        <is>
          <t>18 X 20</t>
        </is>
      </c>
      <c r="J7" s="11" t="n">
        <v>6</v>
      </c>
      <c r="K7" s="34" t="n">
        <v>1000</v>
      </c>
      <c r="L7" s="14">
        <f>K7/J7</f>
        <v/>
      </c>
      <c r="M7" s="15" t="n">
        <v>0.6977821913273751</v>
      </c>
      <c r="N7" s="14">
        <f>LEFT(I7,FIND("X",I7)-1)*RIGHT(I7,LEN(I7)-FIND("X",I7)-1)*M7</f>
        <v/>
      </c>
      <c r="O7" s="16">
        <f>(N7*L7)/1000</f>
        <v/>
      </c>
    </row>
    <row r="8" ht="15" customHeight="1">
      <c r="A8" s="11" t="n">
        <v>5</v>
      </c>
      <c r="B8" s="12" t="inlineStr">
        <is>
          <t>MSX 35</t>
        </is>
      </c>
      <c r="C8" s="12" t="inlineStr">
        <is>
          <t>LVP</t>
        </is>
      </c>
      <c r="D8" s="11" t="inlineStr">
        <is>
          <t>Bottom</t>
        </is>
      </c>
      <c r="E8" s="11" t="n">
        <v>40</v>
      </c>
      <c r="F8" s="11" t="inlineStr">
        <is>
          <t>Single</t>
        </is>
      </c>
      <c r="G8" s="11" t="inlineStr">
        <is>
          <t>MSX 35 BOT LVP</t>
        </is>
      </c>
      <c r="H8" s="11" t="inlineStr">
        <is>
          <t>104 X 154</t>
        </is>
      </c>
      <c r="I8" s="11" t="inlineStr">
        <is>
          <t>20 X 23</t>
        </is>
      </c>
      <c r="J8" s="11" t="n">
        <v>15</v>
      </c>
      <c r="K8" s="34" t="n">
        <v>1000</v>
      </c>
      <c r="L8" s="14">
        <f>K8/J8</f>
        <v/>
      </c>
      <c r="M8" s="15" t="n">
        <v>0.6977821913273751</v>
      </c>
      <c r="N8" s="14">
        <f>LEFT(I8,FIND("X",I8)-1)*RIGHT(I8,LEN(I8)-FIND("X",I8)-1)*M8</f>
        <v/>
      </c>
      <c r="O8" s="16">
        <f>(N8*L8)/1000</f>
        <v/>
      </c>
    </row>
    <row r="9" ht="15" customHeight="1">
      <c r="A9" s="11" t="n">
        <v>6</v>
      </c>
      <c r="B9" s="12" t="inlineStr">
        <is>
          <t>MSX 40</t>
        </is>
      </c>
      <c r="C9" s="12" t="inlineStr">
        <is>
          <t>LVP</t>
        </is>
      </c>
      <c r="D9" s="11" t="inlineStr">
        <is>
          <t>Bottom</t>
        </is>
      </c>
      <c r="E9" s="11" t="n">
        <v>40</v>
      </c>
      <c r="F9" s="11" t="inlineStr">
        <is>
          <t>Single</t>
        </is>
      </c>
      <c r="G9" s="11" t="inlineStr">
        <is>
          <t>MSX 40 BOT LVP</t>
        </is>
      </c>
      <c r="H9" s="11" t="inlineStr">
        <is>
          <t>88 X 178</t>
        </is>
      </c>
      <c r="I9" s="11" t="inlineStr">
        <is>
          <t>20 X 23</t>
        </is>
      </c>
      <c r="J9" s="11" t="n">
        <v>15</v>
      </c>
      <c r="K9" s="34" t="n">
        <v>1000</v>
      </c>
      <c r="L9" s="14">
        <f>K9/J9</f>
        <v/>
      </c>
      <c r="M9" s="15" t="n">
        <v>0.6977821913273751</v>
      </c>
      <c r="N9" s="14">
        <f>LEFT(I9,FIND("X",I9)-1)*RIGHT(I9,LEN(I9)-FIND("X",I9)-1)*M9</f>
        <v/>
      </c>
      <c r="O9" s="16">
        <f>(N9*L9)/1000</f>
        <v/>
      </c>
    </row>
    <row r="10" ht="15" customHeight="1">
      <c r="A10" s="11" t="n">
        <v>7</v>
      </c>
      <c r="B10" s="12" t="inlineStr">
        <is>
          <t>MSX 42</t>
        </is>
      </c>
      <c r="C10" s="12" t="inlineStr">
        <is>
          <t>LVP</t>
        </is>
      </c>
      <c r="D10" s="11" t="inlineStr">
        <is>
          <t>Bottom</t>
        </is>
      </c>
      <c r="E10" s="11" t="n">
        <v>40</v>
      </c>
      <c r="F10" s="11" t="inlineStr">
        <is>
          <t>Single</t>
        </is>
      </c>
      <c r="G10" s="11" t="inlineStr">
        <is>
          <t>MSX 42 BOT LVP</t>
        </is>
      </c>
      <c r="H10" s="11" t="inlineStr">
        <is>
          <t>108 X 240</t>
        </is>
      </c>
      <c r="I10" s="11" t="inlineStr">
        <is>
          <t>20 X 24</t>
        </is>
      </c>
      <c r="J10" s="11" t="n">
        <v>10</v>
      </c>
      <c r="K10" s="34" t="n">
        <v>1000</v>
      </c>
      <c r="L10" s="14">
        <f>K10/J10</f>
        <v/>
      </c>
      <c r="M10" s="15" t="n">
        <v>0.6977821913273751</v>
      </c>
      <c r="N10" s="14">
        <f>LEFT(I10,FIND("X",I10)-1)*RIGHT(I10,LEN(I10)-FIND("X",I10)-1)*M10</f>
        <v/>
      </c>
      <c r="O10" s="16">
        <f>(N10*L10)/1000</f>
        <v/>
      </c>
    </row>
    <row r="11" ht="15" customHeight="1">
      <c r="A11" s="11" t="n">
        <v>4</v>
      </c>
      <c r="B11" s="12" t="inlineStr">
        <is>
          <t>MSX 25</t>
        </is>
      </c>
      <c r="C11" s="12" t="inlineStr">
        <is>
          <t>LVP</t>
        </is>
      </c>
      <c r="D11" s="11" t="inlineStr">
        <is>
          <t>Bottom</t>
        </is>
      </c>
      <c r="E11" s="11" t="n">
        <v>40</v>
      </c>
      <c r="F11" s="11" t="inlineStr">
        <is>
          <t>Single</t>
        </is>
      </c>
      <c r="G11" s="11" t="inlineStr">
        <is>
          <t>MSX 25 BOT LVP</t>
        </is>
      </c>
      <c r="H11" s="11" t="inlineStr">
        <is>
          <t>100 X 118</t>
        </is>
      </c>
      <c r="I11" s="11" t="inlineStr">
        <is>
          <t>20.5 X 22</t>
        </is>
      </c>
      <c r="J11" s="11" t="n">
        <v>20</v>
      </c>
      <c r="K11" s="34" t="n">
        <v>1000</v>
      </c>
      <c r="L11" s="14">
        <f>K11/J11</f>
        <v/>
      </c>
      <c r="M11" s="15" t="n">
        <v>0.6977821913273751</v>
      </c>
      <c r="N11" s="14">
        <f>LEFT(I11,FIND("X",I11)-1)*RIGHT(I11,LEN(I11)-FIND("X",I11)-1)*M11</f>
        <v/>
      </c>
      <c r="O11" s="16">
        <f>(N11*L11)/1000</f>
        <v/>
      </c>
    </row>
    <row r="12" ht="15" customHeight="1">
      <c r="A12" s="11" t="n">
        <v>5</v>
      </c>
      <c r="B12" s="12" t="inlineStr">
        <is>
          <t>MSX 35</t>
        </is>
      </c>
      <c r="C12" s="12" t="inlineStr">
        <is>
          <t>LVP</t>
        </is>
      </c>
      <c r="D12" s="11" t="inlineStr">
        <is>
          <t>Top</t>
        </is>
      </c>
      <c r="E12" s="11" t="n">
        <v>40</v>
      </c>
      <c r="F12" s="11" t="inlineStr">
        <is>
          <t>Single</t>
        </is>
      </c>
      <c r="G12" s="11" t="inlineStr">
        <is>
          <t>MSX 35 TOP LVP</t>
        </is>
      </c>
      <c r="H12" s="11" t="inlineStr">
        <is>
          <t>94 X 145</t>
        </is>
      </c>
      <c r="I12" s="11" t="inlineStr">
        <is>
          <t>21 X 25</t>
        </is>
      </c>
      <c r="J12" s="11" t="n">
        <v>20</v>
      </c>
      <c r="K12" s="13" t="n">
        <v>1000</v>
      </c>
      <c r="L12" s="14">
        <f>K12/J12</f>
        <v/>
      </c>
      <c r="M12" s="15" t="n">
        <v>0.6977821913273751</v>
      </c>
      <c r="N12" s="14">
        <f>LEFT(I12,FIND("X",I12)-1)*RIGHT(I12,LEN(I12)-FIND("X",I12)-1)*M12</f>
        <v/>
      </c>
      <c r="O12" s="16">
        <f>(N12*L12)/1000</f>
        <v/>
      </c>
    </row>
    <row r="13" ht="15" customHeight="1">
      <c r="A13" s="11" t="n">
        <v>4</v>
      </c>
      <c r="B13" s="12" t="inlineStr">
        <is>
          <t>MSX 25</t>
        </is>
      </c>
      <c r="C13" s="12" t="inlineStr">
        <is>
          <t>LVP</t>
        </is>
      </c>
      <c r="D13" s="11" t="inlineStr">
        <is>
          <t>Top</t>
        </is>
      </c>
      <c r="E13" s="11" t="n">
        <v>40</v>
      </c>
      <c r="F13" s="11" t="inlineStr">
        <is>
          <t>Single</t>
        </is>
      </c>
      <c r="G13" s="11" t="inlineStr">
        <is>
          <t>MSX 25 TOP LVP</t>
        </is>
      </c>
      <c r="H13" s="11" t="inlineStr">
        <is>
          <t>90 X 108</t>
        </is>
      </c>
      <c r="I13" s="11" t="inlineStr">
        <is>
          <t>24 X 24</t>
        </is>
      </c>
      <c r="J13" s="11" t="n">
        <v>30</v>
      </c>
      <c r="K13" s="13" t="n">
        <v>1000</v>
      </c>
      <c r="L13" s="14">
        <f>K13/J13</f>
        <v/>
      </c>
      <c r="M13" s="15" t="n">
        <v>0.6977821913273751</v>
      </c>
      <c r="N13" s="14">
        <f>LEFT(I13,FIND("X",I13)-1)*RIGHT(I13,LEN(I13)-FIND("X",I13)-1)*M13</f>
        <v/>
      </c>
      <c r="O13" s="16">
        <f>(N13*L13)/1000</f>
        <v/>
      </c>
    </row>
    <row r="14" ht="15.75" customHeight="1" thickBot="1">
      <c r="A14" s="23" t="n">
        <v>8</v>
      </c>
      <c r="B14" s="132" t="inlineStr">
        <is>
          <t>MSX 44</t>
        </is>
      </c>
      <c r="C14" s="132" t="inlineStr">
        <is>
          <t>LVP</t>
        </is>
      </c>
      <c r="D14" s="23" t="inlineStr">
        <is>
          <t>Bottom</t>
        </is>
      </c>
      <c r="E14" s="23" t="n">
        <v>40</v>
      </c>
      <c r="F14" s="23" t="inlineStr">
        <is>
          <t>Single</t>
        </is>
      </c>
      <c r="G14" s="23" t="inlineStr">
        <is>
          <t>MSX 44 BOT LVP</t>
        </is>
      </c>
      <c r="H14" s="23" t="inlineStr">
        <is>
          <t>110 X 320</t>
        </is>
      </c>
      <c r="I14" s="23" t="inlineStr">
        <is>
          <t>24 X 26</t>
        </is>
      </c>
      <c r="J14" s="23" t="n">
        <v>10</v>
      </c>
      <c r="K14" s="122" t="n">
        <v>1000</v>
      </c>
      <c r="L14" s="25">
        <f>K14/J14</f>
        <v/>
      </c>
      <c r="M14" s="26" t="n">
        <v>0.6977821913273751</v>
      </c>
      <c r="N14" s="25">
        <f>LEFT(I14,FIND("X",I14)-1)*RIGHT(I14,LEN(I14)-FIND("X",I14)-1)*M14</f>
        <v/>
      </c>
      <c r="O14" s="27">
        <f>(N14*L14)/1000</f>
        <v/>
      </c>
    </row>
    <row r="15" ht="15" customHeight="1">
      <c r="A15" s="29" t="n">
        <v>8</v>
      </c>
      <c r="B15" s="131" t="inlineStr">
        <is>
          <t>MSX 44</t>
        </is>
      </c>
      <c r="C15" s="131" t="inlineStr">
        <is>
          <t>LVP</t>
        </is>
      </c>
      <c r="D15" s="29" t="inlineStr">
        <is>
          <t>Top</t>
        </is>
      </c>
      <c r="E15" s="29" t="n">
        <v>60</v>
      </c>
      <c r="F15" s="29" t="inlineStr">
        <is>
          <t>Single</t>
        </is>
      </c>
      <c r="G15" s="29" t="inlineStr">
        <is>
          <t>MSX 44 TOP LVP</t>
        </is>
      </c>
      <c r="H15" s="29" t="inlineStr">
        <is>
          <t>100 X 108</t>
        </is>
      </c>
      <c r="I15" s="29" t="inlineStr">
        <is>
          <t>18 X 24</t>
        </is>
      </c>
      <c r="J15" s="29" t="n">
        <v>20</v>
      </c>
      <c r="K15" s="114" t="n">
        <v>1000</v>
      </c>
      <c r="L15" s="31">
        <f>K15/J15</f>
        <v/>
      </c>
      <c r="M15" s="32" t="n">
        <v>1.103988603988604</v>
      </c>
      <c r="N15" s="31">
        <f>LEFT(I15,FIND("X",I15)-1)*RIGHT(I15,LEN(I15)-FIND("X",I15)-1)*M15</f>
        <v/>
      </c>
      <c r="O15" s="33">
        <f>(N15*L15)/1000</f>
        <v/>
      </c>
    </row>
    <row r="16" ht="15" customHeight="1">
      <c r="A16" s="11" t="n">
        <v>7</v>
      </c>
      <c r="B16" s="12" t="inlineStr">
        <is>
          <t>MSX 42</t>
        </is>
      </c>
      <c r="C16" s="12" t="inlineStr">
        <is>
          <t>LVP</t>
        </is>
      </c>
      <c r="D16" s="11" t="inlineStr">
        <is>
          <t>Top</t>
        </is>
      </c>
      <c r="E16" s="11" t="n">
        <v>60</v>
      </c>
      <c r="F16" s="11" t="inlineStr">
        <is>
          <t>Single</t>
        </is>
      </c>
      <c r="G16" s="11" t="inlineStr">
        <is>
          <t>MSX 42 TOP LVP</t>
        </is>
      </c>
      <c r="H16" s="11" t="inlineStr">
        <is>
          <t>100 X 230</t>
        </is>
      </c>
      <c r="I16" s="11" t="inlineStr">
        <is>
          <t>19 X 22</t>
        </is>
      </c>
      <c r="J16" s="11" t="n">
        <v>10</v>
      </c>
      <c r="K16" s="13" t="n">
        <v>1000</v>
      </c>
      <c r="L16" s="14">
        <f>K16/J16</f>
        <v/>
      </c>
      <c r="M16" s="15" t="n">
        <v>1.103988603988604</v>
      </c>
      <c r="N16" s="14">
        <f>LEFT(I16,FIND("X",I16)-1)*RIGHT(I16,LEN(I16)-FIND("X",I16)-1)*M16</f>
        <v/>
      </c>
      <c r="O16" s="16">
        <f>(N16*L16)/1000</f>
        <v/>
      </c>
    </row>
    <row r="17" ht="15.75" customHeight="1" thickBot="1">
      <c r="A17" s="23" t="n">
        <v>6</v>
      </c>
      <c r="B17" s="132" t="inlineStr">
        <is>
          <t>MSX 40</t>
        </is>
      </c>
      <c r="C17" s="132" t="inlineStr">
        <is>
          <t>LVP</t>
        </is>
      </c>
      <c r="D17" s="23" t="inlineStr">
        <is>
          <t>Top</t>
        </is>
      </c>
      <c r="E17" s="23" t="n">
        <v>60</v>
      </c>
      <c r="F17" s="23" t="inlineStr">
        <is>
          <t>Single</t>
        </is>
      </c>
      <c r="G17" s="23" t="inlineStr">
        <is>
          <t>MSX 40 TOP LVP</t>
        </is>
      </c>
      <c r="H17" s="23" t="inlineStr">
        <is>
          <t>76 X 168</t>
        </is>
      </c>
      <c r="I17" s="23" t="inlineStr">
        <is>
          <t>21 X 24</t>
        </is>
      </c>
      <c r="J17" s="23" t="n">
        <v>21</v>
      </c>
      <c r="K17" s="115" t="n">
        <v>1000</v>
      </c>
      <c r="L17" s="25">
        <f>K17/J17</f>
        <v/>
      </c>
      <c r="M17" s="26" t="n">
        <v>1.103988603988604</v>
      </c>
      <c r="N17" s="25">
        <f>LEFT(I17,FIND("X",I17)-1)*RIGHT(I17,LEN(I17)-FIND("X",I17)-1)*M17</f>
        <v/>
      </c>
      <c r="O17" s="27">
        <f>(N17*L17)/1000</f>
        <v/>
      </c>
    </row>
    <row r="18" ht="15" customHeight="1">
      <c r="A18" s="29" t="n">
        <v>3</v>
      </c>
      <c r="B18" s="131" t="inlineStr">
        <is>
          <t>MSX 14</t>
        </is>
      </c>
      <c r="C18" s="58" t="inlineStr">
        <is>
          <t>LVP</t>
        </is>
      </c>
      <c r="D18" s="29" t="inlineStr">
        <is>
          <t>Top</t>
        </is>
      </c>
      <c r="E18" s="29" t="n">
        <v>90</v>
      </c>
      <c r="F18" s="29" t="inlineStr">
        <is>
          <t>Passing</t>
        </is>
      </c>
      <c r="G18" s="29" t="inlineStr">
        <is>
          <t>MSX 14 LVP</t>
        </is>
      </c>
      <c r="H18" s="29" t="inlineStr">
        <is>
          <t>62 X 115</t>
        </is>
      </c>
      <c r="I18" s="29" t="inlineStr">
        <is>
          <t>14 X 20</t>
        </is>
      </c>
      <c r="J18" s="29" t="n">
        <v>20</v>
      </c>
      <c r="K18" s="114" t="n">
        <v>1000</v>
      </c>
      <c r="L18" s="31">
        <f>K18/J18</f>
        <v/>
      </c>
      <c r="M18" s="32" t="n">
        <v>1.605797101449275</v>
      </c>
      <c r="N18" s="31">
        <f>LEFT(I18,FIND("X",I18)-1)*RIGHT(I18,LEN(I18)-FIND("X",I18)-1)*M18</f>
        <v/>
      </c>
      <c r="O18" s="33">
        <f>(N18*L18)/1000</f>
        <v/>
      </c>
    </row>
    <row r="19" ht="15" customHeight="1">
      <c r="A19" s="11" t="n">
        <v>1</v>
      </c>
      <c r="B19" s="12" t="inlineStr">
        <is>
          <t>MSX 10</t>
        </is>
      </c>
      <c r="C19" s="59" t="inlineStr">
        <is>
          <t>LVP</t>
        </is>
      </c>
      <c r="D19" s="11" t="inlineStr">
        <is>
          <t>Top</t>
        </is>
      </c>
      <c r="E19" s="11" t="n">
        <v>90</v>
      </c>
      <c r="F19" s="11" t="inlineStr">
        <is>
          <t>Passing</t>
        </is>
      </c>
      <c r="G19" s="11" t="inlineStr">
        <is>
          <t>MSX 10 LVP</t>
        </is>
      </c>
      <c r="H19" s="11" t="inlineStr">
        <is>
          <t>36 X 55</t>
        </is>
      </c>
      <c r="I19" s="11" t="inlineStr">
        <is>
          <t>15 X 20.5</t>
        </is>
      </c>
      <c r="J19" s="11" t="n">
        <v>64</v>
      </c>
      <c r="K19" s="13" t="n">
        <v>1000</v>
      </c>
      <c r="L19" s="14">
        <f>K19/J19</f>
        <v/>
      </c>
      <c r="M19" s="15" t="n">
        <v>1.605797101449275</v>
      </c>
      <c r="N19" s="14">
        <f>LEFT(I19,FIND("X",I19)-1)*RIGHT(I19,LEN(I19)-FIND("X",I19)-1)*M19</f>
        <v/>
      </c>
      <c r="O19" s="16">
        <f>(N19*L19)/1000</f>
        <v/>
      </c>
    </row>
    <row r="20" ht="15.75" customHeight="1" thickBot="1">
      <c r="A20" s="23" t="n">
        <v>2</v>
      </c>
      <c r="B20" s="132" t="inlineStr">
        <is>
          <t>MSX 12</t>
        </is>
      </c>
      <c r="C20" s="22" t="inlineStr">
        <is>
          <t>LVP</t>
        </is>
      </c>
      <c r="D20" s="23" t="inlineStr">
        <is>
          <t>Top</t>
        </is>
      </c>
      <c r="E20" s="23" t="n">
        <v>90</v>
      </c>
      <c r="F20" s="23" t="inlineStr">
        <is>
          <t>Passing</t>
        </is>
      </c>
      <c r="G20" s="23" t="inlineStr">
        <is>
          <t>MSX 12 LVP</t>
        </is>
      </c>
      <c r="H20" s="23" t="inlineStr">
        <is>
          <t>51 X 95</t>
        </is>
      </c>
      <c r="I20" s="23" t="inlineStr">
        <is>
          <t>20.5 X 21</t>
        </is>
      </c>
      <c r="J20" s="23" t="n">
        <v>45</v>
      </c>
      <c r="K20" s="115" t="n">
        <v>1000</v>
      </c>
      <c r="L20" s="25">
        <f>K20/J20</f>
        <v/>
      </c>
      <c r="M20" s="26" t="n">
        <v>1.605797101449275</v>
      </c>
      <c r="N20" s="25">
        <f>LEFT(I20,FIND("X",I20)-1)*RIGHT(I20,LEN(I20)-FIND("X",I20)-1)*M20</f>
        <v/>
      </c>
      <c r="O20" s="27">
        <f>(N20*L20)/1000</f>
        <v/>
      </c>
    </row>
    <row r="21" ht="15" customHeight="1">
      <c r="A21" s="29" t="n">
        <v>4</v>
      </c>
      <c r="B21" s="131" t="inlineStr">
        <is>
          <t>MSX 25</t>
        </is>
      </c>
      <c r="C21" s="58" t="inlineStr">
        <is>
          <t>SCFG</t>
        </is>
      </c>
      <c r="D21" s="29" t="inlineStr">
        <is>
          <t>-</t>
        </is>
      </c>
      <c r="E21" s="29" t="n">
        <v>15</v>
      </c>
      <c r="F21" s="29" t="inlineStr">
        <is>
          <t>Single</t>
        </is>
      </c>
      <c r="G21" s="29" t="inlineStr">
        <is>
          <t>MSX 25 SCFG</t>
        </is>
      </c>
      <c r="H21" s="29" t="inlineStr">
        <is>
          <t>116 X 136</t>
        </is>
      </c>
      <c r="I21" s="29" t="inlineStr">
        <is>
          <t>21.5 X 24.5</t>
        </is>
      </c>
      <c r="J21" s="29" t="n">
        <v>16</v>
      </c>
      <c r="K21" s="114" t="n">
        <v>1000</v>
      </c>
      <c r="L21" s="31">
        <f>K21/J21</f>
        <v/>
      </c>
      <c r="M21" s="32" t="n">
        <v>0.3381642512077295</v>
      </c>
      <c r="N21" s="31">
        <f>LEFT(I21,FIND("X",I21)-1)*RIGHT(I21,LEN(I21)-FIND("X",I21)-1)*M21</f>
        <v/>
      </c>
      <c r="O21" s="33">
        <f>(N21*L21)/1000</f>
        <v/>
      </c>
    </row>
    <row r="22" ht="12.75" customHeight="1">
      <c r="A22" s="11" t="n">
        <v>1</v>
      </c>
      <c r="B22" s="12" t="inlineStr">
        <is>
          <t>MSX 10</t>
        </is>
      </c>
      <c r="C22" s="59" t="inlineStr">
        <is>
          <t>SCFG</t>
        </is>
      </c>
      <c r="D22" s="11" t="inlineStr">
        <is>
          <t>-</t>
        </is>
      </c>
      <c r="E22" s="11" t="n">
        <v>15</v>
      </c>
      <c r="F22" s="11" t="inlineStr">
        <is>
          <t>Single</t>
        </is>
      </c>
      <c r="G22" s="11" t="inlineStr">
        <is>
          <t>MSX 10 SCFG</t>
        </is>
      </c>
      <c r="H22" s="11" t="inlineStr">
        <is>
          <t>55 X 75</t>
        </is>
      </c>
      <c r="I22" s="11" t="inlineStr">
        <is>
          <t>22.5 X 23.5</t>
        </is>
      </c>
      <c r="J22" s="11" t="n">
        <v>48</v>
      </c>
      <c r="K22" s="13" t="n">
        <v>1000</v>
      </c>
      <c r="L22" s="14">
        <f>K22/J22</f>
        <v/>
      </c>
      <c r="M22" s="15" t="n">
        <v>0.3381642512077295</v>
      </c>
      <c r="N22" s="14">
        <f>LEFT(I22,FIND("X",I22)-1)*RIGHT(I22,LEN(I22)-FIND("X",I22)-1)*M22</f>
        <v/>
      </c>
      <c r="O22" s="16">
        <f>(N22*L22)/1000</f>
        <v/>
      </c>
    </row>
    <row r="23" ht="15" customHeight="1">
      <c r="A23" s="11" t="n">
        <v>3</v>
      </c>
      <c r="B23" s="12" t="inlineStr">
        <is>
          <t>MSX 14</t>
        </is>
      </c>
      <c r="C23" s="59" t="inlineStr">
        <is>
          <t>SCFG</t>
        </is>
      </c>
      <c r="D23" s="11" t="inlineStr">
        <is>
          <t>-</t>
        </is>
      </c>
      <c r="E23" s="11" t="n">
        <v>15</v>
      </c>
      <c r="F23" s="11" t="inlineStr">
        <is>
          <t>Single</t>
        </is>
      </c>
      <c r="G23" s="11" t="inlineStr">
        <is>
          <t>MSX 14 SCFG</t>
        </is>
      </c>
      <c r="H23" s="11" t="inlineStr">
        <is>
          <t>80 X 137</t>
        </is>
      </c>
      <c r="I23" s="11" t="inlineStr">
        <is>
          <t>24 X 25</t>
        </is>
      </c>
      <c r="J23" s="11" t="n">
        <v>24</v>
      </c>
      <c r="K23" s="13" t="n">
        <v>1000</v>
      </c>
      <c r="L23" s="14">
        <f>K23/J23</f>
        <v/>
      </c>
      <c r="M23" s="15" t="n">
        <v>0.3381642512077295</v>
      </c>
      <c r="N23" s="14">
        <f>LEFT(I23,FIND("X",I23)-1)*RIGHT(I23,LEN(I23)-FIND("X",I23)-1)*M23</f>
        <v/>
      </c>
      <c r="O23" s="16">
        <f>(N23*L23)/1000</f>
        <v/>
      </c>
    </row>
    <row r="24" ht="15" customHeight="1">
      <c r="A24" s="11" t="n">
        <v>2</v>
      </c>
      <c r="B24" s="12" t="inlineStr">
        <is>
          <t>MSX 12</t>
        </is>
      </c>
      <c r="C24" s="59" t="inlineStr">
        <is>
          <t>SCFG</t>
        </is>
      </c>
      <c r="D24" s="11" t="inlineStr">
        <is>
          <t>-</t>
        </is>
      </c>
      <c r="E24" s="11" t="n">
        <v>15</v>
      </c>
      <c r="F24" s="11" t="inlineStr">
        <is>
          <t>Single</t>
        </is>
      </c>
      <c r="G24" s="11" t="inlineStr">
        <is>
          <t>MSX 12 SCFG</t>
        </is>
      </c>
      <c r="H24" s="11" t="inlineStr">
        <is>
          <t>66 X 110</t>
        </is>
      </c>
      <c r="I24" s="11" t="inlineStr">
        <is>
          <t>24 X 26</t>
        </is>
      </c>
      <c r="J24" s="11" t="n">
        <v>35</v>
      </c>
      <c r="K24" s="13" t="n">
        <v>1000</v>
      </c>
      <c r="L24" s="14">
        <f>K24/J24</f>
        <v/>
      </c>
      <c r="M24" s="15" t="n">
        <v>0.3381642512077295</v>
      </c>
      <c r="N24" s="14">
        <f>LEFT(I24,FIND("X",I24)-1)*RIGHT(I24,LEN(I24)-FIND("X",I24)-1)*M24</f>
        <v/>
      </c>
      <c r="O24" s="16">
        <f>(N24*L24)/1000</f>
        <v/>
      </c>
    </row>
    <row r="25" ht="15" customHeight="1">
      <c r="A25" s="11" t="n">
        <v>6</v>
      </c>
      <c r="B25" s="12" t="inlineStr">
        <is>
          <t>MSX 40</t>
        </is>
      </c>
      <c r="C25" s="59" t="inlineStr">
        <is>
          <t>SCFG</t>
        </is>
      </c>
      <c r="D25" s="11" t="inlineStr">
        <is>
          <t>-</t>
        </is>
      </c>
      <c r="E25" s="11" t="n">
        <v>15</v>
      </c>
      <c r="F25" s="11" t="inlineStr">
        <is>
          <t>Single</t>
        </is>
      </c>
      <c r="G25" s="11" t="inlineStr">
        <is>
          <t>MSX 40 SCFG</t>
        </is>
      </c>
      <c r="H25" s="11" t="inlineStr">
        <is>
          <t>110 X 198</t>
        </is>
      </c>
      <c r="I25" s="11" t="inlineStr">
        <is>
          <t>25.5 X 43</t>
        </is>
      </c>
      <c r="J25" s="11" t="n">
        <v>25</v>
      </c>
      <c r="K25" s="13" t="n">
        <v>1000</v>
      </c>
      <c r="L25" s="14">
        <f>K25/J25</f>
        <v/>
      </c>
      <c r="M25" s="15" t="n">
        <v>0.3381642512077295</v>
      </c>
      <c r="N25" s="14">
        <f>LEFT(I25,FIND("X",I25)-1)*RIGHT(I25,LEN(I25)-FIND("X",I25)-1)*M25</f>
        <v/>
      </c>
      <c r="O25" s="16">
        <f>(N25*L25)/1000</f>
        <v/>
      </c>
    </row>
    <row r="26" ht="15" customHeight="1">
      <c r="A26" s="11" t="n">
        <v>5</v>
      </c>
      <c r="B26" s="12" t="inlineStr">
        <is>
          <t>MSX 35</t>
        </is>
      </c>
      <c r="C26" s="59" t="inlineStr">
        <is>
          <t>SCFG</t>
        </is>
      </c>
      <c r="D26" s="11" t="inlineStr">
        <is>
          <t>-</t>
        </is>
      </c>
      <c r="E26" s="11" t="n">
        <v>15</v>
      </c>
      <c r="F26" s="11" t="inlineStr">
        <is>
          <t>Single</t>
        </is>
      </c>
      <c r="G26" s="11" t="inlineStr">
        <is>
          <t>MSX 35 SCFG</t>
        </is>
      </c>
      <c r="H26" s="11" t="inlineStr">
        <is>
          <t>122 X 175</t>
        </is>
      </c>
      <c r="I26" s="11" t="inlineStr">
        <is>
          <t>28 X 38.5</t>
        </is>
      </c>
      <c r="J26" s="11" t="n">
        <v>25</v>
      </c>
      <c r="K26" s="13" t="n">
        <v>1000</v>
      </c>
      <c r="L26" s="14">
        <f>K26/J26</f>
        <v/>
      </c>
      <c r="M26" s="15" t="n">
        <v>0.3381642512077295</v>
      </c>
      <c r="N26" s="14">
        <f>LEFT(I26,FIND("X",I26)-1)*RIGHT(I26,LEN(I26)-FIND("X",I26)-1)*M26</f>
        <v/>
      </c>
      <c r="O26" s="16">
        <f>(N26*L26)/1000</f>
        <v/>
      </c>
    </row>
    <row r="27" ht="15" customHeight="1">
      <c r="A27" s="11" t="n">
        <v>7</v>
      </c>
      <c r="B27" s="12" t="inlineStr">
        <is>
          <t>MSX 42</t>
        </is>
      </c>
      <c r="C27" s="59" t="inlineStr">
        <is>
          <t>SCFG</t>
        </is>
      </c>
      <c r="D27" s="11" t="inlineStr">
        <is>
          <t>-</t>
        </is>
      </c>
      <c r="E27" s="11" t="n">
        <v>15</v>
      </c>
      <c r="F27" s="11" t="inlineStr">
        <is>
          <t>Single</t>
        </is>
      </c>
      <c r="G27" s="11" t="inlineStr">
        <is>
          <t>MSX 42 SCFG</t>
        </is>
      </c>
      <c r="H27" s="11" t="inlineStr">
        <is>
          <t>126 X 260</t>
        </is>
      </c>
      <c r="I27" s="11" t="inlineStr">
        <is>
          <t>29 X 55</t>
        </is>
      </c>
      <c r="J27" s="11" t="n">
        <v>25</v>
      </c>
      <c r="K27" s="13" t="n">
        <v>1000</v>
      </c>
      <c r="L27" s="14">
        <f>K27/J27</f>
        <v/>
      </c>
      <c r="M27" s="15" t="n">
        <v>0.3381642512077295</v>
      </c>
      <c r="N27" s="14">
        <f>LEFT(I27,FIND("X",I27)-1)*RIGHT(I27,LEN(I27)-FIND("X",I27)-1)*M27</f>
        <v/>
      </c>
      <c r="O27" s="16">
        <f>(N27*L27)/1000</f>
        <v/>
      </c>
    </row>
    <row r="28" ht="15" customHeight="1">
      <c r="A28" s="11" t="n">
        <v>8</v>
      </c>
      <c r="B28" s="12" t="inlineStr">
        <is>
          <t>MSX 44</t>
        </is>
      </c>
      <c r="C28" s="59" t="inlineStr">
        <is>
          <t>SCFG</t>
        </is>
      </c>
      <c r="D28" s="11" t="inlineStr">
        <is>
          <t>-</t>
        </is>
      </c>
      <c r="E28" s="11" t="n">
        <v>15</v>
      </c>
      <c r="F28" s="11" t="inlineStr">
        <is>
          <t>Single</t>
        </is>
      </c>
      <c r="G28" s="11" t="inlineStr">
        <is>
          <t>MSX 44 SCFG</t>
        </is>
      </c>
      <c r="H28" s="11" t="inlineStr">
        <is>
          <t>135 X 346</t>
        </is>
      </c>
      <c r="I28" s="11" t="inlineStr">
        <is>
          <t>30.5 X 72</t>
        </is>
      </c>
      <c r="J28" s="11" t="n">
        <v>25</v>
      </c>
      <c r="K28" s="13" t="n">
        <v>1000</v>
      </c>
      <c r="L28" s="14">
        <f>K28/J28</f>
        <v/>
      </c>
      <c r="M28" s="15" t="n">
        <v>0.3381642512077295</v>
      </c>
      <c r="N28" s="14">
        <f>LEFT(I28,FIND("X",I28)-1)*RIGHT(I28,LEN(I28)-FIND("X",I28)-1)*M28</f>
        <v/>
      </c>
      <c r="O28" s="16">
        <f>(N28*L28)/1000</f>
        <v/>
      </c>
    </row>
    <row r="29" ht="15" customHeight="1">
      <c r="A29" s="11" t="n">
        <v>10</v>
      </c>
      <c r="B29" s="12" t="inlineStr">
        <is>
          <t>MSX 46</t>
        </is>
      </c>
      <c r="C29" s="59" t="inlineStr">
        <is>
          <t>SCFG</t>
        </is>
      </c>
      <c r="D29" s="11" t="inlineStr">
        <is>
          <t>-</t>
        </is>
      </c>
      <c r="E29" s="11" t="n">
        <v>15</v>
      </c>
      <c r="F29" s="11" t="inlineStr">
        <is>
          <t>Single</t>
        </is>
      </c>
      <c r="G29" s="11" t="inlineStr">
        <is>
          <t>MSX 46 SCFG</t>
        </is>
      </c>
      <c r="H29" s="11" t="inlineStr">
        <is>
          <t>148 X 409</t>
        </is>
      </c>
      <c r="I29" s="11" t="inlineStr">
        <is>
          <t>33 X 84.5</t>
        </is>
      </c>
      <c r="J29" s="11" t="n">
        <v>25</v>
      </c>
      <c r="K29" s="13" t="n">
        <v>1000</v>
      </c>
      <c r="L29" s="14">
        <f>K29/J29</f>
        <v/>
      </c>
      <c r="M29" s="15" t="n">
        <v>0.3381642512077295</v>
      </c>
      <c r="N29" s="14">
        <f>LEFT(I29,FIND("X",I29)-1)*RIGHT(I29,LEN(I29)-FIND("X",I29)-1)*M29</f>
        <v/>
      </c>
      <c r="O29" s="16">
        <f>(N29*L29)/1000</f>
        <v/>
      </c>
    </row>
    <row r="30" ht="15" customHeight="1">
      <c r="A30" s="11" t="n">
        <v>9</v>
      </c>
      <c r="B30" s="12" t="inlineStr">
        <is>
          <t>MSX 45</t>
        </is>
      </c>
      <c r="C30" s="59" t="inlineStr">
        <is>
          <t>SCFG</t>
        </is>
      </c>
      <c r="D30" s="11" t="inlineStr">
        <is>
          <t>-</t>
        </is>
      </c>
      <c r="E30" s="11" t="n">
        <v>15</v>
      </c>
      <c r="F30" s="11" t="inlineStr">
        <is>
          <t>Single</t>
        </is>
      </c>
      <c r="G30" s="11" t="inlineStr">
        <is>
          <t>MSX 45 SCFG</t>
        </is>
      </c>
      <c r="H30" s="11" t="inlineStr">
        <is>
          <t>175 X 226</t>
        </is>
      </c>
      <c r="I30" s="11" t="inlineStr">
        <is>
          <t>38.5 X 48.5</t>
        </is>
      </c>
      <c r="J30" s="11" t="n">
        <v>25</v>
      </c>
      <c r="K30" s="13" t="n">
        <v>1000</v>
      </c>
      <c r="L30" s="14">
        <f>K30/J30</f>
        <v/>
      </c>
      <c r="M30" s="15" t="n">
        <v>0.3381642512077295</v>
      </c>
      <c r="N30" s="14">
        <f>LEFT(I30,FIND("X",I30)-1)*RIGHT(I30,LEN(I30)-FIND("X",I30)-1)*M30</f>
        <v/>
      </c>
      <c r="O30" s="16">
        <f>(N30*L30)/1000</f>
        <v/>
      </c>
    </row>
  </sheetData>
  <autoFilter ref="A3:O3">
    <sortState ref="A4:O30">
      <sortCondition ref="C3"/>
    </sortState>
  </autoFilter>
  <pageMargins left="0.7086614173228347" right="0.7086614173228347" top="0.7480314960629921" bottom="0.7480314960629921" header="0.3149606299212598" footer="0.3149606299212598"/>
  <pageSetup orientation="landscape" paperSize="9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19"/>
  <sheetViews>
    <sheetView workbookViewId="0">
      <selection activeCell="A1" sqref="A1"/>
    </sheetView>
  </sheetViews>
  <sheetFormatPr baseColWidth="8" defaultRowHeight="15"/>
  <cols>
    <col width="7.85546875" customWidth="1" min="1" max="1"/>
    <col width="11.5703125" customWidth="1" min="2" max="2"/>
    <col width="12.7109375" customWidth="1" min="3" max="3"/>
    <col width="9.28515625" customWidth="1" min="4" max="4"/>
    <col width="6.42578125" customWidth="1" min="5" max="5"/>
    <col width="8.5703125" customWidth="1" min="6" max="6"/>
    <col width="20.7109375" customWidth="1" min="7" max="7"/>
    <col width="12.7109375" customWidth="1" min="8" max="8"/>
    <col width="12.5703125" customWidth="1" min="9" max="9"/>
    <col width="6.7109375" customWidth="1" min="10" max="10"/>
    <col width="12.85546875" customWidth="1" min="11" max="11"/>
    <col width="10.7109375" customWidth="1" min="12" max="12"/>
    <col width="6.7109375" customWidth="1" min="13" max="13"/>
    <col width="11.28515625" customWidth="1" min="14" max="14"/>
    <col width="9.85546875" customWidth="1" min="15" max="15"/>
  </cols>
  <sheetData>
    <row r="1" ht="45" customHeight="1">
      <c r="A1" s="164" t="inlineStr">
        <is>
          <t>Sr No</t>
        </is>
      </c>
      <c r="B1" s="164" t="inlineStr">
        <is>
          <t>Item Name</t>
        </is>
      </c>
      <c r="C1" s="164" t="inlineStr">
        <is>
          <t>Compound</t>
        </is>
      </c>
      <c r="D1" s="164" t="inlineStr">
        <is>
          <t>Side</t>
        </is>
      </c>
      <c r="E1" s="164" t="inlineStr">
        <is>
          <t>Thou</t>
        </is>
      </c>
      <c r="F1" s="164" t="inlineStr">
        <is>
          <t>Die Type</t>
        </is>
      </c>
      <c r="G1" s="164" t="inlineStr">
        <is>
          <t>Die Name</t>
        </is>
      </c>
      <c r="H1" s="164" t="inlineStr">
        <is>
          <t>Die Size in MM</t>
        </is>
      </c>
      <c r="I1" s="164" t="inlineStr">
        <is>
          <t>Comp Sheet Size in Inch</t>
        </is>
      </c>
      <c r="J1" s="164" t="inlineStr">
        <is>
          <t>Per sheet item</t>
        </is>
      </c>
      <c r="K1" s="164" t="inlineStr">
        <is>
          <t>order</t>
        </is>
      </c>
      <c r="L1" s="5" t="inlineStr">
        <is>
          <t>Required sheet</t>
        </is>
      </c>
      <c r="M1" s="6" t="inlineStr">
        <is>
          <t>Per sheet Gm</t>
        </is>
      </c>
      <c r="N1" s="6" t="inlineStr">
        <is>
          <t>Per sheet Weight in Gm</t>
        </is>
      </c>
      <c r="O1" s="6" t="inlineStr">
        <is>
          <t>Total kg</t>
        </is>
      </c>
    </row>
    <row r="2" ht="15" customHeight="1">
      <c r="A2" s="165" t="n"/>
      <c r="B2" s="165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5" t="n"/>
      <c r="M2" s="6" t="n"/>
      <c r="N2" s="6" t="n"/>
      <c r="O2" s="6" t="n"/>
    </row>
    <row r="3" ht="17.25" customHeight="1">
      <c r="A3" s="166" t="n">
        <v>1</v>
      </c>
      <c r="B3" s="167" t="inlineStr">
        <is>
          <t>MCX 08</t>
        </is>
      </c>
      <c r="C3" s="168" t="inlineStr">
        <is>
          <t>LVP</t>
        </is>
      </c>
      <c r="D3" s="169" t="inlineStr">
        <is>
          <t>Top</t>
        </is>
      </c>
      <c r="E3" s="169" t="n">
        <v>55</v>
      </c>
      <c r="F3" s="169" t="inlineStr">
        <is>
          <t>Single</t>
        </is>
      </c>
      <c r="G3" s="169" t="inlineStr">
        <is>
          <t>GNR 8 LVP</t>
        </is>
      </c>
      <c r="H3" s="170" t="inlineStr">
        <is>
          <t>35 X 55</t>
        </is>
      </c>
      <c r="I3" s="169" t="inlineStr">
        <is>
          <t>21 X 21</t>
        </is>
      </c>
      <c r="J3" s="169" t="n">
        <v>88</v>
      </c>
      <c r="K3" s="171" t="n"/>
      <c r="L3" s="14" t="n"/>
      <c r="M3" s="15" t="n">
        <v>1.042553191489362</v>
      </c>
      <c r="N3" s="14" t="n"/>
      <c r="O3" s="16" t="n"/>
    </row>
    <row r="4" ht="17.25" customHeight="1">
      <c r="A4" s="232" t="n"/>
      <c r="B4" s="232" t="n"/>
      <c r="C4" s="233" t="n"/>
      <c r="D4" s="169" t="inlineStr">
        <is>
          <t>Bottom</t>
        </is>
      </c>
      <c r="E4" s="169" t="n"/>
      <c r="F4" s="169" t="n"/>
      <c r="G4" s="169" t="n"/>
      <c r="H4" s="169" t="n"/>
      <c r="I4" s="169" t="n"/>
      <c r="J4" s="169" t="n"/>
      <c r="K4" s="171" t="n"/>
      <c r="L4" s="14" t="n"/>
      <c r="M4" s="15" t="e">
        <v>#N/A</v>
      </c>
      <c r="N4" s="14" t="n"/>
      <c r="O4" s="16" t="n"/>
    </row>
    <row r="5" ht="17.25" customHeight="1">
      <c r="A5" s="234" t="n"/>
      <c r="B5" s="234" t="n"/>
      <c r="C5" s="175" t="inlineStr">
        <is>
          <t>SVG</t>
        </is>
      </c>
      <c r="D5" s="166" t="inlineStr">
        <is>
          <t>-</t>
        </is>
      </c>
      <c r="E5" s="166" t="n">
        <v>22</v>
      </c>
      <c r="F5" s="166" t="inlineStr">
        <is>
          <t>Single</t>
        </is>
      </c>
      <c r="G5" s="166" t="inlineStr">
        <is>
          <t>GNR 8 SVG</t>
        </is>
      </c>
      <c r="H5" s="166" t="inlineStr">
        <is>
          <t>45 X 65</t>
        </is>
      </c>
      <c r="I5" s="166" t="inlineStr">
        <is>
          <t>21 X 22</t>
        </is>
      </c>
      <c r="J5" s="166" t="n">
        <v>70</v>
      </c>
      <c r="K5" s="176" t="n"/>
      <c r="L5" s="25" t="n"/>
      <c r="M5" s="26" t="n">
        <v>0.4398148148148148</v>
      </c>
      <c r="N5" s="25" t="n"/>
      <c r="O5" s="27" t="n"/>
    </row>
    <row r="6" ht="17.25" customHeight="1">
      <c r="A6" s="177" t="n">
        <v>2</v>
      </c>
      <c r="B6" s="178" t="inlineStr">
        <is>
          <t>MCX 10</t>
        </is>
      </c>
      <c r="C6" s="179" t="inlineStr">
        <is>
          <t>LVP</t>
        </is>
      </c>
      <c r="D6" s="180" t="inlineStr">
        <is>
          <t>Top</t>
        </is>
      </c>
      <c r="E6" s="180" t="n">
        <v>60</v>
      </c>
      <c r="F6" s="180" t="inlineStr">
        <is>
          <t>Passing</t>
        </is>
      </c>
      <c r="G6" s="180" t="inlineStr">
        <is>
          <t>MCX 10 LVP</t>
        </is>
      </c>
      <c r="H6" s="180" t="inlineStr">
        <is>
          <t>40 X 60</t>
        </is>
      </c>
      <c r="I6" s="180" t="inlineStr">
        <is>
          <t>18.5 X 24</t>
        </is>
      </c>
      <c r="J6" s="180" t="n">
        <v>90</v>
      </c>
      <c r="K6" s="181" t="n"/>
      <c r="L6" s="31" t="n"/>
      <c r="M6" s="32" t="n">
        <v>1.103988603988604</v>
      </c>
      <c r="N6" s="31" t="n"/>
      <c r="O6" s="33" t="n"/>
    </row>
    <row r="7" ht="17.25" customHeight="1">
      <c r="A7" s="232" t="n"/>
      <c r="B7" s="232" t="n"/>
      <c r="C7" s="235" t="n"/>
      <c r="D7" s="169" t="inlineStr">
        <is>
          <t>Bottom</t>
        </is>
      </c>
      <c r="E7" s="169" t="n"/>
      <c r="F7" s="169" t="n"/>
      <c r="G7" s="169" t="n"/>
      <c r="H7" s="169" t="n"/>
      <c r="I7" s="169" t="n"/>
      <c r="J7" s="169" t="n"/>
      <c r="K7" s="181" t="n"/>
      <c r="L7" s="14" t="n"/>
      <c r="M7" s="15" t="e">
        <v>#N/A</v>
      </c>
      <c r="N7" s="14" t="n"/>
      <c r="O7" s="16" t="n"/>
    </row>
    <row r="8" ht="17.25" customHeight="1">
      <c r="A8" s="234" t="n"/>
      <c r="B8" s="234" t="n"/>
      <c r="C8" s="175" t="inlineStr">
        <is>
          <t>SVG</t>
        </is>
      </c>
      <c r="D8" s="166" t="inlineStr">
        <is>
          <t>-</t>
        </is>
      </c>
      <c r="E8" s="166" t="n">
        <v>22</v>
      </c>
      <c r="F8" s="166" t="inlineStr">
        <is>
          <t>Passing</t>
        </is>
      </c>
      <c r="G8" s="166" t="inlineStr">
        <is>
          <t>MCX 10 SVG</t>
        </is>
      </c>
      <c r="H8" s="166" t="inlineStr">
        <is>
          <t>50 X 70</t>
        </is>
      </c>
      <c r="I8" s="166" t="inlineStr">
        <is>
          <t>18.5 X 25</t>
        </is>
      </c>
      <c r="J8" s="166" t="n">
        <v>66</v>
      </c>
      <c r="K8" s="181" t="n"/>
      <c r="L8" s="25" t="n"/>
      <c r="M8" s="26" t="n">
        <v>0.4398148148148148</v>
      </c>
      <c r="N8" s="25" t="n"/>
      <c r="O8" s="27" t="n"/>
    </row>
    <row r="9" ht="15" customHeight="1">
      <c r="A9" s="177" t="n">
        <v>3</v>
      </c>
      <c r="B9" s="178" t="inlineStr">
        <is>
          <t>MCX 12</t>
        </is>
      </c>
      <c r="C9" s="179" t="inlineStr">
        <is>
          <t>LVP</t>
        </is>
      </c>
      <c r="D9" s="180" t="inlineStr">
        <is>
          <t>Top</t>
        </is>
      </c>
      <c r="E9" s="180" t="n">
        <v>60</v>
      </c>
      <c r="F9" s="180" t="inlineStr">
        <is>
          <t>Passing</t>
        </is>
      </c>
      <c r="G9" s="180" t="inlineStr">
        <is>
          <t xml:space="preserve">MCX 12 LVP </t>
        </is>
      </c>
      <c r="H9" s="180" t="inlineStr">
        <is>
          <t>50 X 90</t>
        </is>
      </c>
      <c r="I9" s="180" t="inlineStr">
        <is>
          <t>18.5 X 23.5</t>
        </is>
      </c>
      <c r="J9" s="180" t="n">
        <v>48</v>
      </c>
      <c r="K9" s="181" t="n"/>
      <c r="L9" s="31" t="n"/>
      <c r="M9" s="32" t="n">
        <v>1.103988603988604</v>
      </c>
      <c r="N9" s="31" t="n"/>
      <c r="O9" s="33" t="n"/>
    </row>
    <row r="10" ht="15" customHeight="1">
      <c r="A10" s="232" t="n"/>
      <c r="B10" s="232" t="n"/>
      <c r="C10" s="235" t="n"/>
      <c r="D10" s="169" t="inlineStr">
        <is>
          <t>Bottom</t>
        </is>
      </c>
      <c r="E10" s="169" t="n"/>
      <c r="F10" s="169" t="n"/>
      <c r="G10" s="169" t="n"/>
      <c r="H10" s="169" t="n"/>
      <c r="I10" s="169" t="n"/>
      <c r="J10" s="169" t="n"/>
      <c r="K10" s="171" t="n"/>
      <c r="L10" s="14" t="n"/>
      <c r="M10" s="15" t="e">
        <v>#N/A</v>
      </c>
      <c r="N10" s="14" t="n"/>
      <c r="O10" s="16" t="n"/>
    </row>
    <row r="11" ht="15.75" customHeight="1">
      <c r="A11" s="234" t="n"/>
      <c r="B11" s="234" t="n"/>
      <c r="C11" s="175" t="inlineStr">
        <is>
          <t>SVG</t>
        </is>
      </c>
      <c r="D11" s="166" t="inlineStr">
        <is>
          <t>-</t>
        </is>
      </c>
      <c r="E11" s="166" t="n">
        <v>22</v>
      </c>
      <c r="F11" s="166" t="inlineStr">
        <is>
          <t>Passing</t>
        </is>
      </c>
      <c r="G11" s="166" t="inlineStr">
        <is>
          <t>MCX 12 SVG</t>
        </is>
      </c>
      <c r="H11" s="166" t="inlineStr">
        <is>
          <t>61 X 101</t>
        </is>
      </c>
      <c r="I11" s="166" t="inlineStr">
        <is>
          <t>19 X 21.5</t>
        </is>
      </c>
      <c r="J11" s="166" t="n">
        <v>35</v>
      </c>
      <c r="K11" s="176" t="n"/>
      <c r="L11" s="25" t="n"/>
      <c r="M11" s="26" t="n">
        <v>0.4398148148148148</v>
      </c>
      <c r="N11" s="25" t="n"/>
      <c r="O11" s="27" t="n"/>
    </row>
    <row r="12" ht="15" customHeight="1">
      <c r="A12" s="183" t="n">
        <v>4</v>
      </c>
      <c r="B12" s="178" t="inlineStr">
        <is>
          <t>MCX 14</t>
        </is>
      </c>
      <c r="C12" s="184" t="inlineStr">
        <is>
          <t>LVP</t>
        </is>
      </c>
      <c r="D12" s="180" t="inlineStr">
        <is>
          <t>Top</t>
        </is>
      </c>
      <c r="E12" s="180" t="n">
        <v>60</v>
      </c>
      <c r="F12" s="185" t="inlineStr">
        <is>
          <t>Passing</t>
        </is>
      </c>
      <c r="G12" s="180" t="inlineStr">
        <is>
          <t>MCX 14 LVP</t>
        </is>
      </c>
      <c r="H12" s="180" t="inlineStr">
        <is>
          <t>60 X 114</t>
        </is>
      </c>
      <c r="I12" s="180" t="inlineStr">
        <is>
          <t>19 X 24.5</t>
        </is>
      </c>
      <c r="J12" s="180" t="n">
        <v>35</v>
      </c>
      <c r="K12" s="181" t="n"/>
      <c r="L12" s="31" t="n"/>
      <c r="M12" s="32" t="n">
        <v>1.103988603988604</v>
      </c>
      <c r="N12" s="31" t="n"/>
      <c r="O12" s="33" t="n"/>
    </row>
    <row r="13" ht="15" customHeight="1">
      <c r="A13" s="232" t="n"/>
      <c r="B13" s="232" t="n"/>
      <c r="C13" s="235" t="n"/>
      <c r="D13" s="169" t="inlineStr">
        <is>
          <t>Bottom</t>
        </is>
      </c>
      <c r="E13" s="169" t="n"/>
      <c r="F13" s="180" t="n"/>
      <c r="G13" s="169" t="n"/>
      <c r="H13" s="169" t="n"/>
      <c r="I13" s="169" t="n"/>
      <c r="J13" s="169" t="n"/>
      <c r="K13" s="171" t="n"/>
      <c r="L13" s="14" t="n"/>
      <c r="M13" s="15" t="e">
        <v>#N/A</v>
      </c>
      <c r="N13" s="14" t="n"/>
      <c r="O13" s="16" t="n"/>
    </row>
    <row r="14" ht="15.75" customHeight="1">
      <c r="A14" s="234" t="n"/>
      <c r="B14" s="234" t="n"/>
      <c r="C14" s="175" t="inlineStr">
        <is>
          <t>SVG</t>
        </is>
      </c>
      <c r="D14" s="166" t="inlineStr">
        <is>
          <t>-</t>
        </is>
      </c>
      <c r="E14" s="166" t="n">
        <v>22</v>
      </c>
      <c r="F14" s="166" t="inlineStr">
        <is>
          <t>Passing</t>
        </is>
      </c>
      <c r="G14" s="166" t="inlineStr">
        <is>
          <t>MCX 14 SVG</t>
        </is>
      </c>
      <c r="H14" s="166" t="inlineStr">
        <is>
          <t>70 X 125</t>
        </is>
      </c>
      <c r="I14" s="166" t="inlineStr">
        <is>
          <t>21.5 X 24.5</t>
        </is>
      </c>
      <c r="J14" s="166" t="n">
        <v>32</v>
      </c>
      <c r="K14" s="176" t="n"/>
      <c r="L14" s="25" t="n"/>
      <c r="M14" s="26" t="n">
        <v>0.4398148148148148</v>
      </c>
      <c r="N14" s="25" t="n"/>
      <c r="O14" s="27" t="n"/>
    </row>
    <row r="15" ht="15" customHeight="1">
      <c r="A15" s="186" t="n">
        <v>5</v>
      </c>
      <c r="B15" s="187" t="inlineStr">
        <is>
          <t>MCX 15</t>
        </is>
      </c>
      <c r="C15" s="184" t="inlineStr">
        <is>
          <t>LVP</t>
        </is>
      </c>
      <c r="D15" s="180" t="inlineStr">
        <is>
          <t>Top</t>
        </is>
      </c>
      <c r="E15" s="180" t="n">
        <v>60</v>
      </c>
      <c r="F15" s="185" t="inlineStr">
        <is>
          <t>Passing</t>
        </is>
      </c>
      <c r="G15" s="180" t="inlineStr">
        <is>
          <t>MCX 15 LVP</t>
        </is>
      </c>
      <c r="H15" s="180" t="inlineStr">
        <is>
          <t>61 X 75</t>
        </is>
      </c>
      <c r="I15" s="180" t="inlineStr">
        <is>
          <t>19 X 23</t>
        </is>
      </c>
      <c r="J15" s="180" t="n">
        <v>49</v>
      </c>
      <c r="K15" s="181" t="n"/>
      <c r="L15" s="31" t="n"/>
      <c r="M15" s="32" t="n">
        <v>1.103988603988604</v>
      </c>
      <c r="N15" s="31" t="n"/>
      <c r="O15" s="33" t="n"/>
    </row>
    <row r="16" ht="15" customHeight="1">
      <c r="A16" s="232" t="n"/>
      <c r="B16" s="232" t="n"/>
      <c r="C16" s="235" t="n"/>
      <c r="D16" s="169" t="inlineStr">
        <is>
          <t>Bottom</t>
        </is>
      </c>
      <c r="E16" s="169" t="n"/>
      <c r="F16" s="180" t="n"/>
      <c r="G16" s="169" t="n"/>
      <c r="H16" s="169" t="n"/>
      <c r="I16" s="169" t="n"/>
      <c r="J16" s="169" t="n"/>
      <c r="K16" s="171" t="n"/>
      <c r="L16" s="14" t="n"/>
      <c r="M16" s="15" t="e">
        <v>#N/A</v>
      </c>
      <c r="N16" s="14" t="n"/>
      <c r="O16" s="16" t="n"/>
    </row>
    <row r="17" ht="15.75" customHeight="1">
      <c r="A17" s="234" t="n"/>
      <c r="B17" s="234" t="n"/>
      <c r="C17" s="175" t="inlineStr">
        <is>
          <t>SVG</t>
        </is>
      </c>
      <c r="D17" s="166" t="inlineStr">
        <is>
          <t>-</t>
        </is>
      </c>
      <c r="E17" s="166" t="n">
        <v>22</v>
      </c>
      <c r="F17" s="166" t="inlineStr">
        <is>
          <t>Passing</t>
        </is>
      </c>
      <c r="G17" s="166" t="inlineStr">
        <is>
          <t>MCX 15 SVG</t>
        </is>
      </c>
      <c r="H17" s="166" t="inlineStr">
        <is>
          <t>71 X 85</t>
        </is>
      </c>
      <c r="I17" s="166" t="inlineStr">
        <is>
          <t>18.5 X 22</t>
        </is>
      </c>
      <c r="J17" s="166" t="n">
        <v>36</v>
      </c>
      <c r="K17" s="176" t="n"/>
      <c r="L17" s="25" t="n"/>
      <c r="M17" s="26" t="n">
        <v>0.4398148148148148</v>
      </c>
      <c r="N17" s="25" t="n"/>
      <c r="O17" s="27" t="n"/>
    </row>
    <row r="18" ht="15" customHeight="1">
      <c r="A18" s="186" t="n">
        <v>6</v>
      </c>
      <c r="B18" s="187" t="inlineStr">
        <is>
          <t>MCX 18</t>
        </is>
      </c>
      <c r="C18" s="184" t="inlineStr">
        <is>
          <t>LVP</t>
        </is>
      </c>
      <c r="D18" s="180" t="inlineStr">
        <is>
          <t>Top</t>
        </is>
      </c>
      <c r="E18" s="180" t="n">
        <v>60</v>
      </c>
      <c r="F18" s="185" t="inlineStr">
        <is>
          <t>Single</t>
        </is>
      </c>
      <c r="G18" s="180" t="inlineStr">
        <is>
          <t>GNR 18 LVP</t>
        </is>
      </c>
      <c r="H18" s="180" t="inlineStr">
        <is>
          <t>60 X 86</t>
        </is>
      </c>
      <c r="I18" s="180" t="inlineStr">
        <is>
          <t>23 X 23</t>
        </is>
      </c>
      <c r="J18" s="180" t="n">
        <v>48</v>
      </c>
      <c r="K18" s="181" t="n"/>
      <c r="L18" s="31" t="n"/>
      <c r="M18" s="32" t="n">
        <v>1.103988603988604</v>
      </c>
      <c r="N18" s="31" t="n"/>
      <c r="O18" s="33" t="n"/>
    </row>
    <row r="19" ht="15" customHeight="1">
      <c r="A19" s="232" t="n"/>
      <c r="B19" s="232" t="n"/>
      <c r="C19" s="235" t="n"/>
      <c r="D19" s="169" t="inlineStr">
        <is>
          <t>Bottom</t>
        </is>
      </c>
      <c r="E19" s="169" t="n"/>
      <c r="F19" s="180" t="n"/>
      <c r="G19" s="169" t="n"/>
      <c r="H19" s="169" t="n"/>
      <c r="I19" s="169" t="n"/>
      <c r="J19" s="169" t="n"/>
      <c r="K19" s="171" t="n"/>
      <c r="L19" s="14" t="n"/>
      <c r="M19" s="15" t="e">
        <v>#N/A</v>
      </c>
      <c r="N19" s="14" t="n"/>
      <c r="O19" s="16" t="n"/>
    </row>
    <row r="20" ht="15.75" customHeight="1">
      <c r="A20" s="234" t="n"/>
      <c r="B20" s="234" t="n"/>
      <c r="C20" s="175" t="inlineStr">
        <is>
          <t>SVG</t>
        </is>
      </c>
      <c r="D20" s="166" t="inlineStr">
        <is>
          <t>-</t>
        </is>
      </c>
      <c r="E20" s="166" t="n">
        <v>22</v>
      </c>
      <c r="F20" s="166" t="inlineStr">
        <is>
          <t>Single</t>
        </is>
      </c>
      <c r="G20" s="166" t="inlineStr">
        <is>
          <t>GNR 18 SVG</t>
        </is>
      </c>
      <c r="H20" s="166" t="inlineStr">
        <is>
          <t>71 X 97</t>
        </is>
      </c>
      <c r="I20" s="166" t="inlineStr">
        <is>
          <t>22 X 23</t>
        </is>
      </c>
      <c r="J20" s="166" t="n">
        <v>35</v>
      </c>
      <c r="K20" s="176" t="n"/>
      <c r="L20" s="25" t="n"/>
      <c r="M20" s="26" t="n">
        <v>0.4398148148148148</v>
      </c>
      <c r="N20" s="25" t="n"/>
      <c r="O20" s="27" t="n"/>
    </row>
    <row r="21" ht="15" customHeight="1">
      <c r="A21" s="186" t="n">
        <v>7</v>
      </c>
      <c r="B21" s="187" t="inlineStr">
        <is>
          <t>MCX 20</t>
        </is>
      </c>
      <c r="C21" s="184" t="inlineStr">
        <is>
          <t>LVP</t>
        </is>
      </c>
      <c r="D21" s="180" t="inlineStr">
        <is>
          <t>Top</t>
        </is>
      </c>
      <c r="E21" s="180" t="n">
        <v>60</v>
      </c>
      <c r="F21" s="180" t="inlineStr">
        <is>
          <t>Passing</t>
        </is>
      </c>
      <c r="G21" s="180" t="inlineStr">
        <is>
          <t>MCX 20 LVP</t>
        </is>
      </c>
      <c r="H21" s="180" t="inlineStr">
        <is>
          <t>64 X 90</t>
        </is>
      </c>
      <c r="I21" s="180" t="inlineStr">
        <is>
          <t>17 X 23</t>
        </is>
      </c>
      <c r="J21" s="180" t="n">
        <v>36</v>
      </c>
      <c r="K21" s="181" t="n"/>
      <c r="L21" s="31" t="n"/>
      <c r="M21" s="32" t="n">
        <v>1.103988603988604</v>
      </c>
      <c r="N21" s="31" t="n"/>
      <c r="O21" s="33" t="n"/>
    </row>
    <row r="22" ht="15" customHeight="1">
      <c r="A22" s="232" t="n"/>
      <c r="B22" s="232" t="n"/>
      <c r="C22" s="235" t="n"/>
      <c r="D22" s="169" t="inlineStr">
        <is>
          <t>Bottom</t>
        </is>
      </c>
      <c r="E22" s="169" t="n"/>
      <c r="F22" s="169" t="n"/>
      <c r="G22" s="169" t="n"/>
      <c r="H22" s="169" t="n"/>
      <c r="I22" s="169" t="n"/>
      <c r="J22" s="169" t="n"/>
      <c r="K22" s="171" t="n"/>
      <c r="L22" s="14" t="n"/>
      <c r="M22" s="15" t="e">
        <v>#N/A</v>
      </c>
      <c r="N22" s="14" t="n"/>
      <c r="O22" s="16" t="n"/>
    </row>
    <row r="23" ht="15.75" customHeight="1">
      <c r="A23" s="234" t="n"/>
      <c r="B23" s="234" t="n"/>
      <c r="C23" s="175" t="inlineStr">
        <is>
          <t>SVG</t>
        </is>
      </c>
      <c r="D23" s="166" t="inlineStr">
        <is>
          <t>-</t>
        </is>
      </c>
      <c r="E23" s="166" t="n">
        <v>22</v>
      </c>
      <c r="F23" s="166" t="inlineStr">
        <is>
          <t>Passing</t>
        </is>
      </c>
      <c r="G23" s="166" t="inlineStr">
        <is>
          <t>MCX 20 SVG</t>
        </is>
      </c>
      <c r="H23" s="166" t="inlineStr">
        <is>
          <t>76 X 102</t>
        </is>
      </c>
      <c r="I23" s="166" t="inlineStr">
        <is>
          <t>17 X 22</t>
        </is>
      </c>
      <c r="J23" s="166" t="n">
        <v>25</v>
      </c>
      <c r="K23" s="176" t="n"/>
      <c r="L23" s="25" t="n"/>
      <c r="M23" s="26" t="n">
        <v>0.4398148148148148</v>
      </c>
      <c r="N23" s="25" t="n"/>
      <c r="O23" s="27" t="n"/>
    </row>
    <row r="24" ht="15" customHeight="1">
      <c r="A24" s="186" t="n">
        <v>8</v>
      </c>
      <c r="B24" s="187" t="inlineStr">
        <is>
          <t>MCX 22</t>
        </is>
      </c>
      <c r="C24" s="184" t="inlineStr">
        <is>
          <t>LVP</t>
        </is>
      </c>
      <c r="D24" s="180" t="inlineStr">
        <is>
          <t>Top</t>
        </is>
      </c>
      <c r="E24" s="180" t="n">
        <v>40</v>
      </c>
      <c r="F24" s="180" t="inlineStr">
        <is>
          <t>Single</t>
        </is>
      </c>
      <c r="G24" s="180" t="inlineStr">
        <is>
          <t>MCX 22 LVP</t>
        </is>
      </c>
      <c r="H24" s="180" t="inlineStr">
        <is>
          <t>60 X 140</t>
        </is>
      </c>
      <c r="I24" s="180" t="inlineStr">
        <is>
          <t>20 X 24</t>
        </is>
      </c>
      <c r="J24" s="180" t="n">
        <v>28</v>
      </c>
      <c r="K24" s="181" t="n">
        <v>100</v>
      </c>
      <c r="L24" s="31">
        <f>K24/J24</f>
        <v/>
      </c>
      <c r="M24" s="32" t="n">
        <v>0.6977821913273751</v>
      </c>
      <c r="N24" s="31">
        <f>LEFT(I24,FIND("X",I24)-1)*RIGHT(I24,LEN(I24)-FIND("X",I24)-1)*M24</f>
        <v/>
      </c>
      <c r="O24" s="33">
        <f>(N24*L24)/1000</f>
        <v/>
      </c>
    </row>
    <row r="25" ht="15" customHeight="1">
      <c r="A25" s="232" t="n"/>
      <c r="B25" s="232" t="n"/>
      <c r="C25" s="235" t="n"/>
      <c r="D25" s="169" t="inlineStr">
        <is>
          <t>Bottom</t>
        </is>
      </c>
      <c r="E25" s="169" t="n">
        <v>40</v>
      </c>
      <c r="F25" s="169" t="inlineStr">
        <is>
          <t>Single</t>
        </is>
      </c>
      <c r="G25" s="180" t="inlineStr">
        <is>
          <t>MCX 22 LVP</t>
        </is>
      </c>
      <c r="H25" s="180" t="inlineStr">
        <is>
          <t>60 X 140</t>
        </is>
      </c>
      <c r="I25" s="180" t="inlineStr">
        <is>
          <t>20 X 24</t>
        </is>
      </c>
      <c r="J25" s="180" t="n">
        <v>28</v>
      </c>
      <c r="K25" s="171" t="n">
        <v>100</v>
      </c>
      <c r="L25" s="14">
        <f>K25/J25</f>
        <v/>
      </c>
      <c r="M25" s="15" t="n">
        <v>0.6977821913273751</v>
      </c>
      <c r="N25" s="14">
        <f>LEFT(I25,FIND("X",I25)-1)*RIGHT(I25,LEN(I25)-FIND("X",I25)-1)*M25</f>
        <v/>
      </c>
      <c r="O25" s="16">
        <f>(N25*L25)/1000</f>
        <v/>
      </c>
    </row>
    <row r="26" ht="15.75" customHeight="1">
      <c r="A26" s="234" t="n"/>
      <c r="B26" s="234" t="n"/>
      <c r="C26" s="175" t="inlineStr">
        <is>
          <t>SVG</t>
        </is>
      </c>
      <c r="D26" s="166" t="inlineStr">
        <is>
          <t>-</t>
        </is>
      </c>
      <c r="E26" s="166" t="n">
        <v>22</v>
      </c>
      <c r="F26" s="166" t="inlineStr">
        <is>
          <t>Single</t>
        </is>
      </c>
      <c r="G26" s="166" t="inlineStr">
        <is>
          <t>MCX 22 SVG</t>
        </is>
      </c>
      <c r="H26" s="166" t="inlineStr">
        <is>
          <t>74 X 154</t>
        </is>
      </c>
      <c r="I26" s="166" t="inlineStr">
        <is>
          <t>22 X 24</t>
        </is>
      </c>
      <c r="J26" s="166" t="n">
        <v>28</v>
      </c>
      <c r="K26" s="176" t="n">
        <v>100</v>
      </c>
      <c r="L26" s="25">
        <f>K26/J26</f>
        <v/>
      </c>
      <c r="M26" s="26" t="n">
        <v>0.4398148148148148</v>
      </c>
      <c r="N26" s="25">
        <f>LEFT(I26,FIND("X",I26)-1)*RIGHT(I26,LEN(I26)-FIND("X",I26)-1)*M26</f>
        <v/>
      </c>
      <c r="O26" s="27">
        <f>(N26*L26)/1000</f>
        <v/>
      </c>
    </row>
    <row r="27" ht="15" customHeight="1">
      <c r="A27" s="186" t="n">
        <v>9</v>
      </c>
      <c r="B27" s="187" t="inlineStr">
        <is>
          <t>MCX 24</t>
        </is>
      </c>
      <c r="C27" s="184" t="inlineStr">
        <is>
          <t>LVP</t>
        </is>
      </c>
      <c r="D27" s="180" t="inlineStr">
        <is>
          <t>Top</t>
        </is>
      </c>
      <c r="E27" s="180" t="n">
        <v>40</v>
      </c>
      <c r="F27" s="180" t="inlineStr">
        <is>
          <t>Single</t>
        </is>
      </c>
      <c r="G27" s="180" t="inlineStr">
        <is>
          <t>MCX 24 LVP</t>
        </is>
      </c>
      <c r="H27" s="180" t="inlineStr">
        <is>
          <t>61 X 198</t>
        </is>
      </c>
      <c r="I27" s="180" t="inlineStr">
        <is>
          <t>20 X 25</t>
        </is>
      </c>
      <c r="J27" s="180" t="n">
        <v>21</v>
      </c>
      <c r="K27" s="181" t="n"/>
      <c r="L27" s="31" t="n"/>
      <c r="M27" s="32" t="n">
        <v>0.6977821913273751</v>
      </c>
      <c r="N27" s="31" t="n"/>
      <c r="O27" s="33" t="n"/>
    </row>
    <row r="28" ht="15" customHeight="1">
      <c r="A28" s="232" t="n"/>
      <c r="B28" s="232" t="n"/>
      <c r="C28" s="235" t="n"/>
      <c r="D28" s="169" t="inlineStr">
        <is>
          <t>Bottom</t>
        </is>
      </c>
      <c r="E28" s="169" t="n">
        <v>40</v>
      </c>
      <c r="F28" s="169" t="inlineStr">
        <is>
          <t>Single</t>
        </is>
      </c>
      <c r="G28" s="180" t="inlineStr">
        <is>
          <t>MCX 24 LVP</t>
        </is>
      </c>
      <c r="H28" s="180" t="inlineStr">
        <is>
          <t>61 X 198</t>
        </is>
      </c>
      <c r="I28" s="180" t="inlineStr">
        <is>
          <t>20 X 25</t>
        </is>
      </c>
      <c r="J28" s="180" t="n">
        <v>21</v>
      </c>
      <c r="K28" s="171" t="n"/>
      <c r="L28" s="14" t="n"/>
      <c r="M28" s="15" t="n">
        <v>0.6977821913273751</v>
      </c>
      <c r="N28" s="14" t="n"/>
      <c r="O28" s="16" t="n"/>
    </row>
    <row r="29" ht="15.75" customHeight="1">
      <c r="A29" s="234" t="n"/>
      <c r="B29" s="234" t="n"/>
      <c r="C29" s="175" t="inlineStr">
        <is>
          <t>SVG</t>
        </is>
      </c>
      <c r="D29" s="166" t="inlineStr">
        <is>
          <t>-</t>
        </is>
      </c>
      <c r="E29" s="166" t="n">
        <v>22</v>
      </c>
      <c r="F29" s="166" t="inlineStr">
        <is>
          <t>Single</t>
        </is>
      </c>
      <c r="G29" s="166" t="inlineStr">
        <is>
          <t>MCX 24 SVG</t>
        </is>
      </c>
      <c r="H29" s="166" t="inlineStr">
        <is>
          <t>72 X 212</t>
        </is>
      </c>
      <c r="I29" s="166" t="inlineStr">
        <is>
          <t>20 X 25.5</t>
        </is>
      </c>
      <c r="J29" s="166" t="n">
        <v>18</v>
      </c>
      <c r="K29" s="176" t="n"/>
      <c r="L29" s="25" t="n"/>
      <c r="M29" s="26" t="n">
        <v>0.4398148148148148</v>
      </c>
      <c r="N29" s="25" t="n"/>
      <c r="O29" s="27" t="n"/>
    </row>
    <row r="30" ht="15" customHeight="1">
      <c r="A30" s="186" t="n">
        <v>10</v>
      </c>
      <c r="B30" s="187" t="inlineStr">
        <is>
          <t>MCX 25</t>
        </is>
      </c>
      <c r="C30" s="184" t="inlineStr">
        <is>
          <t>LVP</t>
        </is>
      </c>
      <c r="D30" s="180" t="inlineStr">
        <is>
          <t>Top</t>
        </is>
      </c>
      <c r="E30" s="180" t="n">
        <v>40</v>
      </c>
      <c r="F30" s="180" t="inlineStr">
        <is>
          <t>Single</t>
        </is>
      </c>
      <c r="G30" s="180" t="inlineStr">
        <is>
          <t>TOP MCX 25 LVP</t>
        </is>
      </c>
      <c r="H30" s="180" t="inlineStr">
        <is>
          <t>85 X 98</t>
        </is>
      </c>
      <c r="I30" s="180" t="inlineStr">
        <is>
          <t>22 X 23</t>
        </is>
      </c>
      <c r="J30" s="180" t="n">
        <v>30</v>
      </c>
      <c r="K30" s="181" t="n"/>
      <c r="L30" s="31" t="n"/>
      <c r="M30" s="32" t="n">
        <v>0.6977821913273751</v>
      </c>
      <c r="N30" s="31" t="n"/>
      <c r="O30" s="33" t="n"/>
    </row>
    <row r="31" ht="15" customHeight="1">
      <c r="A31" s="232" t="n"/>
      <c r="B31" s="232" t="n"/>
      <c r="C31" s="235" t="n"/>
      <c r="D31" s="169" t="inlineStr">
        <is>
          <t>Bottom</t>
        </is>
      </c>
      <c r="E31" s="169" t="n">
        <v>40</v>
      </c>
      <c r="F31" s="169" t="inlineStr">
        <is>
          <t>Single</t>
        </is>
      </c>
      <c r="G31" s="169" t="inlineStr">
        <is>
          <t>BOT.MCX 25 LVP</t>
        </is>
      </c>
      <c r="H31" s="169" t="inlineStr">
        <is>
          <t>94 X 108</t>
        </is>
      </c>
      <c r="I31" s="169" t="inlineStr">
        <is>
          <t>21 X 24</t>
        </is>
      </c>
      <c r="J31" s="169" t="n">
        <v>25</v>
      </c>
      <c r="K31" s="171" t="n"/>
      <c r="L31" s="14" t="n"/>
      <c r="M31" s="15" t="n">
        <v>0.6977821913273751</v>
      </c>
      <c r="N31" s="14" t="n"/>
      <c r="O31" s="16" t="n"/>
    </row>
    <row r="32" ht="15.75" customHeight="1">
      <c r="A32" s="234" t="n"/>
      <c r="B32" s="234" t="n"/>
      <c r="C32" s="175" t="inlineStr">
        <is>
          <t>SVG</t>
        </is>
      </c>
      <c r="D32" s="166" t="inlineStr">
        <is>
          <t>-</t>
        </is>
      </c>
      <c r="E32" s="166" t="n">
        <v>22</v>
      </c>
      <c r="F32" s="166" t="inlineStr">
        <is>
          <t>Single</t>
        </is>
      </c>
      <c r="G32" s="166" t="inlineStr">
        <is>
          <t>MCX 25 SVG</t>
        </is>
      </c>
      <c r="H32" s="166" t="inlineStr">
        <is>
          <t>108 X 120</t>
        </is>
      </c>
      <c r="I32" s="166" t="inlineStr">
        <is>
          <t>21 X 24</t>
        </is>
      </c>
      <c r="J32" s="166" t="n">
        <v>20</v>
      </c>
      <c r="K32" s="176" t="n"/>
      <c r="L32" s="25" t="n"/>
      <c r="M32" s="26" t="n">
        <v>0.4398148148148148</v>
      </c>
      <c r="N32" s="25" t="n"/>
      <c r="O32" s="27" t="n"/>
    </row>
    <row r="33" ht="15" customHeight="1">
      <c r="A33" s="186" t="n">
        <v>11</v>
      </c>
      <c r="B33" s="187" t="inlineStr">
        <is>
          <t>MCX 26</t>
        </is>
      </c>
      <c r="C33" s="184" t="inlineStr">
        <is>
          <t>LVP</t>
        </is>
      </c>
      <c r="D33" s="180" t="inlineStr">
        <is>
          <t>Top</t>
        </is>
      </c>
      <c r="E33" s="180" t="n">
        <v>40</v>
      </c>
      <c r="F33" s="180" t="inlineStr">
        <is>
          <t>Single</t>
        </is>
      </c>
      <c r="G33" s="180" t="inlineStr">
        <is>
          <t>MCX 26  LVP</t>
        </is>
      </c>
      <c r="H33" s="180" t="inlineStr">
        <is>
          <t>64 X 248</t>
        </is>
      </c>
      <c r="I33" s="180" t="inlineStr">
        <is>
          <t>21 X 24</t>
        </is>
      </c>
      <c r="J33" s="180" t="n">
        <v>16</v>
      </c>
      <c r="K33" s="181" t="n"/>
      <c r="L33" s="31" t="n"/>
      <c r="M33" s="32" t="n">
        <v>0.6977821913273751</v>
      </c>
      <c r="N33" s="31" t="n"/>
      <c r="O33" s="33" t="n"/>
    </row>
    <row r="34" ht="15" customHeight="1">
      <c r="A34" s="232" t="n"/>
      <c r="B34" s="232" t="n"/>
      <c r="C34" s="235" t="n"/>
      <c r="D34" s="169" t="inlineStr">
        <is>
          <t>Bottom</t>
        </is>
      </c>
      <c r="E34" s="169" t="n">
        <v>40</v>
      </c>
      <c r="F34" s="169" t="inlineStr">
        <is>
          <t>Single</t>
        </is>
      </c>
      <c r="G34" s="180" t="inlineStr">
        <is>
          <t>MCX 26  LVP</t>
        </is>
      </c>
      <c r="H34" s="180" t="inlineStr">
        <is>
          <t>64 X 248</t>
        </is>
      </c>
      <c r="I34" s="180" t="inlineStr">
        <is>
          <t>21 X 24</t>
        </is>
      </c>
      <c r="J34" s="180" t="n">
        <v>16</v>
      </c>
      <c r="K34" s="171" t="n"/>
      <c r="L34" s="14" t="n"/>
      <c r="M34" s="15" t="n">
        <v>0.6977821913273751</v>
      </c>
      <c r="N34" s="14" t="n"/>
      <c r="O34" s="16" t="n"/>
    </row>
    <row r="35" ht="15.75" customHeight="1">
      <c r="A35" s="234" t="n"/>
      <c r="B35" s="234" t="n"/>
      <c r="C35" s="175" t="inlineStr">
        <is>
          <t>SVG</t>
        </is>
      </c>
      <c r="D35" s="166" t="inlineStr">
        <is>
          <t>-</t>
        </is>
      </c>
      <c r="E35" s="166" t="n">
        <v>22</v>
      </c>
      <c r="F35" s="166" t="inlineStr">
        <is>
          <t>Single</t>
        </is>
      </c>
      <c r="G35" s="166" t="inlineStr">
        <is>
          <t>MCX 26 SVG</t>
        </is>
      </c>
      <c r="H35" s="166" t="inlineStr">
        <is>
          <t>76 X 260</t>
        </is>
      </c>
      <c r="I35" s="166" t="inlineStr">
        <is>
          <t>21 X 21.5</t>
        </is>
      </c>
      <c r="J35" s="166" t="n">
        <v>12</v>
      </c>
      <c r="K35" s="176" t="n"/>
      <c r="L35" s="25" t="n"/>
      <c r="M35" s="26" t="n">
        <v>0.4398148148148148</v>
      </c>
      <c r="N35" s="25" t="n"/>
      <c r="O35" s="27" t="n"/>
    </row>
    <row r="36" ht="15" customHeight="1">
      <c r="A36" s="186" t="n">
        <v>12</v>
      </c>
      <c r="B36" s="187" t="inlineStr">
        <is>
          <t>MCX 28</t>
        </is>
      </c>
      <c r="C36" s="184" t="inlineStr">
        <is>
          <t>LVP</t>
        </is>
      </c>
      <c r="D36" s="180" t="inlineStr">
        <is>
          <t>Top</t>
        </is>
      </c>
      <c r="E36" s="180" t="n">
        <v>40</v>
      </c>
      <c r="F36" s="180" t="inlineStr">
        <is>
          <t>Single</t>
        </is>
      </c>
      <c r="G36" s="180" t="inlineStr">
        <is>
          <t>MCX 28 LVP</t>
        </is>
      </c>
      <c r="H36" s="180" t="inlineStr">
        <is>
          <t>58 X 311</t>
        </is>
      </c>
      <c r="I36" s="180" t="inlineStr">
        <is>
          <t>22.5 X 25.5</t>
        </is>
      </c>
      <c r="J36" s="180" t="n">
        <v>16</v>
      </c>
      <c r="K36" s="181" t="n"/>
      <c r="L36" s="31" t="n"/>
      <c r="M36" s="32" t="n">
        <v>0.6977821913273751</v>
      </c>
      <c r="N36" s="31" t="n"/>
      <c r="O36" s="33" t="n"/>
    </row>
    <row r="37" ht="15" customHeight="1">
      <c r="A37" s="232" t="n"/>
      <c r="B37" s="232" t="n"/>
      <c r="C37" s="235" t="n"/>
      <c r="D37" s="169" t="inlineStr">
        <is>
          <t>Bottom</t>
        </is>
      </c>
      <c r="E37" s="169" t="n">
        <v>40</v>
      </c>
      <c r="F37" s="169" t="inlineStr">
        <is>
          <t>Single</t>
        </is>
      </c>
      <c r="G37" s="180" t="inlineStr">
        <is>
          <t>MCX 28 LVP</t>
        </is>
      </c>
      <c r="H37" s="180" t="inlineStr">
        <is>
          <t>58 X 311</t>
        </is>
      </c>
      <c r="I37" s="180" t="inlineStr">
        <is>
          <t>22.5 X 25.5</t>
        </is>
      </c>
      <c r="J37" s="169" t="n">
        <v>16</v>
      </c>
      <c r="K37" s="171" t="n"/>
      <c r="L37" s="14" t="n"/>
      <c r="M37" s="15" t="n">
        <v>0.6977821913273751</v>
      </c>
      <c r="N37" s="14" t="n"/>
      <c r="O37" s="16" t="n"/>
    </row>
    <row r="38" ht="15.75" customHeight="1">
      <c r="A38" s="234" t="n"/>
      <c r="B38" s="234" t="n"/>
      <c r="C38" s="175" t="inlineStr">
        <is>
          <t>SVG</t>
        </is>
      </c>
      <c r="D38" s="166" t="inlineStr">
        <is>
          <t>-</t>
        </is>
      </c>
      <c r="E38" s="166" t="n">
        <v>22</v>
      </c>
      <c r="F38" s="166" t="inlineStr">
        <is>
          <t>Single</t>
        </is>
      </c>
      <c r="G38" s="166" t="inlineStr">
        <is>
          <t>MCX 28 SVG</t>
        </is>
      </c>
      <c r="H38" s="166" t="inlineStr">
        <is>
          <t>69 X 323</t>
        </is>
      </c>
      <c r="I38" s="166" t="inlineStr">
        <is>
          <t>23 X 26.5</t>
        </is>
      </c>
      <c r="J38" s="166" t="n">
        <v>14</v>
      </c>
      <c r="K38" s="176" t="n"/>
      <c r="L38" s="25" t="n"/>
      <c r="M38" s="26" t="n">
        <v>0.4398148148148148</v>
      </c>
      <c r="N38" s="25" t="n"/>
      <c r="O38" s="27" t="n"/>
    </row>
    <row r="39" ht="15" customHeight="1">
      <c r="A39" s="186" t="n">
        <v>13</v>
      </c>
      <c r="B39" s="187" t="inlineStr">
        <is>
          <t>MCX 35</t>
        </is>
      </c>
      <c r="C39" s="184" t="inlineStr">
        <is>
          <t>LVP</t>
        </is>
      </c>
      <c r="D39" s="180" t="inlineStr">
        <is>
          <t>Top</t>
        </is>
      </c>
      <c r="E39" s="180" t="n">
        <v>40</v>
      </c>
      <c r="F39" s="180" t="inlineStr">
        <is>
          <t>Single</t>
        </is>
      </c>
      <c r="G39" s="180" t="inlineStr">
        <is>
          <t>MCX 35 TOP LVP</t>
        </is>
      </c>
      <c r="H39" s="180" t="inlineStr">
        <is>
          <t>94 X 145</t>
        </is>
      </c>
      <c r="I39" s="180" t="inlineStr">
        <is>
          <t>21 X 25</t>
        </is>
      </c>
      <c r="J39" s="180" t="n">
        <v>20</v>
      </c>
      <c r="K39" s="181" t="n"/>
      <c r="L39" s="31" t="n"/>
      <c r="M39" s="32" t="n">
        <v>0.6977821913273751</v>
      </c>
      <c r="N39" s="31" t="n"/>
      <c r="O39" s="33" t="n"/>
    </row>
    <row r="40" ht="15" customHeight="1">
      <c r="A40" s="232" t="n"/>
      <c r="B40" s="232" t="n"/>
      <c r="C40" s="235" t="n"/>
      <c r="D40" s="169" t="inlineStr">
        <is>
          <t>Bottom</t>
        </is>
      </c>
      <c r="E40" s="169" t="n">
        <v>40</v>
      </c>
      <c r="F40" s="169" t="inlineStr">
        <is>
          <t>Single</t>
        </is>
      </c>
      <c r="G40" s="169" t="inlineStr">
        <is>
          <t>MCX 35 BOT. LVP</t>
        </is>
      </c>
      <c r="H40" s="169" t="inlineStr">
        <is>
          <t>104 X 154</t>
        </is>
      </c>
      <c r="I40" s="169" t="inlineStr">
        <is>
          <t>20 X 23</t>
        </is>
      </c>
      <c r="J40" s="169" t="n">
        <v>15</v>
      </c>
      <c r="K40" s="171" t="n"/>
      <c r="L40" s="14" t="n"/>
      <c r="M40" s="15" t="n">
        <v>0.6977821913273751</v>
      </c>
      <c r="N40" s="14" t="n"/>
      <c r="O40" s="16" t="n"/>
    </row>
    <row r="41" ht="15.75" customHeight="1">
      <c r="A41" s="234" t="n"/>
      <c r="B41" s="234" t="n"/>
      <c r="C41" s="175" t="inlineStr">
        <is>
          <t>SVG</t>
        </is>
      </c>
      <c r="D41" s="166" t="inlineStr">
        <is>
          <t>-</t>
        </is>
      </c>
      <c r="E41" s="166" t="n">
        <v>22</v>
      </c>
      <c r="F41" s="166" t="inlineStr">
        <is>
          <t>Single</t>
        </is>
      </c>
      <c r="G41" s="166" t="inlineStr">
        <is>
          <t>MCX 35 SVG</t>
        </is>
      </c>
      <c r="H41" s="166" t="inlineStr">
        <is>
          <t>121 X 172</t>
        </is>
      </c>
      <c r="I41" s="166" t="inlineStr">
        <is>
          <t>21 X 22</t>
        </is>
      </c>
      <c r="J41" s="166" t="n">
        <v>12</v>
      </c>
      <c r="K41" s="176" t="n"/>
      <c r="L41" s="25" t="n"/>
      <c r="M41" s="26" t="n">
        <v>0.4398148148148148</v>
      </c>
      <c r="N41" s="25" t="n"/>
      <c r="O41" s="27" t="n"/>
    </row>
    <row r="42" ht="15" customHeight="1">
      <c r="A42" s="186" t="n">
        <v>14</v>
      </c>
      <c r="B42" s="187" t="inlineStr">
        <is>
          <t>MCX 40</t>
        </is>
      </c>
      <c r="C42" s="184" t="inlineStr">
        <is>
          <t>LVP</t>
        </is>
      </c>
      <c r="D42" s="180" t="inlineStr">
        <is>
          <t>Top</t>
        </is>
      </c>
      <c r="E42" s="180" t="n">
        <v>60</v>
      </c>
      <c r="F42" s="180" t="inlineStr">
        <is>
          <t>Single</t>
        </is>
      </c>
      <c r="G42" s="180" t="inlineStr">
        <is>
          <t>MCX 40 TOP LVP</t>
        </is>
      </c>
      <c r="H42" s="180" t="inlineStr">
        <is>
          <t>76 X 168</t>
        </is>
      </c>
      <c r="I42" s="180" t="inlineStr">
        <is>
          <t>21 X 24</t>
        </is>
      </c>
      <c r="J42" s="180" t="n">
        <v>21</v>
      </c>
      <c r="K42" s="181" t="n">
        <v>500</v>
      </c>
      <c r="L42" s="31">
        <f>K42/J42</f>
        <v/>
      </c>
      <c r="M42" s="32" t="n">
        <v>1.103988603988604</v>
      </c>
      <c r="N42" s="31">
        <f>LEFT(I42,FIND("X",I42)-1)*RIGHT(I42,LEN(I42)-FIND("X",I42)-1)*M42</f>
        <v/>
      </c>
      <c r="O42" s="33">
        <f>(N42*L42)/1000</f>
        <v/>
      </c>
    </row>
    <row r="43" ht="15" customHeight="1">
      <c r="A43" s="232" t="n"/>
      <c r="B43" s="232" t="n"/>
      <c r="C43" s="235" t="n"/>
      <c r="D43" s="169" t="inlineStr">
        <is>
          <t>Bottom</t>
        </is>
      </c>
      <c r="E43" s="169" t="n">
        <v>40</v>
      </c>
      <c r="F43" s="169" t="inlineStr">
        <is>
          <t>Single</t>
        </is>
      </c>
      <c r="G43" s="169" t="inlineStr">
        <is>
          <t>MCX 40 BOT LVP</t>
        </is>
      </c>
      <c r="H43" s="169" t="inlineStr">
        <is>
          <t>88 X 178</t>
        </is>
      </c>
      <c r="I43" s="169" t="inlineStr">
        <is>
          <t>20 X 23</t>
        </is>
      </c>
      <c r="J43" s="169" t="n">
        <v>15</v>
      </c>
      <c r="K43" s="181" t="n">
        <v>500</v>
      </c>
      <c r="L43" s="14">
        <f>K43/J43</f>
        <v/>
      </c>
      <c r="M43" s="15" t="n">
        <v>0.6977821913273751</v>
      </c>
      <c r="N43" s="14">
        <f>LEFT(I43,FIND("X",I43)-1)*RIGHT(I43,LEN(I43)-FIND("X",I43)-1)*M43</f>
        <v/>
      </c>
      <c r="O43" s="16">
        <f>(N43*L43)/1000</f>
        <v/>
      </c>
    </row>
    <row r="44" ht="15.75" customHeight="1">
      <c r="A44" s="234" t="n"/>
      <c r="B44" s="234" t="n"/>
      <c r="C44" s="175" t="inlineStr">
        <is>
          <t>SVG</t>
        </is>
      </c>
      <c r="D44" s="166" t="inlineStr">
        <is>
          <t>-</t>
        </is>
      </c>
      <c r="E44" s="166" t="n">
        <v>22</v>
      </c>
      <c r="F44" s="166" t="inlineStr">
        <is>
          <t>Single</t>
        </is>
      </c>
      <c r="G44" s="166" t="inlineStr">
        <is>
          <t>MCX 40 SVG</t>
        </is>
      </c>
      <c r="H44" s="166" t="inlineStr">
        <is>
          <t>103 X 193</t>
        </is>
      </c>
      <c r="I44" s="166" t="inlineStr">
        <is>
          <t>18 X 24</t>
        </is>
      </c>
      <c r="J44" s="166" t="n">
        <v>12</v>
      </c>
      <c r="K44" s="176" t="n">
        <v>500</v>
      </c>
      <c r="L44" s="25">
        <f>K44/J44</f>
        <v/>
      </c>
      <c r="M44" s="26" t="n">
        <v>0.4398148148148148</v>
      </c>
      <c r="N44" s="25">
        <f>LEFT(I44,FIND("X",I44)-1)*RIGHT(I44,LEN(I44)-FIND("X",I44)-1)*M44</f>
        <v/>
      </c>
      <c r="O44" s="27">
        <f>(N44*L44)/1000</f>
        <v/>
      </c>
    </row>
    <row r="45" ht="15" customHeight="1">
      <c r="A45" s="186" t="n">
        <v>15</v>
      </c>
      <c r="B45" s="187" t="inlineStr">
        <is>
          <t>MCX 42</t>
        </is>
      </c>
      <c r="C45" s="184" t="inlineStr">
        <is>
          <t>LVP</t>
        </is>
      </c>
      <c r="D45" s="180" t="inlineStr">
        <is>
          <t>Top</t>
        </is>
      </c>
      <c r="E45" s="180" t="n">
        <v>60</v>
      </c>
      <c r="F45" s="180" t="inlineStr">
        <is>
          <t>Single</t>
        </is>
      </c>
      <c r="G45" s="180" t="inlineStr">
        <is>
          <t>MCX 42 TOP LVP</t>
        </is>
      </c>
      <c r="H45" s="180" t="inlineStr">
        <is>
          <t>100 X 227</t>
        </is>
      </c>
      <c r="I45" s="180" t="inlineStr">
        <is>
          <t>19 X 22</t>
        </is>
      </c>
      <c r="J45" s="180" t="n">
        <v>10</v>
      </c>
      <c r="K45" s="181" t="n"/>
      <c r="L45" s="31" t="n"/>
      <c r="M45" s="32" t="n">
        <v>1.103988603988604</v>
      </c>
      <c r="N45" s="31" t="n"/>
      <c r="O45" s="33" t="n"/>
    </row>
    <row r="46" ht="15" customHeight="1">
      <c r="A46" s="232" t="n"/>
      <c r="B46" s="232" t="n"/>
      <c r="C46" s="235" t="n"/>
      <c r="D46" s="169" t="inlineStr">
        <is>
          <t>Bottom</t>
        </is>
      </c>
      <c r="E46" s="169" t="n">
        <v>40</v>
      </c>
      <c r="F46" s="169" t="inlineStr">
        <is>
          <t>Single</t>
        </is>
      </c>
      <c r="G46" s="169" t="inlineStr">
        <is>
          <t>MCX 42 BOT LVP</t>
        </is>
      </c>
      <c r="H46" s="169" t="inlineStr">
        <is>
          <t>108 X 236</t>
        </is>
      </c>
      <c r="I46" s="169" t="inlineStr">
        <is>
          <t>20 X 24</t>
        </is>
      </c>
      <c r="J46" s="169" t="n">
        <v>10</v>
      </c>
      <c r="K46" s="171" t="n"/>
      <c r="L46" s="14" t="n"/>
      <c r="M46" s="15" t="n">
        <v>0.6977821913273751</v>
      </c>
      <c r="N46" s="14" t="n"/>
      <c r="O46" s="16" t="n"/>
    </row>
    <row r="47" ht="15.75" customHeight="1">
      <c r="A47" s="234" t="n"/>
      <c r="B47" s="234" t="n"/>
      <c r="C47" s="175" t="inlineStr">
        <is>
          <t>SVG</t>
        </is>
      </c>
      <c r="D47" s="166" t="inlineStr">
        <is>
          <t>-</t>
        </is>
      </c>
      <c r="E47" s="166" t="n">
        <v>22</v>
      </c>
      <c r="F47" s="166" t="inlineStr">
        <is>
          <t>Single</t>
        </is>
      </c>
      <c r="G47" s="166" t="inlineStr">
        <is>
          <t>MCX 42 SVG</t>
        </is>
      </c>
      <c r="H47" s="166" t="inlineStr">
        <is>
          <t>122 X 252</t>
        </is>
      </c>
      <c r="I47" s="166" t="inlineStr">
        <is>
          <t>21 X 21</t>
        </is>
      </c>
      <c r="J47" s="166" t="n">
        <v>8</v>
      </c>
      <c r="K47" s="176" t="n"/>
      <c r="L47" s="25" t="n"/>
      <c r="M47" s="26" t="n">
        <v>0.4398148148148148</v>
      </c>
      <c r="N47" s="25" t="n"/>
      <c r="O47" s="27" t="n"/>
    </row>
    <row r="48" ht="15" customHeight="1">
      <c r="A48" s="186" t="n">
        <v>16</v>
      </c>
      <c r="B48" s="187" t="inlineStr">
        <is>
          <t>MCX 44</t>
        </is>
      </c>
      <c r="C48" s="184" t="inlineStr">
        <is>
          <t>LVP</t>
        </is>
      </c>
      <c r="D48" s="180" t="inlineStr">
        <is>
          <t>Top</t>
        </is>
      </c>
      <c r="E48" s="180" t="n">
        <v>60</v>
      </c>
      <c r="F48" s="180" t="inlineStr">
        <is>
          <t>Single</t>
        </is>
      </c>
      <c r="G48" s="180" t="inlineStr">
        <is>
          <t>MCX 44 TOP LVP</t>
        </is>
      </c>
      <c r="H48" s="180" t="inlineStr">
        <is>
          <t>100 X 308</t>
        </is>
      </c>
      <c r="I48" s="180" t="inlineStr">
        <is>
          <t>18 X 25</t>
        </is>
      </c>
      <c r="J48" s="180" t="n">
        <v>8</v>
      </c>
      <c r="K48" s="181" t="n"/>
      <c r="L48" s="31" t="n"/>
      <c r="M48" s="32" t="n">
        <v>1.103988603988604</v>
      </c>
      <c r="N48" s="31" t="n"/>
      <c r="O48" s="33" t="n"/>
    </row>
    <row r="49" ht="15" customHeight="1">
      <c r="A49" s="232" t="n"/>
      <c r="B49" s="232" t="n"/>
      <c r="C49" s="235" t="n"/>
      <c r="D49" s="169" t="inlineStr">
        <is>
          <t>Bottom</t>
        </is>
      </c>
      <c r="E49" s="169" t="n">
        <v>40</v>
      </c>
      <c r="F49" s="169" t="inlineStr">
        <is>
          <t>Single</t>
        </is>
      </c>
      <c r="G49" s="169" t="inlineStr">
        <is>
          <t>MCX 44 BOT LVP</t>
        </is>
      </c>
      <c r="H49" s="169" t="inlineStr">
        <is>
          <t>110 X 320</t>
        </is>
      </c>
      <c r="I49" s="169" t="inlineStr">
        <is>
          <t>24 X 26</t>
        </is>
      </c>
      <c r="J49" s="169" t="n">
        <v>10</v>
      </c>
      <c r="K49" s="171" t="n"/>
      <c r="L49" s="14" t="n"/>
      <c r="M49" s="15" t="n">
        <v>0.6977821913273751</v>
      </c>
      <c r="N49" s="14" t="n"/>
      <c r="O49" s="16" t="n"/>
    </row>
    <row r="50" ht="15.75" customHeight="1">
      <c r="A50" s="234" t="n"/>
      <c r="B50" s="234" t="n"/>
      <c r="C50" s="175" t="inlineStr">
        <is>
          <t>SVG</t>
        </is>
      </c>
      <c r="D50" s="166" t="inlineStr">
        <is>
          <t>-</t>
        </is>
      </c>
      <c r="E50" s="166" t="n">
        <v>22</v>
      </c>
      <c r="F50" s="166" t="inlineStr">
        <is>
          <t>Single</t>
        </is>
      </c>
      <c r="G50" s="166" t="inlineStr">
        <is>
          <t>MCX 44 SVG</t>
        </is>
      </c>
      <c r="H50" s="166" t="inlineStr">
        <is>
          <t>125 X 338</t>
        </is>
      </c>
      <c r="I50" s="166" t="inlineStr">
        <is>
          <t>14 X 22</t>
        </is>
      </c>
      <c r="J50" s="166" t="n">
        <v>4</v>
      </c>
      <c r="K50" s="176" t="n"/>
      <c r="L50" s="25" t="n"/>
      <c r="M50" s="26" t="n">
        <v>0.4398148148148148</v>
      </c>
      <c r="N50" s="25" t="n"/>
      <c r="O50" s="27" t="n"/>
    </row>
    <row r="51" ht="15" customHeight="1">
      <c r="A51" s="186" t="n">
        <v>16</v>
      </c>
      <c r="B51" s="187" t="inlineStr">
        <is>
          <t>MCX 45</t>
        </is>
      </c>
      <c r="C51" s="184" t="inlineStr">
        <is>
          <t>LVP</t>
        </is>
      </c>
      <c r="D51" s="180" t="inlineStr">
        <is>
          <t>Top</t>
        </is>
      </c>
      <c r="E51" s="180" t="n">
        <v>40</v>
      </c>
      <c r="F51" s="180" t="inlineStr">
        <is>
          <t>Single</t>
        </is>
      </c>
      <c r="G51" s="180" t="inlineStr">
        <is>
          <t>MCX 45 LVP</t>
        </is>
      </c>
      <c r="H51" s="180" t="inlineStr">
        <is>
          <t>158 X 209</t>
        </is>
      </c>
      <c r="I51" s="180" t="inlineStr">
        <is>
          <t>18 X 20</t>
        </is>
      </c>
      <c r="J51" s="180" t="n">
        <v>6</v>
      </c>
      <c r="K51" s="181" t="n"/>
      <c r="L51" s="31" t="n"/>
      <c r="M51" s="32" t="n">
        <v>0.6977821913273751</v>
      </c>
      <c r="N51" s="31" t="n"/>
      <c r="O51" s="33" t="n"/>
    </row>
    <row r="52" ht="15" customHeight="1">
      <c r="A52" s="232" t="n"/>
      <c r="B52" s="232" t="n"/>
      <c r="C52" s="235" t="n"/>
      <c r="D52" s="169" t="inlineStr">
        <is>
          <t>Bottom</t>
        </is>
      </c>
      <c r="E52" s="169" t="n">
        <v>40</v>
      </c>
      <c r="F52" s="169" t="inlineStr">
        <is>
          <t>Single</t>
        </is>
      </c>
      <c r="G52" s="180" t="inlineStr">
        <is>
          <t>MCX 45 LVP</t>
        </is>
      </c>
      <c r="H52" s="180" t="inlineStr">
        <is>
          <t>158 X 209</t>
        </is>
      </c>
      <c r="I52" s="180" t="inlineStr">
        <is>
          <t>18 X 20</t>
        </is>
      </c>
      <c r="J52" s="180" t="n">
        <v>6</v>
      </c>
      <c r="K52" s="171" t="n"/>
      <c r="L52" s="14" t="n"/>
      <c r="M52" s="15" t="n">
        <v>0.6977821913273751</v>
      </c>
      <c r="N52" s="14" t="n"/>
      <c r="O52" s="16" t="n"/>
    </row>
    <row r="53" ht="15.75" customHeight="1">
      <c r="A53" s="234" t="n"/>
      <c r="B53" s="234" t="n"/>
      <c r="C53" s="175" t="inlineStr">
        <is>
          <t>SVG</t>
        </is>
      </c>
      <c r="D53" s="166" t="inlineStr">
        <is>
          <t>-</t>
        </is>
      </c>
      <c r="E53" s="166" t="n">
        <v>22</v>
      </c>
      <c r="F53" s="166" t="inlineStr">
        <is>
          <t>Single</t>
        </is>
      </c>
      <c r="G53" s="166" t="inlineStr">
        <is>
          <t>MCX 45 SVG</t>
        </is>
      </c>
      <c r="H53" s="166" t="inlineStr">
        <is>
          <t>171 X 222</t>
        </is>
      </c>
      <c r="I53" s="166" t="inlineStr">
        <is>
          <t>18.5 X 22</t>
        </is>
      </c>
      <c r="J53" s="166" t="n">
        <v>6</v>
      </c>
      <c r="K53" s="176" t="n"/>
      <c r="L53" s="25" t="n"/>
      <c r="M53" s="26" t="n">
        <v>0.4398148148148148</v>
      </c>
      <c r="N53" s="25" t="n"/>
      <c r="O53" s="27" t="n"/>
    </row>
    <row r="54" ht="15" customHeight="1">
      <c r="A54" s="186" t="n">
        <v>17</v>
      </c>
      <c r="B54" s="187" t="inlineStr">
        <is>
          <t>MCX 46</t>
        </is>
      </c>
      <c r="C54" s="184" t="inlineStr">
        <is>
          <t>LVP</t>
        </is>
      </c>
      <c r="D54" s="180" t="inlineStr">
        <is>
          <t>Top</t>
        </is>
      </c>
      <c r="E54" s="180" t="n">
        <v>40</v>
      </c>
      <c r="F54" s="180" t="inlineStr">
        <is>
          <t>Single</t>
        </is>
      </c>
      <c r="G54" s="180" t="inlineStr">
        <is>
          <t>MCX 46 LVP</t>
        </is>
      </c>
      <c r="H54" s="180" t="inlineStr">
        <is>
          <t>128 X 389</t>
        </is>
      </c>
      <c r="I54" s="180" t="inlineStr">
        <is>
          <t>16 X 23</t>
        </is>
      </c>
      <c r="J54" s="180" t="n">
        <v>4</v>
      </c>
      <c r="K54" s="181" t="n"/>
      <c r="L54" s="31" t="n"/>
      <c r="M54" s="32" t="n">
        <v>0.6977821913273751</v>
      </c>
      <c r="N54" s="31" t="n"/>
      <c r="O54" s="33" t="n"/>
    </row>
    <row r="55" ht="15" customHeight="1">
      <c r="A55" s="232" t="n"/>
      <c r="B55" s="232" t="n"/>
      <c r="C55" s="235" t="n"/>
      <c r="D55" s="169" t="inlineStr">
        <is>
          <t>Bottom</t>
        </is>
      </c>
      <c r="E55" s="169" t="n">
        <v>40</v>
      </c>
      <c r="F55" s="169" t="inlineStr">
        <is>
          <t>Single</t>
        </is>
      </c>
      <c r="G55" s="180" t="inlineStr">
        <is>
          <t>MCX 46 LVP</t>
        </is>
      </c>
      <c r="H55" s="180" t="inlineStr">
        <is>
          <t>128 X 389</t>
        </is>
      </c>
      <c r="I55" s="180" t="inlineStr">
        <is>
          <t>16 X 23</t>
        </is>
      </c>
      <c r="J55" s="180" t="n">
        <v>4</v>
      </c>
      <c r="K55" s="171" t="n"/>
      <c r="L55" s="14" t="n"/>
      <c r="M55" s="15" t="n">
        <v>0.6977821913273751</v>
      </c>
      <c r="N55" s="14" t="n"/>
      <c r="O55" s="16" t="n"/>
    </row>
    <row r="56" ht="15.75" customHeight="1">
      <c r="A56" s="234" t="n"/>
      <c r="B56" s="234" t="n"/>
      <c r="C56" s="175" t="inlineStr">
        <is>
          <t>SVG</t>
        </is>
      </c>
      <c r="D56" s="166" t="inlineStr">
        <is>
          <t>-</t>
        </is>
      </c>
      <c r="E56" s="166" t="n">
        <v>22</v>
      </c>
      <c r="F56" s="166" t="inlineStr">
        <is>
          <t>Single</t>
        </is>
      </c>
      <c r="G56" s="166" t="inlineStr">
        <is>
          <t>MCX 46 SVG</t>
        </is>
      </c>
      <c r="H56" s="166" t="inlineStr">
        <is>
          <t>145 X 406</t>
        </is>
      </c>
      <c r="I56" s="166" t="inlineStr">
        <is>
          <t>17 X 25</t>
        </is>
      </c>
      <c r="J56" s="166" t="n">
        <v>4</v>
      </c>
      <c r="K56" s="176" t="n"/>
      <c r="L56" s="25" t="n"/>
      <c r="M56" s="26" t="n">
        <v>0.4398148148148148</v>
      </c>
      <c r="N56" s="25" t="n"/>
      <c r="O56" s="27" t="n"/>
    </row>
    <row r="57" ht="15" customHeight="1">
      <c r="A57" s="186" t="n">
        <v>18</v>
      </c>
      <c r="B57" s="187" t="inlineStr">
        <is>
          <t>MCX 50</t>
        </is>
      </c>
      <c r="C57" s="184" t="inlineStr">
        <is>
          <t>LVP</t>
        </is>
      </c>
      <c r="D57" s="180" t="inlineStr">
        <is>
          <t>Top</t>
        </is>
      </c>
      <c r="E57" s="180" t="n">
        <v>60</v>
      </c>
      <c r="F57" s="180" t="inlineStr">
        <is>
          <t>Single</t>
        </is>
      </c>
      <c r="G57" s="180" t="inlineStr">
        <is>
          <t>MCX 50 LVP</t>
        </is>
      </c>
      <c r="H57" s="180" t="inlineStr">
        <is>
          <t>178 X 539</t>
        </is>
      </c>
      <c r="I57" s="180" t="inlineStr">
        <is>
          <t>22 X 23</t>
        </is>
      </c>
      <c r="J57" s="180" t="n">
        <v>3</v>
      </c>
      <c r="K57" s="181" t="n"/>
      <c r="L57" s="31" t="n"/>
      <c r="M57" s="32" t="n">
        <v>1.103988603988604</v>
      </c>
      <c r="N57" s="31" t="n"/>
      <c r="O57" s="33" t="n"/>
    </row>
    <row r="58" ht="15" customHeight="1">
      <c r="A58" s="232" t="n"/>
      <c r="B58" s="232" t="n"/>
      <c r="C58" s="235" t="n"/>
      <c r="D58" s="169" t="inlineStr">
        <is>
          <t>Bottom</t>
        </is>
      </c>
      <c r="E58" s="169" t="n">
        <v>40</v>
      </c>
      <c r="F58" s="169" t="inlineStr">
        <is>
          <t>Single</t>
        </is>
      </c>
      <c r="G58" s="180" t="inlineStr">
        <is>
          <t>MCX 50 LVP</t>
        </is>
      </c>
      <c r="H58" s="180" t="inlineStr">
        <is>
          <t>178 X 539</t>
        </is>
      </c>
      <c r="I58" s="180" t="inlineStr">
        <is>
          <t>22 X 23</t>
        </is>
      </c>
      <c r="J58" s="180" t="n">
        <v>3</v>
      </c>
      <c r="K58" s="171" t="n"/>
      <c r="L58" s="14" t="n"/>
      <c r="M58" s="15" t="n">
        <v>0.6977821913273751</v>
      </c>
      <c r="N58" s="14" t="n"/>
      <c r="O58" s="16" t="n"/>
    </row>
    <row r="59" ht="15.75" customHeight="1">
      <c r="A59" s="234" t="n"/>
      <c r="B59" s="234" t="n"/>
      <c r="C59" s="175" t="inlineStr">
        <is>
          <t>SVG</t>
        </is>
      </c>
      <c r="D59" s="166" t="inlineStr">
        <is>
          <t>-</t>
        </is>
      </c>
      <c r="E59" s="166" t="n">
        <v>22</v>
      </c>
      <c r="F59" s="166" t="inlineStr">
        <is>
          <t>Single</t>
        </is>
      </c>
      <c r="G59" s="166" t="inlineStr">
        <is>
          <t>MCX 50 SVG</t>
        </is>
      </c>
      <c r="H59" s="166" t="inlineStr">
        <is>
          <t>196 X 558</t>
        </is>
      </c>
      <c r="I59" s="166" t="inlineStr">
        <is>
          <t>22.5 X 25</t>
        </is>
      </c>
      <c r="J59" s="166" t="n">
        <v>3</v>
      </c>
      <c r="K59" s="176" t="n"/>
      <c r="L59" s="25" t="n"/>
      <c r="M59" s="26" t="n">
        <v>0.4398148148148148</v>
      </c>
      <c r="N59" s="25" t="n"/>
      <c r="O59" s="27" t="n"/>
    </row>
    <row r="60" ht="15" customHeight="1">
      <c r="A60" s="186" t="n">
        <v>19</v>
      </c>
      <c r="B60" s="187" t="inlineStr">
        <is>
          <t>MCX 52</t>
        </is>
      </c>
      <c r="C60" s="184" t="inlineStr">
        <is>
          <t>LVP</t>
        </is>
      </c>
      <c r="D60" s="180" t="inlineStr">
        <is>
          <t>Top</t>
        </is>
      </c>
      <c r="E60" s="180" t="n">
        <v>60</v>
      </c>
      <c r="F60" s="180" t="inlineStr">
        <is>
          <t>Single</t>
        </is>
      </c>
      <c r="G60" s="180" t="inlineStr">
        <is>
          <t>MCX 52/54 LVP</t>
        </is>
      </c>
      <c r="H60" s="180" t="inlineStr">
        <is>
          <t>240 X 559</t>
        </is>
      </c>
      <c r="I60" s="180" t="inlineStr">
        <is>
          <t>22 X 23</t>
        </is>
      </c>
      <c r="J60" s="180" t="n">
        <v>2</v>
      </c>
      <c r="K60" s="181" t="n"/>
      <c r="L60" s="31" t="n"/>
      <c r="M60" s="32" t="n">
        <v>1.103988603988604</v>
      </c>
      <c r="N60" s="31" t="n"/>
      <c r="O60" s="33" t="n"/>
    </row>
    <row r="61" ht="15" customHeight="1">
      <c r="A61" s="232" t="n"/>
      <c r="B61" s="232" t="n"/>
      <c r="C61" s="235" t="n"/>
      <c r="D61" s="169" t="inlineStr">
        <is>
          <t>Bottom</t>
        </is>
      </c>
      <c r="E61" s="169" t="n">
        <v>40</v>
      </c>
      <c r="F61" s="169" t="inlineStr">
        <is>
          <t>Single</t>
        </is>
      </c>
      <c r="G61" s="180" t="inlineStr">
        <is>
          <t>MCX 52/54 LVP</t>
        </is>
      </c>
      <c r="H61" s="180" t="inlineStr">
        <is>
          <t>240 X 559</t>
        </is>
      </c>
      <c r="I61" s="180" t="inlineStr">
        <is>
          <t>22 X 23</t>
        </is>
      </c>
      <c r="J61" s="180" t="n">
        <v>2</v>
      </c>
      <c r="K61" s="171" t="n"/>
      <c r="L61" s="14" t="n"/>
      <c r="M61" s="15" t="n">
        <v>0.6977821913273751</v>
      </c>
      <c r="N61" s="14" t="n"/>
      <c r="O61" s="16" t="n"/>
    </row>
    <row r="62" ht="15.75" customHeight="1">
      <c r="A62" s="234" t="n"/>
      <c r="B62" s="234" t="n"/>
      <c r="C62" s="175" t="inlineStr">
        <is>
          <t>SVG</t>
        </is>
      </c>
      <c r="D62" s="166" t="inlineStr">
        <is>
          <t>-</t>
        </is>
      </c>
      <c r="E62" s="166" t="n">
        <v>22</v>
      </c>
      <c r="F62" s="166" t="inlineStr">
        <is>
          <t>Single</t>
        </is>
      </c>
      <c r="G62" s="166" t="inlineStr">
        <is>
          <t>MCX 52/54 SVG</t>
        </is>
      </c>
      <c r="H62" s="166" t="inlineStr">
        <is>
          <t>258 X 577</t>
        </is>
      </c>
      <c r="I62" s="166" t="inlineStr">
        <is>
          <t>21 X 22.5</t>
        </is>
      </c>
      <c r="J62" s="166" t="n">
        <v>2</v>
      </c>
      <c r="K62" s="176" t="n"/>
      <c r="L62" s="25" t="n"/>
      <c r="M62" s="26" t="n">
        <v>0.4398148148148148</v>
      </c>
      <c r="N62" s="25" t="n"/>
      <c r="O62" s="27" t="n"/>
    </row>
    <row r="63" ht="15" customHeight="1">
      <c r="A63" s="186" t="n">
        <v>20</v>
      </c>
      <c r="B63" s="187" t="inlineStr">
        <is>
          <t>MCX 54</t>
        </is>
      </c>
      <c r="C63" s="184" t="inlineStr">
        <is>
          <t>LVP</t>
        </is>
      </c>
      <c r="D63" s="180" t="inlineStr">
        <is>
          <t>Top</t>
        </is>
      </c>
      <c r="E63" s="180" t="n">
        <v>60</v>
      </c>
      <c r="F63" s="180" t="inlineStr">
        <is>
          <t>Single</t>
        </is>
      </c>
      <c r="G63" s="180" t="inlineStr">
        <is>
          <t>MCX 52/54 LVP</t>
        </is>
      </c>
      <c r="H63" s="180" t="inlineStr">
        <is>
          <t>240 X 559</t>
        </is>
      </c>
      <c r="I63" s="180" t="inlineStr">
        <is>
          <t>22 X 23</t>
        </is>
      </c>
      <c r="J63" s="180" t="n">
        <v>2</v>
      </c>
      <c r="K63" s="181" t="n"/>
      <c r="L63" s="31" t="n"/>
      <c r="M63" s="32" t="n">
        <v>1.103988603988604</v>
      </c>
      <c r="N63" s="31" t="n"/>
      <c r="O63" s="33" t="n"/>
    </row>
    <row r="64" ht="15" customHeight="1">
      <c r="A64" s="232" t="n"/>
      <c r="B64" s="232" t="n"/>
      <c r="C64" s="235" t="n"/>
      <c r="D64" s="169" t="inlineStr">
        <is>
          <t>Bottom</t>
        </is>
      </c>
      <c r="E64" s="169" t="n">
        <v>40</v>
      </c>
      <c r="F64" s="169" t="inlineStr">
        <is>
          <t>Single</t>
        </is>
      </c>
      <c r="G64" s="180" t="inlineStr">
        <is>
          <t>MCX 52/54 LVP</t>
        </is>
      </c>
      <c r="H64" s="180" t="inlineStr">
        <is>
          <t>240 X 559</t>
        </is>
      </c>
      <c r="I64" s="180" t="inlineStr">
        <is>
          <t>22 X 23</t>
        </is>
      </c>
      <c r="J64" s="180" t="n">
        <v>2</v>
      </c>
      <c r="K64" s="171" t="n"/>
      <c r="L64" s="14" t="n"/>
      <c r="M64" s="15" t="n">
        <v>0.6977821913273751</v>
      </c>
      <c r="N64" s="14" t="n"/>
      <c r="O64" s="16" t="n"/>
    </row>
    <row r="65" ht="15.75" customHeight="1">
      <c r="A65" s="234" t="n"/>
      <c r="B65" s="234" t="n"/>
      <c r="C65" s="175" t="inlineStr">
        <is>
          <t>SVG</t>
        </is>
      </c>
      <c r="D65" s="166" t="inlineStr">
        <is>
          <t>-</t>
        </is>
      </c>
      <c r="E65" s="166" t="n">
        <v>22</v>
      </c>
      <c r="F65" s="166" t="inlineStr">
        <is>
          <t>Single</t>
        </is>
      </c>
      <c r="G65" s="166" t="inlineStr">
        <is>
          <t>MCX 52/54 SVG</t>
        </is>
      </c>
      <c r="H65" s="166" t="inlineStr">
        <is>
          <t>258 X 577</t>
        </is>
      </c>
      <c r="I65" s="166" t="inlineStr">
        <is>
          <t>21 X 22.5</t>
        </is>
      </c>
      <c r="J65" s="166" t="n">
        <v>2</v>
      </c>
      <c r="K65" s="176" t="n"/>
      <c r="L65" s="25" t="n"/>
      <c r="M65" s="26" t="n">
        <v>0.4398148148148148</v>
      </c>
      <c r="N65" s="25" t="n"/>
      <c r="O65" s="27" t="n"/>
    </row>
    <row r="66" ht="15" customHeight="1">
      <c r="A66" s="186" t="n">
        <v>21</v>
      </c>
      <c r="B66" s="187" t="inlineStr">
        <is>
          <t>MCX 55</t>
        </is>
      </c>
      <c r="C66" s="184" t="inlineStr">
        <is>
          <t>LVP</t>
        </is>
      </c>
      <c r="D66" s="180" t="inlineStr">
        <is>
          <t>Top</t>
        </is>
      </c>
      <c r="E66" s="180" t="n">
        <v>60</v>
      </c>
      <c r="F66" s="180" t="inlineStr">
        <is>
          <t>Single</t>
        </is>
      </c>
      <c r="G66" s="180" t="inlineStr">
        <is>
          <t>MCX 55 LVP</t>
        </is>
      </c>
      <c r="H66" s="180" t="inlineStr">
        <is>
          <t>237 X 308</t>
        </is>
      </c>
      <c r="I66" s="180" t="inlineStr">
        <is>
          <t>20 X 25</t>
        </is>
      </c>
      <c r="J66" s="180" t="n">
        <v>4</v>
      </c>
      <c r="K66" s="181" t="n"/>
      <c r="L66" s="31" t="n"/>
      <c r="M66" s="32" t="n">
        <v>1.103988603988604</v>
      </c>
      <c r="N66" s="31" t="n"/>
      <c r="O66" s="33" t="n"/>
    </row>
    <row r="67" ht="15" customHeight="1">
      <c r="A67" s="232" t="n"/>
      <c r="B67" s="232" t="n"/>
      <c r="C67" s="235" t="n"/>
      <c r="D67" s="169" t="inlineStr">
        <is>
          <t>Bottom</t>
        </is>
      </c>
      <c r="E67" s="169" t="n">
        <v>40</v>
      </c>
      <c r="F67" s="169" t="inlineStr">
        <is>
          <t>Single</t>
        </is>
      </c>
      <c r="G67" s="180" t="inlineStr">
        <is>
          <t>MCX 55 LVP</t>
        </is>
      </c>
      <c r="H67" s="180" t="inlineStr">
        <is>
          <t>237 X 308</t>
        </is>
      </c>
      <c r="I67" s="180" t="inlineStr">
        <is>
          <t>20 X 25</t>
        </is>
      </c>
      <c r="J67" s="180" t="n">
        <v>4</v>
      </c>
      <c r="K67" s="171" t="n"/>
      <c r="L67" s="14" t="n"/>
      <c r="M67" s="15" t="n">
        <v>0.6977821913273751</v>
      </c>
      <c r="N67" s="14" t="n"/>
      <c r="O67" s="16" t="n"/>
    </row>
    <row r="68" ht="15.75" customHeight="1">
      <c r="A68" s="234" t="n"/>
      <c r="B68" s="234" t="n"/>
      <c r="C68" s="175" t="inlineStr">
        <is>
          <t>SVG</t>
        </is>
      </c>
      <c r="D68" s="166" t="inlineStr">
        <is>
          <t>-</t>
        </is>
      </c>
      <c r="E68" s="166" t="n">
        <v>22</v>
      </c>
      <c r="F68" s="166" t="inlineStr">
        <is>
          <t>Single</t>
        </is>
      </c>
      <c r="G68" s="166" t="inlineStr">
        <is>
          <t>MCX 55 SVG</t>
        </is>
      </c>
      <c r="H68" s="166" t="inlineStr">
        <is>
          <t>254 X 320</t>
        </is>
      </c>
      <c r="I68" s="166" t="inlineStr">
        <is>
          <t xml:space="preserve">21 X 26 </t>
        </is>
      </c>
      <c r="J68" s="166" t="n">
        <v>4</v>
      </c>
      <c r="K68" s="176" t="n"/>
      <c r="L68" s="25" t="n"/>
      <c r="M68" s="26" t="n">
        <v>0.4398148148148148</v>
      </c>
      <c r="N68" s="25" t="n"/>
      <c r="O68" s="27" t="n"/>
    </row>
    <row r="69" ht="15" customHeight="1">
      <c r="A69" s="186" t="n">
        <v>22</v>
      </c>
      <c r="B69" s="187" t="inlineStr">
        <is>
          <t>MCX 56</t>
        </is>
      </c>
      <c r="C69" s="184" t="inlineStr">
        <is>
          <t>LVP</t>
        </is>
      </c>
      <c r="D69" s="180" t="inlineStr">
        <is>
          <t>Top</t>
        </is>
      </c>
      <c r="E69" s="180" t="n">
        <v>60</v>
      </c>
      <c r="F69" s="180" t="inlineStr">
        <is>
          <t>H.C.</t>
        </is>
      </c>
      <c r="G69" s="180" t="inlineStr">
        <is>
          <t>Hand Cutting</t>
        </is>
      </c>
      <c r="H69" s="180" t="inlineStr">
        <is>
          <t>250 X 719</t>
        </is>
      </c>
      <c r="I69" s="180" t="inlineStr">
        <is>
          <t>21 X 29</t>
        </is>
      </c>
      <c r="J69" s="180" t="n">
        <v>2</v>
      </c>
      <c r="K69" s="181" t="n"/>
      <c r="L69" s="31" t="n"/>
      <c r="M69" s="32" t="n">
        <v>1.103988603988604</v>
      </c>
      <c r="N69" s="31" t="n"/>
      <c r="O69" s="33" t="n"/>
    </row>
    <row r="70" ht="15" customHeight="1">
      <c r="A70" s="232" t="n"/>
      <c r="B70" s="232" t="n"/>
      <c r="C70" s="235" t="n"/>
      <c r="D70" s="169" t="inlineStr">
        <is>
          <t>Bottom</t>
        </is>
      </c>
      <c r="E70" s="169" t="n">
        <v>40</v>
      </c>
      <c r="F70" s="169" t="inlineStr">
        <is>
          <t>H.C.</t>
        </is>
      </c>
      <c r="G70" s="180" t="inlineStr">
        <is>
          <t>Hand Cutting</t>
        </is>
      </c>
      <c r="H70" s="169" t="inlineStr">
        <is>
          <t>250 X 719</t>
        </is>
      </c>
      <c r="I70" s="180" t="inlineStr">
        <is>
          <t>21 X 29</t>
        </is>
      </c>
      <c r="J70" s="180" t="n">
        <v>2</v>
      </c>
      <c r="K70" s="171" t="n"/>
      <c r="L70" s="14" t="n"/>
      <c r="M70" s="15" t="n">
        <v>0.6977821913273751</v>
      </c>
      <c r="N70" s="14" t="n"/>
      <c r="O70" s="16" t="n"/>
    </row>
    <row r="71" ht="15.75" customHeight="1">
      <c r="A71" s="234" t="n"/>
      <c r="B71" s="234" t="n"/>
      <c r="C71" s="175" t="inlineStr">
        <is>
          <t>SVG</t>
        </is>
      </c>
      <c r="D71" s="166" t="inlineStr">
        <is>
          <t>-</t>
        </is>
      </c>
      <c r="E71" s="166" t="n">
        <v>22</v>
      </c>
      <c r="F71" s="166" t="inlineStr">
        <is>
          <t>H.C.</t>
        </is>
      </c>
      <c r="G71" s="166" t="inlineStr">
        <is>
          <t>Hand Cutting</t>
        </is>
      </c>
      <c r="H71" s="166" t="inlineStr">
        <is>
          <t>266 X 735</t>
        </is>
      </c>
      <c r="I71" s="166" t="inlineStr">
        <is>
          <t>22 X 29</t>
        </is>
      </c>
      <c r="J71" s="166" t="n">
        <v>2</v>
      </c>
      <c r="K71" s="176" t="n"/>
      <c r="L71" s="25" t="n"/>
      <c r="M71" s="26" t="n">
        <v>0.4398148148148148</v>
      </c>
      <c r="N71" s="25" t="n"/>
      <c r="O71" s="27" t="n"/>
    </row>
    <row r="72" ht="15" customHeight="1">
      <c r="A72" s="186" t="n">
        <v>23</v>
      </c>
      <c r="B72" s="187" t="inlineStr">
        <is>
          <t>MCX 60</t>
        </is>
      </c>
      <c r="C72" s="184" t="inlineStr">
        <is>
          <t>LVP</t>
        </is>
      </c>
      <c r="D72" s="180" t="inlineStr">
        <is>
          <t>Top</t>
        </is>
      </c>
      <c r="E72" s="180" t="n">
        <v>60</v>
      </c>
      <c r="F72" s="180" t="inlineStr">
        <is>
          <t>H.C.</t>
        </is>
      </c>
      <c r="G72" s="180" t="inlineStr">
        <is>
          <t>Hand Cutting</t>
        </is>
      </c>
      <c r="H72" s="180" t="inlineStr">
        <is>
          <t>243 X 998</t>
        </is>
      </c>
      <c r="I72" s="180" t="inlineStr">
        <is>
          <t>20 X 40</t>
        </is>
      </c>
      <c r="J72" s="180" t="n">
        <v>2</v>
      </c>
      <c r="K72" s="181" t="n"/>
      <c r="L72" s="31" t="n"/>
      <c r="M72" s="32" t="n">
        <v>1.103988603988604</v>
      </c>
      <c r="N72" s="31" t="n"/>
      <c r="O72" s="33" t="n"/>
    </row>
    <row r="73" ht="15" customHeight="1">
      <c r="A73" s="232" t="n"/>
      <c r="B73" s="232" t="n"/>
      <c r="C73" s="235" t="n"/>
      <c r="D73" s="169" t="inlineStr">
        <is>
          <t>Bottom</t>
        </is>
      </c>
      <c r="E73" s="169" t="n">
        <v>40</v>
      </c>
      <c r="F73" s="169" t="inlineStr">
        <is>
          <t>H.C.</t>
        </is>
      </c>
      <c r="G73" s="180" t="inlineStr">
        <is>
          <t>Hand Cutting</t>
        </is>
      </c>
      <c r="H73" s="180" t="inlineStr">
        <is>
          <t>243 X 998</t>
        </is>
      </c>
      <c r="I73" s="180" t="inlineStr">
        <is>
          <t>20 X 40</t>
        </is>
      </c>
      <c r="J73" s="180" t="n">
        <v>2</v>
      </c>
      <c r="K73" s="171" t="n"/>
      <c r="L73" s="14" t="n"/>
      <c r="M73" s="15" t="n">
        <v>0.6977821913273751</v>
      </c>
      <c r="N73" s="14" t="n"/>
      <c r="O73" s="16" t="n"/>
    </row>
    <row r="74" ht="15.75" customHeight="1">
      <c r="A74" s="234" t="n"/>
      <c r="B74" s="234" t="n"/>
      <c r="C74" s="175" t="inlineStr">
        <is>
          <t>SVG</t>
        </is>
      </c>
      <c r="D74" s="166" t="inlineStr">
        <is>
          <t>-</t>
        </is>
      </c>
      <c r="E74" s="166" t="n">
        <v>22</v>
      </c>
      <c r="F74" s="166" t="inlineStr">
        <is>
          <t>H.C.</t>
        </is>
      </c>
      <c r="G74" s="166" t="inlineStr">
        <is>
          <t>Hand Cutting</t>
        </is>
      </c>
      <c r="H74" s="166" t="inlineStr">
        <is>
          <t>266 X 1015</t>
        </is>
      </c>
      <c r="I74" s="166" t="inlineStr">
        <is>
          <t>22 X 40.5</t>
        </is>
      </c>
      <c r="J74" s="166" t="n">
        <v>2</v>
      </c>
      <c r="K74" s="176" t="n"/>
      <c r="L74" s="25" t="n"/>
      <c r="M74" s="26" t="n">
        <v>0.4398148148148148</v>
      </c>
      <c r="N74" s="25" t="n"/>
      <c r="O74" s="27" t="n"/>
    </row>
    <row r="75" ht="15" customHeight="1">
      <c r="A75" s="186" t="n">
        <v>24</v>
      </c>
      <c r="B75" s="187" t="inlineStr">
        <is>
          <t>MCX 62</t>
        </is>
      </c>
      <c r="C75" s="184" t="inlineStr">
        <is>
          <t>LVP</t>
        </is>
      </c>
      <c r="D75" s="180" t="inlineStr">
        <is>
          <t>Top</t>
        </is>
      </c>
      <c r="E75" s="180" t="n">
        <v>60</v>
      </c>
      <c r="F75" s="180" t="inlineStr">
        <is>
          <t>H.C.</t>
        </is>
      </c>
      <c r="G75" s="180" t="inlineStr">
        <is>
          <t>Hand Cutting</t>
        </is>
      </c>
      <c r="H75" s="180" t="inlineStr">
        <is>
          <t>302 X 1027</t>
        </is>
      </c>
      <c r="I75" s="180" t="inlineStr">
        <is>
          <t>25 X 41</t>
        </is>
      </c>
      <c r="J75" s="180" t="n">
        <v>2</v>
      </c>
      <c r="K75" s="181" t="n"/>
      <c r="L75" s="31" t="n"/>
      <c r="M75" s="32" t="n">
        <v>1.103988603988604</v>
      </c>
      <c r="N75" s="31" t="n"/>
      <c r="O75" s="33" t="n"/>
    </row>
    <row r="76" ht="15" customHeight="1">
      <c r="A76" s="232" t="n"/>
      <c r="B76" s="232" t="n"/>
      <c r="C76" s="235" t="n"/>
      <c r="D76" s="169" t="inlineStr">
        <is>
          <t>Bottom</t>
        </is>
      </c>
      <c r="E76" s="169" t="n">
        <v>40</v>
      </c>
      <c r="F76" s="169" t="inlineStr">
        <is>
          <t>H.C.</t>
        </is>
      </c>
      <c r="G76" s="180" t="inlineStr">
        <is>
          <t>Hand Cutting</t>
        </is>
      </c>
      <c r="H76" s="180" t="inlineStr">
        <is>
          <t>302 X 1027</t>
        </is>
      </c>
      <c r="I76" s="180" t="inlineStr">
        <is>
          <t>25 X 41</t>
        </is>
      </c>
      <c r="J76" s="180" t="n">
        <v>2</v>
      </c>
      <c r="K76" s="171" t="n"/>
      <c r="L76" s="14" t="n"/>
      <c r="M76" s="15" t="n">
        <v>0.6977821913273751</v>
      </c>
      <c r="N76" s="14" t="n"/>
      <c r="O76" s="16" t="n"/>
    </row>
    <row r="77" ht="15.75" customHeight="1">
      <c r="A77" s="234" t="n"/>
      <c r="B77" s="234" t="n"/>
      <c r="C77" s="175" t="inlineStr">
        <is>
          <t>SVG</t>
        </is>
      </c>
      <c r="D77" s="166" t="inlineStr">
        <is>
          <t>-</t>
        </is>
      </c>
      <c r="E77" s="166" t="n">
        <v>22</v>
      </c>
      <c r="F77" s="166" t="inlineStr">
        <is>
          <t>H.C.</t>
        </is>
      </c>
      <c r="G77" s="166" t="inlineStr">
        <is>
          <t>Hand Cutting</t>
        </is>
      </c>
      <c r="H77" s="166" t="inlineStr">
        <is>
          <t>322 X 1047</t>
        </is>
      </c>
      <c r="I77" s="166" t="inlineStr">
        <is>
          <t>26.5 X 42</t>
        </is>
      </c>
      <c r="J77" s="166" t="n">
        <v>2</v>
      </c>
      <c r="K77" s="176" t="n"/>
      <c r="L77" s="25" t="n"/>
      <c r="M77" s="26" t="n">
        <v>0.4398148148148148</v>
      </c>
      <c r="N77" s="25" t="n"/>
      <c r="O77" s="27" t="n"/>
    </row>
    <row r="78" ht="15" customHeight="1">
      <c r="A78" s="186" t="n">
        <v>25</v>
      </c>
      <c r="B78" s="187" t="inlineStr">
        <is>
          <t>MCX 65</t>
        </is>
      </c>
      <c r="C78" s="184" t="inlineStr">
        <is>
          <t>LVP</t>
        </is>
      </c>
      <c r="D78" s="180" t="inlineStr">
        <is>
          <t>Top</t>
        </is>
      </c>
      <c r="E78" s="180" t="n">
        <v>60</v>
      </c>
      <c r="F78" s="180" t="inlineStr">
        <is>
          <t>Single</t>
        </is>
      </c>
      <c r="G78" s="180" t="inlineStr">
        <is>
          <t>MCX 65 LVP</t>
        </is>
      </c>
      <c r="H78" s="180" t="inlineStr">
        <is>
          <t>307 X 398</t>
        </is>
      </c>
      <c r="I78" s="180" t="inlineStr">
        <is>
          <t>16 X 25</t>
        </is>
      </c>
      <c r="J78" s="180" t="n">
        <v>2</v>
      </c>
      <c r="K78" s="181" t="n"/>
      <c r="L78" s="31" t="n"/>
      <c r="M78" s="32" t="n">
        <v>1.103988603988604</v>
      </c>
      <c r="N78" s="31" t="n"/>
      <c r="O78" s="33" t="n"/>
    </row>
    <row r="79" ht="15" customHeight="1">
      <c r="A79" s="232" t="n"/>
      <c r="B79" s="232" t="n"/>
      <c r="C79" s="235" t="n"/>
      <c r="D79" s="169" t="inlineStr">
        <is>
          <t>Bottom</t>
        </is>
      </c>
      <c r="E79" s="169" t="n">
        <v>40</v>
      </c>
      <c r="F79" s="169" t="inlineStr">
        <is>
          <t>Single</t>
        </is>
      </c>
      <c r="G79" s="180" t="inlineStr">
        <is>
          <t>MCX 65 LVP</t>
        </is>
      </c>
      <c r="H79" s="180" t="inlineStr">
        <is>
          <t>307 X 398</t>
        </is>
      </c>
      <c r="I79" s="180" t="inlineStr">
        <is>
          <t>16 X 25</t>
        </is>
      </c>
      <c r="J79" s="180" t="n">
        <v>2</v>
      </c>
      <c r="K79" s="171" t="n"/>
      <c r="L79" s="14" t="n"/>
      <c r="M79" s="15" t="n">
        <v>0.6977821913273751</v>
      </c>
      <c r="N79" s="14" t="n"/>
      <c r="O79" s="16" t="n"/>
    </row>
    <row r="80" ht="15.75" customHeight="1">
      <c r="A80" s="234" t="n"/>
      <c r="B80" s="234" t="n"/>
      <c r="C80" s="175" t="inlineStr">
        <is>
          <t>SVG</t>
        </is>
      </c>
      <c r="D80" s="166" t="inlineStr">
        <is>
          <t>-</t>
        </is>
      </c>
      <c r="E80" s="166" t="n">
        <v>22</v>
      </c>
      <c r="F80" s="166" t="inlineStr">
        <is>
          <t>Single</t>
        </is>
      </c>
      <c r="G80" s="166" t="inlineStr">
        <is>
          <t>MCX 65 SVG</t>
        </is>
      </c>
      <c r="H80" s="166" t="inlineStr">
        <is>
          <t>325 X 412</t>
        </is>
      </c>
      <c r="I80" s="166" t="inlineStr">
        <is>
          <t>16.5 X 26.5</t>
        </is>
      </c>
      <c r="J80" s="166" t="n">
        <v>2</v>
      </c>
      <c r="K80" s="176" t="n"/>
      <c r="L80" s="25" t="n"/>
      <c r="M80" s="26" t="n">
        <v>0.4398148148148148</v>
      </c>
      <c r="N80" s="25" t="n"/>
      <c r="O80" s="27" t="n"/>
    </row>
    <row r="81" ht="15" customHeight="1">
      <c r="A81" s="186" t="n">
        <v>26</v>
      </c>
      <c r="B81" s="187" t="inlineStr">
        <is>
          <t>MCX 68</t>
        </is>
      </c>
      <c r="C81" s="184" t="inlineStr">
        <is>
          <t>LVP</t>
        </is>
      </c>
      <c r="D81" s="180" t="inlineStr">
        <is>
          <t>Top</t>
        </is>
      </c>
      <c r="E81" s="180" t="n">
        <v>60</v>
      </c>
      <c r="F81" s="180" t="inlineStr">
        <is>
          <t>H.C.</t>
        </is>
      </c>
      <c r="G81" s="180" t="inlineStr">
        <is>
          <t>Hand Cutting</t>
        </is>
      </c>
      <c r="H81" s="180" t="inlineStr">
        <is>
          <t>327 X 732</t>
        </is>
      </c>
      <c r="I81" s="180" t="inlineStr">
        <is>
          <t>27 X 29</t>
        </is>
      </c>
      <c r="J81" s="180" t="n">
        <v>2</v>
      </c>
      <c r="K81" s="181" t="n"/>
      <c r="L81" s="31" t="n"/>
      <c r="M81" s="32" t="n">
        <v>1.103988603988604</v>
      </c>
      <c r="N81" s="31" t="n"/>
      <c r="O81" s="33" t="n"/>
    </row>
    <row r="82" ht="15" customHeight="1">
      <c r="A82" s="232" t="n"/>
      <c r="B82" s="232" t="n"/>
      <c r="C82" s="235" t="n"/>
      <c r="D82" s="169" t="inlineStr">
        <is>
          <t>Bottom</t>
        </is>
      </c>
      <c r="E82" s="169" t="n">
        <v>40</v>
      </c>
      <c r="F82" s="169" t="inlineStr">
        <is>
          <t>H.C.</t>
        </is>
      </c>
      <c r="G82" s="180" t="inlineStr">
        <is>
          <t>Hand Cutting</t>
        </is>
      </c>
      <c r="H82" s="180" t="inlineStr">
        <is>
          <t>327 X 732</t>
        </is>
      </c>
      <c r="I82" s="180" t="inlineStr">
        <is>
          <t>27 X 29</t>
        </is>
      </c>
      <c r="J82" s="180" t="n">
        <v>2</v>
      </c>
      <c r="K82" s="171" t="n"/>
      <c r="L82" s="14" t="n"/>
      <c r="M82" s="15" t="n">
        <v>0.6977821913273751</v>
      </c>
      <c r="N82" s="14" t="n"/>
      <c r="O82" s="16" t="n"/>
    </row>
    <row r="83" ht="15.75" customHeight="1">
      <c r="A83" s="234" t="n"/>
      <c r="B83" s="234" t="n"/>
      <c r="C83" s="175" t="inlineStr">
        <is>
          <t>SVG</t>
        </is>
      </c>
      <c r="D83" s="166" t="inlineStr">
        <is>
          <t>-</t>
        </is>
      </c>
      <c r="E83" s="166" t="n">
        <v>22</v>
      </c>
      <c r="F83" s="166" t="inlineStr">
        <is>
          <t>H.C.</t>
        </is>
      </c>
      <c r="G83" s="166" t="inlineStr">
        <is>
          <t>Hand Cutting</t>
        </is>
      </c>
      <c r="H83" s="166" t="inlineStr">
        <is>
          <t>345 X 750</t>
        </is>
      </c>
      <c r="I83" s="166" t="inlineStr">
        <is>
          <t>28 X 30</t>
        </is>
      </c>
      <c r="J83" s="166" t="n">
        <v>2</v>
      </c>
      <c r="K83" s="176" t="n"/>
      <c r="L83" s="25" t="n"/>
      <c r="M83" s="26" t="n">
        <v>0.4398148148148148</v>
      </c>
      <c r="N83" s="25" t="n"/>
      <c r="O83" s="27" t="n"/>
    </row>
    <row r="84" ht="15" customHeight="1">
      <c r="A84" s="186" t="n">
        <v>27</v>
      </c>
      <c r="B84" s="187" t="inlineStr">
        <is>
          <t>MCX 75</t>
        </is>
      </c>
      <c r="C84" s="184" t="inlineStr">
        <is>
          <t>LVP</t>
        </is>
      </c>
      <c r="D84" s="180" t="inlineStr">
        <is>
          <t>Top</t>
        </is>
      </c>
      <c r="E84" s="180" t="n">
        <v>60</v>
      </c>
      <c r="F84" s="180" t="inlineStr">
        <is>
          <t>Single</t>
        </is>
      </c>
      <c r="G84" s="180" t="inlineStr">
        <is>
          <t>MCX 75 LVP</t>
        </is>
      </c>
      <c r="H84" s="180" t="inlineStr">
        <is>
          <t>427 X 508</t>
        </is>
      </c>
      <c r="I84" s="180" t="inlineStr">
        <is>
          <t>20.5 X 34.5</t>
        </is>
      </c>
      <c r="J84" s="180" t="n">
        <v>2</v>
      </c>
      <c r="K84" s="181" t="n"/>
      <c r="L84" s="31" t="n"/>
      <c r="M84" s="32" t="n">
        <v>1.103988603988604</v>
      </c>
      <c r="N84" s="31" t="n"/>
      <c r="O84" s="33" t="n"/>
    </row>
    <row r="85" ht="15" customHeight="1">
      <c r="A85" s="232" t="n"/>
      <c r="B85" s="232" t="n"/>
      <c r="C85" s="235" t="n"/>
      <c r="D85" s="169" t="inlineStr">
        <is>
          <t>Bottom</t>
        </is>
      </c>
      <c r="E85" s="169" t="n">
        <v>40</v>
      </c>
      <c r="F85" s="169" t="inlineStr">
        <is>
          <t>Single</t>
        </is>
      </c>
      <c r="G85" s="180" t="inlineStr">
        <is>
          <t>MCX 75 LVP</t>
        </is>
      </c>
      <c r="H85" s="180" t="inlineStr">
        <is>
          <t>427 X 508</t>
        </is>
      </c>
      <c r="I85" s="180" t="inlineStr">
        <is>
          <t>20.5 X 34.5</t>
        </is>
      </c>
      <c r="J85" s="169" t="n">
        <v>2</v>
      </c>
      <c r="K85" s="171" t="n"/>
      <c r="L85" s="14" t="n"/>
      <c r="M85" s="15" t="n">
        <v>0.6977821913273751</v>
      </c>
      <c r="N85" s="14" t="n"/>
      <c r="O85" s="16" t="n"/>
    </row>
    <row r="86" ht="15.75" customHeight="1">
      <c r="A86" s="234" t="n"/>
      <c r="B86" s="234" t="n"/>
      <c r="C86" s="175" t="inlineStr">
        <is>
          <t>SVG</t>
        </is>
      </c>
      <c r="D86" s="166" t="inlineStr">
        <is>
          <t>-</t>
        </is>
      </c>
      <c r="E86" s="166" t="n">
        <v>22</v>
      </c>
      <c r="F86" s="166" t="inlineStr">
        <is>
          <t>Single</t>
        </is>
      </c>
      <c r="G86" s="166" t="inlineStr">
        <is>
          <t>MCX 75 SVG</t>
        </is>
      </c>
      <c r="H86" s="166" t="inlineStr">
        <is>
          <t>445 X 522</t>
        </is>
      </c>
      <c r="I86" s="166" t="inlineStr">
        <is>
          <t>21 X 36</t>
        </is>
      </c>
      <c r="J86" s="166" t="n">
        <v>2</v>
      </c>
      <c r="K86" s="176" t="n"/>
      <c r="L86" s="25" t="n"/>
      <c r="M86" s="26" t="n">
        <v>0.4398148148148148</v>
      </c>
      <c r="N86" s="25" t="n"/>
      <c r="O86" s="27" t="n"/>
    </row>
    <row r="87" ht="15" customHeight="1">
      <c r="A87" s="186" t="n">
        <v>28</v>
      </c>
      <c r="B87" s="187" t="inlineStr">
        <is>
          <t>MCX 80</t>
        </is>
      </c>
      <c r="C87" s="184" t="inlineStr">
        <is>
          <t>LVP</t>
        </is>
      </c>
      <c r="D87" s="180" t="inlineStr">
        <is>
          <t>Top</t>
        </is>
      </c>
      <c r="E87" s="180" t="n">
        <v>60</v>
      </c>
      <c r="F87" s="180" t="inlineStr">
        <is>
          <t>Single</t>
        </is>
      </c>
      <c r="G87" s="180" t="inlineStr">
        <is>
          <t>MCX 80 LVP</t>
        </is>
      </c>
      <c r="H87" s="180" t="inlineStr">
        <is>
          <t>127 X 192</t>
        </is>
      </c>
      <c r="I87" s="180" t="inlineStr">
        <is>
          <t>22 X 24</t>
        </is>
      </c>
      <c r="J87" s="180" t="n">
        <v>9</v>
      </c>
      <c r="K87" s="181" t="n"/>
      <c r="L87" s="31" t="n"/>
      <c r="M87" s="32" t="n">
        <v>1.103988603988604</v>
      </c>
      <c r="N87" s="31" t="n"/>
      <c r="O87" s="33" t="n"/>
    </row>
    <row r="88" ht="15" customHeight="1">
      <c r="A88" s="232" t="n"/>
      <c r="B88" s="232" t="n"/>
      <c r="C88" s="235" t="n"/>
      <c r="D88" s="169" t="inlineStr">
        <is>
          <t>Bottom</t>
        </is>
      </c>
      <c r="E88" s="169" t="n">
        <v>40</v>
      </c>
      <c r="F88" s="169" t="inlineStr">
        <is>
          <t>Single</t>
        </is>
      </c>
      <c r="G88" s="180" t="inlineStr">
        <is>
          <t>MCX 80 LVP</t>
        </is>
      </c>
      <c r="H88" s="180" t="inlineStr">
        <is>
          <t>127 X 192</t>
        </is>
      </c>
      <c r="I88" s="180" t="inlineStr">
        <is>
          <t>22 X 24</t>
        </is>
      </c>
      <c r="J88" s="180" t="n">
        <v>9</v>
      </c>
      <c r="K88" s="171" t="n"/>
      <c r="L88" s="14" t="n"/>
      <c r="M88" s="15" t="n">
        <v>0.6977821913273751</v>
      </c>
      <c r="N88" s="14" t="n"/>
      <c r="O88" s="16" t="n"/>
    </row>
    <row r="89" ht="15.75" customHeight="1">
      <c r="A89" s="234" t="n"/>
      <c r="B89" s="234" t="n"/>
      <c r="C89" s="175" t="inlineStr">
        <is>
          <t>SVG</t>
        </is>
      </c>
      <c r="D89" s="166" t="inlineStr">
        <is>
          <t>-</t>
        </is>
      </c>
      <c r="E89" s="166" t="n">
        <v>22</v>
      </c>
      <c r="F89" s="166" t="inlineStr">
        <is>
          <t>Single</t>
        </is>
      </c>
      <c r="G89" s="166" t="inlineStr">
        <is>
          <t>MCX 80 SVG</t>
        </is>
      </c>
      <c r="H89" s="166" t="inlineStr">
        <is>
          <t>139 X 201</t>
        </is>
      </c>
      <c r="I89" s="166" t="inlineStr">
        <is>
          <t>24 X 25</t>
        </is>
      </c>
      <c r="J89" s="166" t="n">
        <v>12</v>
      </c>
      <c r="K89" s="176" t="n"/>
      <c r="L89" s="25" t="n"/>
      <c r="M89" s="26" t="n">
        <v>0.4398148148148148</v>
      </c>
      <c r="N89" s="25" t="n"/>
      <c r="O89" s="27" t="n"/>
    </row>
    <row r="90" ht="15" customHeight="1">
      <c r="A90" s="186" t="n">
        <v>29</v>
      </c>
      <c r="B90" s="187" t="inlineStr">
        <is>
          <t>MCX 82</t>
        </is>
      </c>
      <c r="C90" s="184" t="inlineStr">
        <is>
          <t>LVP</t>
        </is>
      </c>
      <c r="D90" s="180" t="inlineStr">
        <is>
          <t>Top</t>
        </is>
      </c>
      <c r="E90" s="180" t="n">
        <v>60</v>
      </c>
      <c r="F90" s="180" t="inlineStr">
        <is>
          <t>Single</t>
        </is>
      </c>
      <c r="G90" s="180" t="inlineStr">
        <is>
          <t>MCX 82 LVP</t>
        </is>
      </c>
      <c r="H90" s="180" t="inlineStr">
        <is>
          <t>178 X 254</t>
        </is>
      </c>
      <c r="I90" s="180" t="inlineStr">
        <is>
          <t>21 X 23</t>
        </is>
      </c>
      <c r="J90" s="180" t="n">
        <v>6</v>
      </c>
      <c r="K90" s="181" t="n"/>
      <c r="L90" s="31" t="n"/>
      <c r="M90" s="32" t="n">
        <v>1.103988603988604</v>
      </c>
      <c r="N90" s="31" t="n"/>
      <c r="O90" s="33" t="n"/>
    </row>
    <row r="91" ht="15" customHeight="1">
      <c r="A91" s="232" t="n"/>
      <c r="B91" s="232" t="n"/>
      <c r="C91" s="235" t="n"/>
      <c r="D91" s="169" t="inlineStr">
        <is>
          <t>Bottom</t>
        </is>
      </c>
      <c r="E91" s="169" t="n">
        <v>40</v>
      </c>
      <c r="F91" s="169" t="inlineStr">
        <is>
          <t>Single</t>
        </is>
      </c>
      <c r="G91" s="180" t="inlineStr">
        <is>
          <t>MCX 82 LVP</t>
        </is>
      </c>
      <c r="H91" s="180" t="inlineStr">
        <is>
          <t>178 X 254</t>
        </is>
      </c>
      <c r="I91" s="180" t="inlineStr">
        <is>
          <t>21 X 23</t>
        </is>
      </c>
      <c r="J91" s="180" t="n">
        <v>6</v>
      </c>
      <c r="K91" s="171" t="n"/>
      <c r="L91" s="14" t="n"/>
      <c r="M91" s="15" t="n">
        <v>0.6977821913273751</v>
      </c>
      <c r="N91" s="14" t="n"/>
      <c r="O91" s="16" t="n"/>
    </row>
    <row r="92" ht="15.75" customHeight="1">
      <c r="A92" s="234" t="n"/>
      <c r="B92" s="234" t="n"/>
      <c r="C92" s="175" t="inlineStr">
        <is>
          <t>SVG</t>
        </is>
      </c>
      <c r="D92" s="166" t="inlineStr">
        <is>
          <t>-</t>
        </is>
      </c>
      <c r="E92" s="166" t="n">
        <v>22</v>
      </c>
      <c r="F92" s="166" t="inlineStr">
        <is>
          <t>Single</t>
        </is>
      </c>
      <c r="G92" s="166" t="inlineStr">
        <is>
          <t>MCX 82 SVG</t>
        </is>
      </c>
      <c r="H92" s="166" t="inlineStr">
        <is>
          <t>191 X 268</t>
        </is>
      </c>
      <c r="I92" s="166" t="inlineStr">
        <is>
          <t>22 X 24</t>
        </is>
      </c>
      <c r="J92" s="166" t="n">
        <v>6</v>
      </c>
      <c r="K92" s="176" t="n"/>
      <c r="L92" s="25" t="n"/>
      <c r="M92" s="26" t="n">
        <v>0.4398148148148148</v>
      </c>
      <c r="N92" s="25" t="n"/>
      <c r="O92" s="27" t="n"/>
    </row>
    <row r="93" ht="15" customHeight="1">
      <c r="A93" s="186" t="n">
        <v>30</v>
      </c>
      <c r="B93" s="187" t="inlineStr">
        <is>
          <t>MCX 84</t>
        </is>
      </c>
      <c r="C93" s="184" t="inlineStr">
        <is>
          <t>LVP</t>
        </is>
      </c>
      <c r="D93" s="180" t="inlineStr">
        <is>
          <t>Top</t>
        </is>
      </c>
      <c r="E93" s="180" t="n">
        <v>60</v>
      </c>
      <c r="F93" s="180" t="inlineStr">
        <is>
          <t>Single</t>
        </is>
      </c>
      <c r="G93" s="180" t="inlineStr">
        <is>
          <t>MCX 84 LVP</t>
        </is>
      </c>
      <c r="H93" s="180" t="inlineStr">
        <is>
          <t>204 X 273</t>
        </is>
      </c>
      <c r="I93" s="180" t="inlineStr">
        <is>
          <t>17 X 23</t>
        </is>
      </c>
      <c r="J93" s="180" t="n">
        <v>4</v>
      </c>
      <c r="K93" s="181" t="n"/>
      <c r="L93" s="31" t="n"/>
      <c r="M93" s="32" t="n">
        <v>1.103988603988604</v>
      </c>
      <c r="N93" s="31" t="n"/>
      <c r="O93" s="33" t="n"/>
    </row>
    <row r="94" ht="15" customHeight="1">
      <c r="A94" s="232" t="n"/>
      <c r="B94" s="232" t="n"/>
      <c r="C94" s="235" t="n"/>
      <c r="D94" s="169" t="inlineStr">
        <is>
          <t>Bottom</t>
        </is>
      </c>
      <c r="E94" s="169" t="n">
        <v>40</v>
      </c>
      <c r="F94" s="169" t="inlineStr">
        <is>
          <t>Single</t>
        </is>
      </c>
      <c r="G94" s="180" t="inlineStr">
        <is>
          <t>MCX 84 LVP</t>
        </is>
      </c>
      <c r="H94" s="180" t="inlineStr">
        <is>
          <t>204 X 273</t>
        </is>
      </c>
      <c r="I94" s="180" t="inlineStr">
        <is>
          <t>17 X 23</t>
        </is>
      </c>
      <c r="J94" s="180" t="n">
        <v>4</v>
      </c>
      <c r="K94" s="171" t="n"/>
      <c r="L94" s="14" t="n"/>
      <c r="M94" s="15" t="n">
        <v>0.6977821913273751</v>
      </c>
      <c r="N94" s="14" t="n"/>
      <c r="O94" s="16" t="n"/>
    </row>
    <row r="95" ht="15.75" customHeight="1">
      <c r="A95" s="234" t="n"/>
      <c r="B95" s="234" t="n"/>
      <c r="C95" s="175" t="inlineStr">
        <is>
          <t>SVG</t>
        </is>
      </c>
      <c r="D95" s="166" t="inlineStr">
        <is>
          <t>-</t>
        </is>
      </c>
      <c r="E95" s="166" t="n">
        <v>22</v>
      </c>
      <c r="F95" s="166" t="inlineStr">
        <is>
          <t>Single</t>
        </is>
      </c>
      <c r="G95" s="166" t="inlineStr">
        <is>
          <t>MCX 84 SVG</t>
        </is>
      </c>
      <c r="H95" s="166" t="inlineStr">
        <is>
          <t>217 X 287</t>
        </is>
      </c>
      <c r="I95" s="166" t="inlineStr">
        <is>
          <t>18 X 23.5</t>
        </is>
      </c>
      <c r="J95" s="166" t="n">
        <v>4</v>
      </c>
      <c r="K95" s="176" t="n"/>
      <c r="L95" s="25" t="n"/>
      <c r="M95" s="26" t="n">
        <v>0.4398148148148148</v>
      </c>
      <c r="N95" s="25" t="n"/>
      <c r="O95" s="27" t="n"/>
    </row>
    <row r="96" ht="15" customHeight="1">
      <c r="A96" s="186" t="n">
        <v>31</v>
      </c>
      <c r="B96" s="187" t="inlineStr">
        <is>
          <t>MCX 86</t>
        </is>
      </c>
      <c r="C96" s="184" t="inlineStr">
        <is>
          <t>LVP</t>
        </is>
      </c>
      <c r="D96" s="180" t="inlineStr">
        <is>
          <t>Top</t>
        </is>
      </c>
      <c r="E96" s="180" t="n">
        <v>60</v>
      </c>
      <c r="F96" s="180" t="inlineStr">
        <is>
          <t>Single</t>
        </is>
      </c>
      <c r="G96" s="180" t="inlineStr">
        <is>
          <t>MCX 86 LVP</t>
        </is>
      </c>
      <c r="H96" s="180" t="inlineStr">
        <is>
          <t>235 X 330</t>
        </is>
      </c>
      <c r="I96" s="180" t="inlineStr">
        <is>
          <t>14 X 20</t>
        </is>
      </c>
      <c r="J96" s="180" t="n">
        <v>2</v>
      </c>
      <c r="K96" s="181" t="n"/>
      <c r="L96" s="31" t="n"/>
      <c r="M96" s="32" t="n">
        <v>1.103988603988604</v>
      </c>
      <c r="N96" s="31" t="n"/>
      <c r="O96" s="33" t="n"/>
    </row>
    <row r="97" ht="15" customHeight="1">
      <c r="A97" s="232" t="n"/>
      <c r="B97" s="232" t="n"/>
      <c r="C97" s="235" t="n"/>
      <c r="D97" s="169" t="inlineStr">
        <is>
          <t>Bottom</t>
        </is>
      </c>
      <c r="E97" s="169" t="n">
        <v>40</v>
      </c>
      <c r="F97" s="169" t="inlineStr">
        <is>
          <t>Single</t>
        </is>
      </c>
      <c r="G97" s="180" t="inlineStr">
        <is>
          <t>MCX 86 LVP</t>
        </is>
      </c>
      <c r="H97" s="180" t="inlineStr">
        <is>
          <t>235 X 330</t>
        </is>
      </c>
      <c r="I97" s="180" t="inlineStr">
        <is>
          <t>14 X 20</t>
        </is>
      </c>
      <c r="J97" s="180" t="n">
        <v>2</v>
      </c>
      <c r="K97" s="171" t="n"/>
      <c r="L97" s="14" t="n"/>
      <c r="M97" s="15" t="n">
        <v>0.6977821913273751</v>
      </c>
      <c r="N97" s="14" t="n"/>
      <c r="O97" s="16" t="n"/>
    </row>
    <row r="98" ht="15.75" customHeight="1">
      <c r="A98" s="234" t="n"/>
      <c r="B98" s="234" t="n"/>
      <c r="C98" s="175" t="inlineStr">
        <is>
          <t>SVG</t>
        </is>
      </c>
      <c r="D98" s="166" t="inlineStr">
        <is>
          <t>-</t>
        </is>
      </c>
      <c r="E98" s="166" t="n">
        <v>22</v>
      </c>
      <c r="F98" s="166" t="inlineStr">
        <is>
          <t>Single</t>
        </is>
      </c>
      <c r="G98" s="166" t="inlineStr">
        <is>
          <t>MCX 86 SVG</t>
        </is>
      </c>
      <c r="H98" s="166" t="inlineStr">
        <is>
          <t>248 X 344</t>
        </is>
      </c>
      <c r="I98" s="166" t="inlineStr">
        <is>
          <t>21 X 28</t>
        </is>
      </c>
      <c r="J98" s="166" t="n">
        <v>4</v>
      </c>
      <c r="K98" s="176" t="n"/>
      <c r="L98" s="25" t="n"/>
      <c r="M98" s="26" t="n">
        <v>0.4398148148148148</v>
      </c>
      <c r="N98" s="25" t="n"/>
      <c r="O98" s="27" t="n"/>
    </row>
    <row r="99" ht="14.25" customHeight="1">
      <c r="A99" s="188" t="n"/>
      <c r="B99" s="236" t="n"/>
      <c r="C99" s="236" t="n"/>
      <c r="D99" s="236" t="n"/>
      <c r="E99" s="236" t="n"/>
      <c r="F99" s="236" t="n"/>
      <c r="G99" s="236" t="n"/>
      <c r="H99" s="236" t="n"/>
      <c r="I99" s="236" t="n"/>
      <c r="J99" s="236" t="n"/>
      <c r="K99" s="236" t="n"/>
      <c r="L99" s="236" t="n"/>
      <c r="M99" s="236" t="n"/>
      <c r="N99" s="236" t="n"/>
      <c r="O99" s="237" t="n"/>
    </row>
    <row r="100">
      <c r="A100" s="238" t="n"/>
      <c r="O100" s="239" t="n"/>
    </row>
    <row r="101" ht="13.5" customHeight="1">
      <c r="A101" s="240" t="n"/>
      <c r="B101" s="241" t="n"/>
      <c r="C101" s="241" t="n"/>
      <c r="D101" s="241" t="n"/>
      <c r="E101" s="241" t="n"/>
      <c r="F101" s="241" t="n"/>
      <c r="G101" s="241" t="n"/>
      <c r="H101" s="241" t="n"/>
      <c r="I101" s="241" t="n"/>
      <c r="J101" s="241" t="n"/>
      <c r="K101" s="241" t="n"/>
      <c r="L101" s="241" t="n"/>
      <c r="M101" s="241" t="n"/>
      <c r="N101" s="241" t="n"/>
      <c r="O101" s="242" t="n"/>
    </row>
    <row r="102" ht="15" customHeight="1">
      <c r="A102" s="197" t="n">
        <v>1</v>
      </c>
      <c r="B102" s="198" t="inlineStr">
        <is>
          <t>C 0</t>
        </is>
      </c>
      <c r="C102" s="184" t="inlineStr">
        <is>
          <t>Fabric</t>
        </is>
      </c>
      <c r="D102" s="180" t="inlineStr">
        <is>
          <t>Top</t>
        </is>
      </c>
      <c r="E102" s="180" t="n"/>
      <c r="F102" s="180" t="n"/>
      <c r="G102" s="180" t="n"/>
      <c r="H102" s="180" t="n"/>
      <c r="I102" s="180" t="n"/>
      <c r="J102" s="180" t="n"/>
      <c r="K102" s="181" t="n"/>
      <c r="L102" s="31" t="n"/>
      <c r="M102" s="32" t="e">
        <v>#N/A</v>
      </c>
      <c r="N102" s="31" t="n"/>
      <c r="O102" s="33" t="n"/>
    </row>
    <row r="103" ht="15" customHeight="1">
      <c r="A103" s="232" t="n"/>
      <c r="B103" s="232" t="n"/>
      <c r="C103" s="235" t="n"/>
      <c r="D103" s="169" t="inlineStr">
        <is>
          <t>Bottom</t>
        </is>
      </c>
      <c r="E103" s="169" t="n"/>
      <c r="F103" s="169" t="n"/>
      <c r="G103" s="169" t="n"/>
      <c r="H103" s="169" t="n"/>
      <c r="I103" s="169" t="n"/>
      <c r="J103" s="169" t="n"/>
      <c r="K103" s="171" t="n"/>
      <c r="L103" s="14" t="n"/>
      <c r="M103" s="15" t="e">
        <v>#N/A</v>
      </c>
      <c r="N103" s="14" t="n"/>
      <c r="O103" s="16" t="n"/>
    </row>
    <row r="104" ht="15.75" customHeight="1">
      <c r="A104" s="234" t="n"/>
      <c r="B104" s="234" t="n"/>
      <c r="C104" s="175" t="inlineStr">
        <is>
          <t>SVG</t>
        </is>
      </c>
      <c r="D104" s="166" t="inlineStr">
        <is>
          <t>-</t>
        </is>
      </c>
      <c r="E104" s="166" t="n">
        <v>22</v>
      </c>
      <c r="F104" s="166" t="inlineStr">
        <is>
          <t>Passing</t>
        </is>
      </c>
      <c r="G104" s="166" t="inlineStr">
        <is>
          <t>C 0 SVG</t>
        </is>
      </c>
      <c r="H104" s="166" t="n">
        <v>27</v>
      </c>
      <c r="I104" s="166" t="inlineStr">
        <is>
          <t>9 X 15.5</t>
        </is>
      </c>
      <c r="J104" s="166" t="n">
        <v>45</v>
      </c>
      <c r="K104" s="176" t="n"/>
      <c r="L104" s="25" t="n"/>
      <c r="M104" s="26" t="n">
        <v>0.4398148148148148</v>
      </c>
      <c r="N104" s="25" t="n"/>
      <c r="O104" s="27" t="n"/>
    </row>
    <row r="105" ht="15" customHeight="1">
      <c r="A105" s="197" t="n">
        <v>2</v>
      </c>
      <c r="B105" s="198" t="inlineStr">
        <is>
          <t>C 1</t>
        </is>
      </c>
      <c r="C105" s="184" t="inlineStr">
        <is>
          <t>Fabric</t>
        </is>
      </c>
      <c r="D105" s="180" t="inlineStr">
        <is>
          <t>Top</t>
        </is>
      </c>
      <c r="E105" s="180" t="n"/>
      <c r="F105" s="180" t="n"/>
      <c r="G105" s="180" t="n"/>
      <c r="H105" s="180" t="n"/>
      <c r="I105" s="180" t="n"/>
      <c r="J105" s="180" t="n"/>
      <c r="K105" s="181" t="n"/>
      <c r="L105" s="31" t="n"/>
      <c r="M105" s="32" t="e">
        <v>#N/A</v>
      </c>
      <c r="N105" s="31" t="n"/>
      <c r="O105" s="33" t="n"/>
    </row>
    <row r="106" ht="15" customHeight="1">
      <c r="A106" s="232" t="n"/>
      <c r="B106" s="232" t="n"/>
      <c r="C106" s="235" t="n"/>
      <c r="D106" s="169" t="inlineStr">
        <is>
          <t>Bottom</t>
        </is>
      </c>
      <c r="E106" s="169" t="n"/>
      <c r="F106" s="169" t="n"/>
      <c r="G106" s="169" t="n"/>
      <c r="H106" s="169" t="n"/>
      <c r="I106" s="169" t="n"/>
      <c r="J106" s="169" t="n"/>
      <c r="K106" s="171" t="n"/>
      <c r="L106" s="14" t="n"/>
      <c r="M106" s="15" t="e">
        <v>#N/A</v>
      </c>
      <c r="N106" s="14" t="n"/>
      <c r="O106" s="16" t="n"/>
    </row>
    <row r="107" ht="15.75" customHeight="1">
      <c r="A107" s="234" t="n"/>
      <c r="B107" s="234" t="n"/>
      <c r="C107" s="175" t="inlineStr">
        <is>
          <t>SVG</t>
        </is>
      </c>
      <c r="D107" s="166" t="inlineStr">
        <is>
          <t>-</t>
        </is>
      </c>
      <c r="E107" s="166" t="n">
        <v>22</v>
      </c>
      <c r="F107" s="166" t="inlineStr">
        <is>
          <t>Passing</t>
        </is>
      </c>
      <c r="G107" s="166" t="inlineStr">
        <is>
          <t>C1 SVG</t>
        </is>
      </c>
      <c r="H107" s="166" t="n">
        <v>38</v>
      </c>
      <c r="I107" s="166" t="inlineStr">
        <is>
          <t>15 X 18.5</t>
        </is>
      </c>
      <c r="J107" s="166" t="n">
        <v>105</v>
      </c>
      <c r="K107" s="176" t="n"/>
      <c r="L107" s="25" t="n"/>
      <c r="M107" s="26" t="n">
        <v>0.4398148148148148</v>
      </c>
      <c r="N107" s="25" t="n"/>
      <c r="O107" s="27" t="n"/>
    </row>
    <row r="108" ht="15" customHeight="1">
      <c r="A108" s="197" t="n">
        <v>3</v>
      </c>
      <c r="B108" s="198" t="inlineStr">
        <is>
          <t>C 2</t>
        </is>
      </c>
      <c r="C108" s="184" t="inlineStr">
        <is>
          <t>Fabric</t>
        </is>
      </c>
      <c r="D108" s="180" t="inlineStr">
        <is>
          <t>Top</t>
        </is>
      </c>
      <c r="E108" s="180" t="n"/>
      <c r="F108" s="180" t="n"/>
      <c r="G108" s="180" t="n"/>
      <c r="H108" s="180" t="n"/>
      <c r="I108" s="180" t="n"/>
      <c r="J108" s="180" t="n"/>
      <c r="K108" s="181" t="n"/>
      <c r="L108" s="31" t="n"/>
      <c r="M108" s="32" t="e">
        <v>#N/A</v>
      </c>
      <c r="N108" s="31" t="n"/>
      <c r="O108" s="33" t="n"/>
    </row>
    <row r="109" ht="15" customHeight="1">
      <c r="A109" s="232" t="n"/>
      <c r="B109" s="232" t="n"/>
      <c r="C109" s="235" t="n"/>
      <c r="D109" s="169" t="inlineStr">
        <is>
          <t>Bottom</t>
        </is>
      </c>
      <c r="E109" s="169" t="n"/>
      <c r="F109" s="169" t="n"/>
      <c r="G109" s="169" t="n"/>
      <c r="H109" s="169" t="n"/>
      <c r="I109" s="169" t="n"/>
      <c r="J109" s="169" t="n"/>
      <c r="K109" s="171" t="n"/>
      <c r="L109" s="14" t="n"/>
      <c r="M109" s="15" t="e">
        <v>#N/A</v>
      </c>
      <c r="N109" s="14" t="n"/>
      <c r="O109" s="16" t="n"/>
    </row>
    <row r="110" ht="15.75" customHeight="1">
      <c r="A110" s="234" t="n"/>
      <c r="B110" s="234" t="n"/>
      <c r="C110" s="175" t="inlineStr">
        <is>
          <t>SVG</t>
        </is>
      </c>
      <c r="D110" s="166" t="inlineStr">
        <is>
          <t>-</t>
        </is>
      </c>
      <c r="E110" s="166" t="n">
        <v>22</v>
      </c>
      <c r="F110" s="166" t="inlineStr">
        <is>
          <t>Passing</t>
        </is>
      </c>
      <c r="G110" s="166" t="inlineStr">
        <is>
          <t>C2 SVG</t>
        </is>
      </c>
      <c r="H110" s="166" t="n">
        <v>56</v>
      </c>
      <c r="I110" s="166" t="inlineStr">
        <is>
          <t>17.5 X 24</t>
        </is>
      </c>
      <c r="J110" s="166" t="n">
        <v>72</v>
      </c>
      <c r="K110" s="176" t="n"/>
      <c r="L110" s="25" t="n"/>
      <c r="M110" s="26" t="n">
        <v>0.4398148148148148</v>
      </c>
      <c r="N110" s="25" t="n"/>
      <c r="O110" s="27" t="n"/>
    </row>
    <row r="111" ht="15" customHeight="1">
      <c r="A111" s="197" t="n">
        <v>4</v>
      </c>
      <c r="B111" s="198" t="inlineStr">
        <is>
          <t>C 3</t>
        </is>
      </c>
      <c r="C111" s="184" t="inlineStr">
        <is>
          <t>Fabric</t>
        </is>
      </c>
      <c r="D111" s="180" t="inlineStr">
        <is>
          <t>Top</t>
        </is>
      </c>
      <c r="E111" s="180" t="n"/>
      <c r="F111" s="180" t="n"/>
      <c r="G111" s="180" t="n"/>
      <c r="H111" s="180" t="n"/>
      <c r="I111" s="180" t="n"/>
      <c r="J111" s="180" t="n"/>
      <c r="K111" s="181" t="n"/>
      <c r="L111" s="31" t="n"/>
      <c r="M111" s="32" t="e">
        <v>#N/A</v>
      </c>
      <c r="N111" s="31" t="n"/>
      <c r="O111" s="33" t="n"/>
    </row>
    <row r="112" ht="15" customHeight="1">
      <c r="A112" s="232" t="n"/>
      <c r="B112" s="232" t="n"/>
      <c r="C112" s="235" t="n"/>
      <c r="D112" s="169" t="inlineStr">
        <is>
          <t>Bottom</t>
        </is>
      </c>
      <c r="E112" s="169" t="n"/>
      <c r="F112" s="169" t="n"/>
      <c r="G112" s="169" t="n"/>
      <c r="H112" s="169" t="n"/>
      <c r="I112" s="169" t="n"/>
      <c r="J112" s="169" t="n"/>
      <c r="K112" s="171" t="n"/>
      <c r="L112" s="14" t="n"/>
      <c r="M112" s="15" t="e">
        <v>#N/A</v>
      </c>
      <c r="N112" s="14" t="n"/>
      <c r="O112" s="16" t="n"/>
    </row>
    <row r="113" ht="15.75" customHeight="1">
      <c r="A113" s="234" t="n"/>
      <c r="B113" s="234" t="n"/>
      <c r="C113" s="175" t="inlineStr">
        <is>
          <t>SVG</t>
        </is>
      </c>
      <c r="D113" s="166" t="inlineStr">
        <is>
          <t>-</t>
        </is>
      </c>
      <c r="E113" s="166" t="n">
        <v>22</v>
      </c>
      <c r="F113" s="166" t="inlineStr">
        <is>
          <t>Single</t>
        </is>
      </c>
      <c r="G113" s="166" t="inlineStr">
        <is>
          <t>C3 SVG</t>
        </is>
      </c>
      <c r="H113" s="166" t="n">
        <v>65</v>
      </c>
      <c r="I113" s="166" t="inlineStr">
        <is>
          <t>21.5 X 21.5</t>
        </is>
      </c>
      <c r="J113" s="166" t="n">
        <v>49</v>
      </c>
      <c r="K113" s="176" t="n"/>
      <c r="L113" s="25" t="n"/>
      <c r="M113" s="26" t="n">
        <v>0.4398148148148148</v>
      </c>
      <c r="N113" s="25" t="n"/>
      <c r="O113" s="27" t="n"/>
    </row>
    <row r="114" ht="15" customHeight="1">
      <c r="A114" s="197" t="n">
        <v>5</v>
      </c>
      <c r="B114" s="198" t="inlineStr">
        <is>
          <t>C 4</t>
        </is>
      </c>
      <c r="C114" s="184" t="inlineStr">
        <is>
          <t>Fabric</t>
        </is>
      </c>
      <c r="D114" s="180" t="inlineStr">
        <is>
          <t>Top</t>
        </is>
      </c>
      <c r="E114" s="180" t="n"/>
      <c r="F114" s="180" t="n"/>
      <c r="G114" s="180" t="n"/>
      <c r="H114" s="180" t="n"/>
      <c r="I114" s="180" t="n"/>
      <c r="J114" s="180" t="n"/>
      <c r="K114" s="181" t="n"/>
      <c r="L114" s="31" t="n"/>
      <c r="M114" s="32" t="e">
        <v>#N/A</v>
      </c>
      <c r="N114" s="31" t="n"/>
      <c r="O114" s="33" t="n"/>
    </row>
    <row r="115" ht="15" customHeight="1">
      <c r="A115" s="232" t="n"/>
      <c r="B115" s="232" t="n"/>
      <c r="C115" s="235" t="n"/>
      <c r="D115" s="169" t="inlineStr">
        <is>
          <t>Bottom</t>
        </is>
      </c>
      <c r="E115" s="169" t="n"/>
      <c r="F115" s="169" t="n"/>
      <c r="G115" s="169" t="n"/>
      <c r="H115" s="169" t="n"/>
      <c r="I115" s="169" t="n"/>
      <c r="J115" s="169" t="n"/>
      <c r="K115" s="171" t="n"/>
      <c r="L115" s="14" t="n"/>
      <c r="M115" s="15" t="e">
        <v>#N/A</v>
      </c>
      <c r="N115" s="14" t="n"/>
      <c r="O115" s="16" t="n"/>
    </row>
    <row r="116" ht="15.75" customHeight="1">
      <c r="A116" s="234" t="n"/>
      <c r="B116" s="234" t="n"/>
      <c r="C116" s="175" t="inlineStr">
        <is>
          <t>SVG</t>
        </is>
      </c>
      <c r="D116" s="166" t="inlineStr">
        <is>
          <t>-</t>
        </is>
      </c>
      <c r="E116" s="166" t="n">
        <v>22</v>
      </c>
      <c r="F116" s="166" t="inlineStr">
        <is>
          <t>Single</t>
        </is>
      </c>
      <c r="G116" s="166" t="inlineStr">
        <is>
          <t>C4 SVG</t>
        </is>
      </c>
      <c r="H116" s="166" t="n">
        <v>70</v>
      </c>
      <c r="I116" s="166" t="inlineStr">
        <is>
          <t>23 X 23</t>
        </is>
      </c>
      <c r="J116" s="166" t="n">
        <v>49</v>
      </c>
      <c r="K116" s="176" t="n"/>
      <c r="L116" s="25" t="n"/>
      <c r="M116" s="26" t="n">
        <v>0.4398148148148148</v>
      </c>
      <c r="N116" s="25" t="n"/>
      <c r="O116" s="27" t="n"/>
    </row>
    <row r="117" ht="15" customHeight="1">
      <c r="A117" s="197" t="n">
        <v>6</v>
      </c>
      <c r="B117" s="198" t="inlineStr">
        <is>
          <t>C 32</t>
        </is>
      </c>
      <c r="C117" s="184" t="inlineStr">
        <is>
          <t>LVP</t>
        </is>
      </c>
      <c r="D117" s="180" t="inlineStr">
        <is>
          <t>Top</t>
        </is>
      </c>
      <c r="E117" s="180" t="n">
        <v>75</v>
      </c>
      <c r="F117" s="180" t="inlineStr">
        <is>
          <t>Passing</t>
        </is>
      </c>
      <c r="G117" s="180" t="inlineStr">
        <is>
          <t>C32 LVP</t>
        </is>
      </c>
      <c r="H117" s="180" t="n">
        <v>70</v>
      </c>
      <c r="I117" s="180" t="inlineStr">
        <is>
          <t>18.5 X 21.5</t>
        </is>
      </c>
      <c r="J117" s="180" t="n">
        <v>42</v>
      </c>
      <c r="K117" s="181" t="n"/>
      <c r="L117" s="31" t="n"/>
      <c r="M117" s="32" t="n">
        <v>1.433962264150943</v>
      </c>
      <c r="N117" s="31" t="n"/>
      <c r="O117" s="33" t="n"/>
    </row>
    <row r="118" ht="15" customHeight="1">
      <c r="A118" s="232" t="n"/>
      <c r="B118" s="232" t="n"/>
      <c r="C118" s="235" t="n"/>
      <c r="D118" s="169" t="inlineStr">
        <is>
          <t>Bottom</t>
        </is>
      </c>
      <c r="E118" s="169" t="n"/>
      <c r="F118" s="169" t="n"/>
      <c r="G118" s="169" t="n"/>
      <c r="H118" s="169" t="n"/>
      <c r="I118" s="169" t="n"/>
      <c r="J118" s="169" t="n"/>
      <c r="K118" s="171" t="n"/>
      <c r="L118" s="14" t="n"/>
      <c r="M118" s="15" t="e">
        <v>#N/A</v>
      </c>
      <c r="N118" s="14" t="n"/>
      <c r="O118" s="16" t="n"/>
    </row>
    <row r="119" ht="15.75" customHeight="1">
      <c r="A119" s="234" t="n"/>
      <c r="B119" s="234" t="n"/>
      <c r="C119" s="175" t="inlineStr">
        <is>
          <t>SVG</t>
        </is>
      </c>
      <c r="D119" s="166" t="inlineStr">
        <is>
          <t>-</t>
        </is>
      </c>
      <c r="E119" s="166" t="n">
        <v>22</v>
      </c>
      <c r="F119" s="166" t="inlineStr">
        <is>
          <t>Passing</t>
        </is>
      </c>
      <c r="G119" s="166" t="inlineStr">
        <is>
          <t>C 32 SVG</t>
        </is>
      </c>
      <c r="H119" s="166" t="n">
        <v>78</v>
      </c>
      <c r="I119" s="166" t="inlineStr">
        <is>
          <t>17 X 23.5</t>
        </is>
      </c>
      <c r="J119" s="166" t="n">
        <v>35</v>
      </c>
      <c r="K119" s="176" t="n"/>
      <c r="L119" s="25" t="n"/>
      <c r="M119" s="26" t="n">
        <v>0.4398148148148148</v>
      </c>
      <c r="N119" s="25" t="n"/>
      <c r="O119" s="27" t="n"/>
    </row>
    <row r="120" ht="15" customHeight="1">
      <c r="A120" s="197" t="n">
        <v>7</v>
      </c>
      <c r="B120" s="198" t="inlineStr">
        <is>
          <t>C 42</t>
        </is>
      </c>
      <c r="C120" s="184" t="inlineStr">
        <is>
          <t>LVP</t>
        </is>
      </c>
      <c r="D120" s="180" t="inlineStr">
        <is>
          <t>Top</t>
        </is>
      </c>
      <c r="E120" s="180" t="n">
        <v>75</v>
      </c>
      <c r="F120" s="180" t="inlineStr">
        <is>
          <t>Single</t>
        </is>
      </c>
      <c r="G120" s="180" t="inlineStr">
        <is>
          <t>C42 LVP</t>
        </is>
      </c>
      <c r="H120" s="180" t="inlineStr">
        <is>
          <t>102 X 102</t>
        </is>
      </c>
      <c r="I120" s="180" t="inlineStr">
        <is>
          <t>23 X 23</t>
        </is>
      </c>
      <c r="J120" s="180" t="n">
        <v>25</v>
      </c>
      <c r="K120" s="181" t="n"/>
      <c r="L120" s="31" t="n"/>
      <c r="M120" s="32" t="n">
        <v>1.433962264150943</v>
      </c>
      <c r="N120" s="31" t="n"/>
      <c r="O120" s="33" t="n"/>
    </row>
    <row r="121" ht="15" customHeight="1">
      <c r="A121" s="232" t="n"/>
      <c r="B121" s="232" t="n"/>
      <c r="C121" s="235" t="n"/>
      <c r="D121" s="169" t="inlineStr">
        <is>
          <t>Bottom</t>
        </is>
      </c>
      <c r="E121" s="169" t="n"/>
      <c r="F121" s="169" t="n"/>
      <c r="G121" s="169" t="n"/>
      <c r="H121" s="169" t="n"/>
      <c r="I121" s="169" t="n"/>
      <c r="J121" s="169" t="n"/>
      <c r="K121" s="171" t="n"/>
      <c r="L121" s="14" t="n"/>
      <c r="M121" s="15" t="e">
        <v>#N/A</v>
      </c>
      <c r="N121" s="14" t="n"/>
      <c r="O121" s="16" t="n"/>
    </row>
    <row r="122" ht="15.75" customHeight="1">
      <c r="A122" s="234" t="n"/>
      <c r="B122" s="234" t="n"/>
      <c r="C122" s="175" t="inlineStr">
        <is>
          <t>SVG</t>
        </is>
      </c>
      <c r="D122" s="166" t="inlineStr">
        <is>
          <t>-</t>
        </is>
      </c>
      <c r="E122" s="166" t="n">
        <v>22</v>
      </c>
      <c r="F122" s="166" t="inlineStr">
        <is>
          <t>Single</t>
        </is>
      </c>
      <c r="G122" s="166" t="inlineStr">
        <is>
          <t>C42 SVG</t>
        </is>
      </c>
      <c r="H122" s="166" t="inlineStr">
        <is>
          <t>114 X 114</t>
        </is>
      </c>
      <c r="I122" s="166" t="inlineStr">
        <is>
          <t>25 X 25</t>
        </is>
      </c>
      <c r="J122" s="166" t="n">
        <v>25</v>
      </c>
      <c r="K122" s="176" t="n"/>
      <c r="L122" s="25" t="n"/>
      <c r="M122" s="26" t="n">
        <v>0.4398148148148148</v>
      </c>
      <c r="N122" s="25" t="n"/>
      <c r="O122" s="27" t="n"/>
    </row>
    <row r="123" ht="15" customHeight="1">
      <c r="A123" s="197" t="n">
        <v>8</v>
      </c>
      <c r="B123" s="198" t="inlineStr">
        <is>
          <t>C 52</t>
        </is>
      </c>
      <c r="C123" s="184" t="inlineStr">
        <is>
          <t>LVP</t>
        </is>
      </c>
      <c r="D123" s="180" t="inlineStr">
        <is>
          <t>Top</t>
        </is>
      </c>
      <c r="E123" s="180" t="n">
        <v>40</v>
      </c>
      <c r="F123" s="180" t="inlineStr">
        <is>
          <t>Single</t>
        </is>
      </c>
      <c r="G123" s="180" t="inlineStr">
        <is>
          <t>C52 LVP</t>
        </is>
      </c>
      <c r="H123" s="180" t="inlineStr">
        <is>
          <t>130 X 130</t>
        </is>
      </c>
      <c r="I123" s="180" t="inlineStr">
        <is>
          <t>22.5 X 22.5</t>
        </is>
      </c>
      <c r="J123" s="180" t="n">
        <v>16</v>
      </c>
      <c r="K123" s="181" t="n"/>
      <c r="L123" s="31" t="n"/>
      <c r="M123" s="32" t="n">
        <v>0.6977821913273751</v>
      </c>
      <c r="N123" s="31" t="n"/>
      <c r="O123" s="33" t="n"/>
    </row>
    <row r="124" ht="15" customHeight="1">
      <c r="A124" s="232" t="n"/>
      <c r="B124" s="232" t="n"/>
      <c r="C124" s="235" t="n"/>
      <c r="D124" s="169" t="inlineStr">
        <is>
          <t>Bottom</t>
        </is>
      </c>
      <c r="E124" s="169" t="n">
        <v>40</v>
      </c>
      <c r="F124" s="169" t="inlineStr">
        <is>
          <t>Single</t>
        </is>
      </c>
      <c r="G124" s="180" t="inlineStr">
        <is>
          <t>C52 LVP</t>
        </is>
      </c>
      <c r="H124" s="180" t="inlineStr">
        <is>
          <t>130 X 130</t>
        </is>
      </c>
      <c r="I124" s="180" t="inlineStr">
        <is>
          <t>22.5 X 22.5</t>
        </is>
      </c>
      <c r="J124" s="180" t="n">
        <v>16</v>
      </c>
      <c r="K124" s="171" t="n"/>
      <c r="L124" s="14" t="n"/>
      <c r="M124" s="15" t="n">
        <v>0.6977821913273751</v>
      </c>
      <c r="N124" s="14" t="n"/>
      <c r="O124" s="16" t="n"/>
    </row>
    <row r="125" ht="15.75" customHeight="1">
      <c r="A125" s="234" t="n"/>
      <c r="B125" s="234" t="n"/>
      <c r="C125" s="175" t="inlineStr">
        <is>
          <t>SVG</t>
        </is>
      </c>
      <c r="D125" s="166" t="inlineStr">
        <is>
          <t>-</t>
        </is>
      </c>
      <c r="E125" s="166" t="n">
        <v>22</v>
      </c>
      <c r="F125" s="166" t="inlineStr">
        <is>
          <t>Single</t>
        </is>
      </c>
      <c r="G125" s="166" t="inlineStr">
        <is>
          <t>C52 SVG</t>
        </is>
      </c>
      <c r="H125" s="166" t="inlineStr">
        <is>
          <t>142 X 142</t>
        </is>
      </c>
      <c r="I125" s="166" t="inlineStr">
        <is>
          <t>24.5 X 24.5</t>
        </is>
      </c>
      <c r="J125" s="166" t="n">
        <v>16</v>
      </c>
      <c r="K125" s="176" t="n"/>
      <c r="L125" s="25" t="n"/>
      <c r="M125" s="26" t="n">
        <v>0.4398148148148148</v>
      </c>
      <c r="N125" s="25" t="n"/>
      <c r="O125" s="27" t="n"/>
    </row>
    <row r="126" ht="15" customHeight="1">
      <c r="A126" s="197" t="n">
        <v>9</v>
      </c>
      <c r="B126" s="198" t="inlineStr">
        <is>
          <t>C 64</t>
        </is>
      </c>
      <c r="C126" s="184" t="inlineStr">
        <is>
          <t>LVP</t>
        </is>
      </c>
      <c r="D126" s="180" t="inlineStr">
        <is>
          <t>Top</t>
        </is>
      </c>
      <c r="E126" s="180" t="n">
        <v>40</v>
      </c>
      <c r="F126" s="180" t="inlineStr">
        <is>
          <t>Single</t>
        </is>
      </c>
      <c r="G126" s="180" t="inlineStr">
        <is>
          <t>C64 LVP</t>
        </is>
      </c>
      <c r="H126" s="180" t="inlineStr">
        <is>
          <t>143 X 143</t>
        </is>
      </c>
      <c r="I126" s="180" t="inlineStr">
        <is>
          <t>24.5 X 24.5</t>
        </is>
      </c>
      <c r="J126" s="180" t="n">
        <v>16</v>
      </c>
      <c r="K126" s="181" t="n"/>
      <c r="L126" s="31" t="n"/>
      <c r="M126" s="32" t="n">
        <v>0.6977821913273751</v>
      </c>
      <c r="N126" s="31" t="n"/>
      <c r="O126" s="33" t="n"/>
    </row>
    <row r="127" ht="15" customHeight="1">
      <c r="A127" s="232" t="n"/>
      <c r="B127" s="232" t="n"/>
      <c r="C127" s="235" t="n"/>
      <c r="D127" s="169" t="inlineStr">
        <is>
          <t>Bottom</t>
        </is>
      </c>
      <c r="E127" s="169" t="n">
        <v>40</v>
      </c>
      <c r="F127" s="169" t="inlineStr">
        <is>
          <t>Single</t>
        </is>
      </c>
      <c r="G127" s="180" t="inlineStr">
        <is>
          <t>C64 LVP</t>
        </is>
      </c>
      <c r="H127" s="180" t="inlineStr">
        <is>
          <t>143 X 143</t>
        </is>
      </c>
      <c r="I127" s="180" t="inlineStr">
        <is>
          <t>24.5 X 24.5</t>
        </is>
      </c>
      <c r="J127" s="180" t="n">
        <v>16</v>
      </c>
      <c r="K127" s="171" t="n"/>
      <c r="L127" s="14" t="n"/>
      <c r="M127" s="15" t="n">
        <v>0.6977821913273751</v>
      </c>
      <c r="N127" s="14" t="n"/>
      <c r="O127" s="16" t="n"/>
    </row>
    <row r="128" ht="15.75" customHeight="1">
      <c r="A128" s="234" t="n"/>
      <c r="B128" s="234" t="n"/>
      <c r="C128" s="175" t="inlineStr">
        <is>
          <t>SVG</t>
        </is>
      </c>
      <c r="D128" s="166" t="inlineStr">
        <is>
          <t>-</t>
        </is>
      </c>
      <c r="E128" s="166" t="n">
        <v>22</v>
      </c>
      <c r="F128" s="166" t="inlineStr">
        <is>
          <t>Single</t>
        </is>
      </c>
      <c r="G128" s="166" t="inlineStr">
        <is>
          <t>C64 SVG</t>
        </is>
      </c>
      <c r="H128" s="166" t="inlineStr">
        <is>
          <t>158 X 158</t>
        </is>
      </c>
      <c r="I128" s="166" t="inlineStr">
        <is>
          <t>20 X 20</t>
        </is>
      </c>
      <c r="J128" s="166" t="n">
        <v>9</v>
      </c>
      <c r="K128" s="176" t="n"/>
      <c r="L128" s="25" t="n"/>
      <c r="M128" s="26" t="n">
        <v>0.4398148148148148</v>
      </c>
      <c r="N128" s="25" t="n"/>
      <c r="O128" s="27" t="n"/>
    </row>
    <row r="129" ht="15" customHeight="1">
      <c r="A129" s="197" t="n">
        <v>10</v>
      </c>
      <c r="B129" s="198" t="inlineStr">
        <is>
          <t>C 74</t>
        </is>
      </c>
      <c r="C129" s="184" t="inlineStr">
        <is>
          <t>LVP</t>
        </is>
      </c>
      <c r="D129" s="180" t="inlineStr">
        <is>
          <t>Top</t>
        </is>
      </c>
      <c r="E129" s="180" t="n">
        <v>40</v>
      </c>
      <c r="F129" s="180" t="inlineStr">
        <is>
          <t>Single</t>
        </is>
      </c>
      <c r="G129" s="180" t="inlineStr">
        <is>
          <t>C74 LVP</t>
        </is>
      </c>
      <c r="H129" s="180" t="inlineStr">
        <is>
          <t>165 X 165</t>
        </is>
      </c>
      <c r="I129" s="180" t="inlineStr">
        <is>
          <t>21 X 21</t>
        </is>
      </c>
      <c r="J129" s="180" t="n">
        <v>9</v>
      </c>
      <c r="K129" s="181" t="n"/>
      <c r="L129" s="31" t="n"/>
      <c r="M129" s="32" t="n">
        <v>0.6977821913273751</v>
      </c>
      <c r="N129" s="31" t="n"/>
      <c r="O129" s="33" t="n"/>
    </row>
    <row r="130" ht="15" customHeight="1">
      <c r="A130" s="232" t="n"/>
      <c r="B130" s="232" t="n"/>
      <c r="C130" s="235" t="n"/>
      <c r="D130" s="169" t="inlineStr">
        <is>
          <t>Bottom</t>
        </is>
      </c>
      <c r="E130" s="169" t="n">
        <v>40</v>
      </c>
      <c r="F130" s="169" t="inlineStr">
        <is>
          <t>Single</t>
        </is>
      </c>
      <c r="G130" s="180" t="inlineStr">
        <is>
          <t>C74 LVP</t>
        </is>
      </c>
      <c r="H130" s="180" t="inlineStr">
        <is>
          <t>165 X 165</t>
        </is>
      </c>
      <c r="I130" s="180" t="inlineStr">
        <is>
          <t>21 X 21</t>
        </is>
      </c>
      <c r="J130" s="180" t="n">
        <v>9</v>
      </c>
      <c r="K130" s="171" t="n"/>
      <c r="L130" s="14" t="n"/>
      <c r="M130" s="15" t="n">
        <v>0.6977821913273751</v>
      </c>
      <c r="N130" s="14" t="n"/>
      <c r="O130" s="16" t="n"/>
    </row>
    <row r="131" ht="15.75" customHeight="1">
      <c r="A131" s="234" t="n"/>
      <c r="B131" s="234" t="n"/>
      <c r="C131" s="175" t="inlineStr">
        <is>
          <t>SVG</t>
        </is>
      </c>
      <c r="D131" s="166" t="inlineStr">
        <is>
          <t>-</t>
        </is>
      </c>
      <c r="E131" s="166" t="n">
        <v>22</v>
      </c>
      <c r="F131" s="166" t="inlineStr">
        <is>
          <t>Single</t>
        </is>
      </c>
      <c r="G131" s="166" t="inlineStr">
        <is>
          <t>C74 SVG</t>
        </is>
      </c>
      <c r="H131" s="166" t="inlineStr">
        <is>
          <t>182 X 182</t>
        </is>
      </c>
      <c r="I131" s="166" t="inlineStr">
        <is>
          <t>23 X 23</t>
        </is>
      </c>
      <c r="J131" s="166" t="n">
        <v>9</v>
      </c>
      <c r="K131" s="176" t="n"/>
      <c r="L131" s="25" t="n"/>
      <c r="M131" s="26" t="n">
        <v>0.4398148148148148</v>
      </c>
      <c r="N131" s="25" t="n"/>
      <c r="O131" s="27" t="n"/>
    </row>
    <row r="132" ht="15" customHeight="1">
      <c r="A132" s="197" t="n">
        <v>11</v>
      </c>
      <c r="B132" s="198" t="inlineStr">
        <is>
          <t>C 84</t>
        </is>
      </c>
      <c r="C132" s="179" t="inlineStr">
        <is>
          <t>LVP</t>
        </is>
      </c>
      <c r="D132" s="180" t="inlineStr">
        <is>
          <t>Top</t>
        </is>
      </c>
      <c r="E132" s="180" t="n">
        <v>40</v>
      </c>
      <c r="F132" s="180" t="inlineStr">
        <is>
          <t>Single</t>
        </is>
      </c>
      <c r="G132" s="180" t="inlineStr">
        <is>
          <t>C84/86 LVP</t>
        </is>
      </c>
      <c r="H132" s="180" t="inlineStr">
        <is>
          <t>191 X 191</t>
        </is>
      </c>
      <c r="I132" s="180" t="inlineStr">
        <is>
          <t>24 X 24</t>
        </is>
      </c>
      <c r="J132" s="180" t="n">
        <v>9</v>
      </c>
      <c r="K132" s="181" t="n"/>
      <c r="L132" s="31" t="n"/>
      <c r="M132" s="32" t="n">
        <v>0.6977821913273751</v>
      </c>
      <c r="N132" s="31" t="n"/>
      <c r="O132" s="33" t="n"/>
    </row>
    <row r="133" ht="15" customHeight="1">
      <c r="A133" s="232" t="n"/>
      <c r="B133" s="232" t="n"/>
      <c r="C133" s="168" t="n"/>
      <c r="D133" s="169" t="inlineStr">
        <is>
          <t>Bottom</t>
        </is>
      </c>
      <c r="E133" s="169" t="n">
        <v>40</v>
      </c>
      <c r="F133" s="169" t="inlineStr">
        <is>
          <t>Single</t>
        </is>
      </c>
      <c r="G133" s="180" t="inlineStr">
        <is>
          <t>C84/86 LVP</t>
        </is>
      </c>
      <c r="H133" s="180" t="inlineStr">
        <is>
          <t>191 X 191</t>
        </is>
      </c>
      <c r="I133" s="180" t="inlineStr">
        <is>
          <t>24 X 24</t>
        </is>
      </c>
      <c r="J133" s="180" t="n">
        <v>9</v>
      </c>
      <c r="K133" s="181" t="n"/>
      <c r="L133" s="14" t="n"/>
      <c r="M133" s="15" t="n">
        <v>0.6977821913273751</v>
      </c>
      <c r="N133" s="14" t="n"/>
      <c r="O133" s="16" t="n"/>
    </row>
    <row r="134" ht="15.75" customHeight="1">
      <c r="A134" s="234" t="n"/>
      <c r="B134" s="234" t="n"/>
      <c r="C134" s="175" t="inlineStr">
        <is>
          <t>SVG</t>
        </is>
      </c>
      <c r="D134" s="166" t="inlineStr">
        <is>
          <t>-</t>
        </is>
      </c>
      <c r="E134" s="166" t="n">
        <v>22</v>
      </c>
      <c r="F134" s="166" t="inlineStr">
        <is>
          <t>Single</t>
        </is>
      </c>
      <c r="G134" s="166" t="inlineStr">
        <is>
          <t>C84/86 SVG</t>
        </is>
      </c>
      <c r="H134" s="166" t="inlineStr">
        <is>
          <t>208 X 208</t>
        </is>
      </c>
      <c r="I134" s="166" t="inlineStr">
        <is>
          <t>26 X 26</t>
        </is>
      </c>
      <c r="J134" s="166" t="n">
        <v>9</v>
      </c>
      <c r="K134" s="181" t="n"/>
      <c r="L134" s="25" t="n"/>
      <c r="M134" s="26" t="n">
        <v>0.4398148148148148</v>
      </c>
      <c r="N134" s="25" t="n"/>
      <c r="O134" s="27" t="n"/>
    </row>
    <row r="135" ht="15" customHeight="1">
      <c r="A135" s="197" t="n">
        <v>12</v>
      </c>
      <c r="B135" s="198" t="inlineStr">
        <is>
          <t>C 86</t>
        </is>
      </c>
      <c r="C135" s="179" t="inlineStr">
        <is>
          <t>LVP</t>
        </is>
      </c>
      <c r="D135" s="180" t="inlineStr">
        <is>
          <t>Top</t>
        </is>
      </c>
      <c r="E135" s="180" t="n">
        <v>40</v>
      </c>
      <c r="F135" s="180" t="inlineStr">
        <is>
          <t>Single</t>
        </is>
      </c>
      <c r="G135" s="180" t="inlineStr">
        <is>
          <t>C84/86 LVP</t>
        </is>
      </c>
      <c r="H135" s="180" t="inlineStr">
        <is>
          <t>191 X 191</t>
        </is>
      </c>
      <c r="I135" s="180" t="inlineStr">
        <is>
          <t>24 X 24</t>
        </is>
      </c>
      <c r="J135" s="180" t="n">
        <v>9</v>
      </c>
      <c r="K135" s="181" t="n"/>
      <c r="L135" s="31" t="n"/>
      <c r="M135" s="32" t="n">
        <v>0.6977821913273751</v>
      </c>
      <c r="N135" s="31" t="n"/>
      <c r="O135" s="33" t="n"/>
    </row>
    <row r="136" ht="15" customHeight="1">
      <c r="A136" s="232" t="n"/>
      <c r="B136" s="232" t="n"/>
      <c r="C136" s="168" t="n"/>
      <c r="D136" s="169" t="inlineStr">
        <is>
          <t>Bottom</t>
        </is>
      </c>
      <c r="E136" s="169" t="n">
        <v>40</v>
      </c>
      <c r="F136" s="169" t="inlineStr">
        <is>
          <t>Single</t>
        </is>
      </c>
      <c r="G136" s="180" t="inlineStr">
        <is>
          <t>C84/86 LVP</t>
        </is>
      </c>
      <c r="H136" s="180" t="inlineStr">
        <is>
          <t>191 X 191</t>
        </is>
      </c>
      <c r="I136" s="180" t="inlineStr">
        <is>
          <t>24 X 24</t>
        </is>
      </c>
      <c r="J136" s="180" t="n">
        <v>9</v>
      </c>
      <c r="K136" s="171" t="n"/>
      <c r="L136" s="14" t="n"/>
      <c r="M136" s="15" t="n">
        <v>0.6977821913273751</v>
      </c>
      <c r="N136" s="14" t="n"/>
      <c r="O136" s="16" t="n"/>
    </row>
    <row r="137" ht="15.75" customHeight="1">
      <c r="A137" s="234" t="n"/>
      <c r="B137" s="234" t="n"/>
      <c r="C137" s="175" t="inlineStr">
        <is>
          <t>SVG</t>
        </is>
      </c>
      <c r="D137" s="166" t="inlineStr">
        <is>
          <t>-</t>
        </is>
      </c>
      <c r="E137" s="166" t="n">
        <v>22</v>
      </c>
      <c r="F137" s="166" t="inlineStr">
        <is>
          <t>Single</t>
        </is>
      </c>
      <c r="G137" s="166" t="inlineStr">
        <is>
          <t>C84/86 SVG</t>
        </is>
      </c>
      <c r="H137" s="166" t="inlineStr">
        <is>
          <t>208 X 208</t>
        </is>
      </c>
      <c r="I137" s="166" t="inlineStr">
        <is>
          <t>26 X 26</t>
        </is>
      </c>
      <c r="J137" s="166" t="n">
        <v>9</v>
      </c>
      <c r="K137" s="176" t="n"/>
      <c r="L137" s="25" t="n"/>
      <c r="M137" s="26" t="n">
        <v>0.4398148148148148</v>
      </c>
      <c r="N137" s="25" t="n"/>
      <c r="O137" s="27" t="n"/>
    </row>
    <row r="138" ht="15" customHeight="1">
      <c r="A138" s="197" t="n">
        <v>13</v>
      </c>
      <c r="B138" s="198" t="inlineStr">
        <is>
          <t>C 104</t>
        </is>
      </c>
      <c r="C138" s="179" t="inlineStr">
        <is>
          <t>LVP</t>
        </is>
      </c>
      <c r="D138" s="180" t="inlineStr">
        <is>
          <t>Top</t>
        </is>
      </c>
      <c r="E138" s="180" t="n">
        <v>40</v>
      </c>
      <c r="F138" s="180" t="inlineStr">
        <is>
          <t>Single</t>
        </is>
      </c>
      <c r="G138" s="180" t="inlineStr">
        <is>
          <t>C104 LVP</t>
        </is>
      </c>
      <c r="H138" s="180" t="inlineStr">
        <is>
          <t>247 X 247</t>
        </is>
      </c>
      <c r="I138" s="180" t="inlineStr">
        <is>
          <t>20.5 X 20.5</t>
        </is>
      </c>
      <c r="J138" s="180" t="n">
        <v>4</v>
      </c>
      <c r="K138" s="181" t="n"/>
      <c r="L138" s="31" t="n"/>
      <c r="M138" s="32" t="n">
        <v>0.6977821913273751</v>
      </c>
      <c r="N138" s="31" t="n"/>
      <c r="O138" s="33" t="n"/>
    </row>
    <row r="139" ht="15" customHeight="1">
      <c r="A139" s="232" t="n"/>
      <c r="B139" s="232" t="n"/>
      <c r="C139" s="168" t="n"/>
      <c r="D139" s="169" t="inlineStr">
        <is>
          <t>Bottom</t>
        </is>
      </c>
      <c r="E139" s="169" t="n">
        <v>40</v>
      </c>
      <c r="F139" s="169" t="inlineStr">
        <is>
          <t>Single</t>
        </is>
      </c>
      <c r="G139" s="180" t="inlineStr">
        <is>
          <t>C104 LVP</t>
        </is>
      </c>
      <c r="H139" s="180" t="inlineStr">
        <is>
          <t>247 X 247</t>
        </is>
      </c>
      <c r="I139" s="180" t="inlineStr">
        <is>
          <t>20.5 X 20.5</t>
        </is>
      </c>
      <c r="J139" s="180" t="n">
        <v>4</v>
      </c>
      <c r="K139" s="171" t="n"/>
      <c r="L139" s="14" t="n"/>
      <c r="M139" s="15" t="n">
        <v>0.6977821913273751</v>
      </c>
      <c r="N139" s="14" t="n"/>
      <c r="O139" s="16" t="n"/>
    </row>
    <row r="140" ht="15.75" customHeight="1">
      <c r="A140" s="234" t="n"/>
      <c r="B140" s="234" t="n"/>
      <c r="C140" s="175" t="inlineStr">
        <is>
          <t>SVG</t>
        </is>
      </c>
      <c r="D140" s="166" t="inlineStr">
        <is>
          <t>-</t>
        </is>
      </c>
      <c r="E140" s="166" t="n">
        <v>22</v>
      </c>
      <c r="F140" s="166" t="inlineStr">
        <is>
          <t>Single</t>
        </is>
      </c>
      <c r="G140" s="166" t="inlineStr">
        <is>
          <t>C104 SVG</t>
        </is>
      </c>
      <c r="H140" s="166" t="inlineStr">
        <is>
          <t>260 X 260</t>
        </is>
      </c>
      <c r="I140" s="166" t="inlineStr">
        <is>
          <t>21.5 X 21.5</t>
        </is>
      </c>
      <c r="J140" s="166" t="n">
        <v>4</v>
      </c>
      <c r="K140" s="176" t="n"/>
      <c r="L140" s="25" t="n"/>
      <c r="M140" s="26" t="n">
        <v>0.4398148148148148</v>
      </c>
      <c r="N140" s="25" t="n"/>
      <c r="O140" s="27" t="n"/>
    </row>
    <row r="141" ht="15" customHeight="1">
      <c r="A141" s="197" t="n">
        <v>14</v>
      </c>
      <c r="B141" s="198" t="inlineStr">
        <is>
          <t>C 106</t>
        </is>
      </c>
      <c r="C141" s="179" t="inlineStr">
        <is>
          <t>LVP</t>
        </is>
      </c>
      <c r="D141" s="180" t="inlineStr">
        <is>
          <t>Top</t>
        </is>
      </c>
      <c r="E141" s="180" t="n">
        <v>60</v>
      </c>
      <c r="F141" s="180" t="inlineStr">
        <is>
          <t>Single</t>
        </is>
      </c>
      <c r="G141" s="180" t="inlineStr">
        <is>
          <t>C104 LVP</t>
        </is>
      </c>
      <c r="H141" s="180" t="inlineStr">
        <is>
          <t>247 X 247</t>
        </is>
      </c>
      <c r="I141" s="180" t="inlineStr">
        <is>
          <t>20.5 X 20.5</t>
        </is>
      </c>
      <c r="J141" s="180" t="n">
        <v>4</v>
      </c>
      <c r="K141" s="181" t="n"/>
      <c r="L141" s="31" t="n"/>
      <c r="M141" s="32" t="n">
        <v>1.103988603988604</v>
      </c>
      <c r="N141" s="31" t="n"/>
      <c r="O141" s="33" t="n"/>
    </row>
    <row r="142" ht="15" customHeight="1">
      <c r="A142" s="232" t="n"/>
      <c r="B142" s="232" t="n"/>
      <c r="C142" s="168" t="n"/>
      <c r="D142" s="169" t="inlineStr">
        <is>
          <t>Bottom</t>
        </is>
      </c>
      <c r="E142" s="169" t="n">
        <v>40</v>
      </c>
      <c r="F142" s="169" t="inlineStr">
        <is>
          <t>Single</t>
        </is>
      </c>
      <c r="G142" s="180" t="inlineStr">
        <is>
          <t>C104 LVP</t>
        </is>
      </c>
      <c r="H142" s="180" t="inlineStr">
        <is>
          <t>247 X 247</t>
        </is>
      </c>
      <c r="I142" s="180" t="inlineStr">
        <is>
          <t>20.5 X 20.5</t>
        </is>
      </c>
      <c r="J142" s="180" t="n">
        <v>4</v>
      </c>
      <c r="K142" s="171" t="n"/>
      <c r="L142" s="14" t="n"/>
      <c r="M142" s="15" t="n">
        <v>0.6977821913273751</v>
      </c>
      <c r="N142" s="14" t="n"/>
      <c r="O142" s="16" t="n"/>
    </row>
    <row r="143" ht="15.75" customHeight="1">
      <c r="A143" s="234" t="n"/>
      <c r="B143" s="234" t="n"/>
      <c r="C143" s="175" t="inlineStr">
        <is>
          <t>SVG</t>
        </is>
      </c>
      <c r="D143" s="166" t="inlineStr">
        <is>
          <t>-</t>
        </is>
      </c>
      <c r="E143" s="166" t="n">
        <v>22</v>
      </c>
      <c r="F143" s="166" t="inlineStr">
        <is>
          <t>Single</t>
        </is>
      </c>
      <c r="G143" s="166" t="inlineStr">
        <is>
          <t>C104 SVG</t>
        </is>
      </c>
      <c r="H143" s="166" t="inlineStr">
        <is>
          <t>260 X 260</t>
        </is>
      </c>
      <c r="I143" s="166" t="inlineStr">
        <is>
          <t>21.5 X 21.5</t>
        </is>
      </c>
      <c r="J143" s="166" t="n">
        <v>4</v>
      </c>
      <c r="K143" s="176" t="n"/>
      <c r="L143" s="25" t="n"/>
      <c r="M143" s="26" t="n">
        <v>0.4398148148148148</v>
      </c>
      <c r="N143" s="25" t="n"/>
      <c r="O143" s="27" t="n"/>
    </row>
    <row r="144" ht="15" customHeight="1">
      <c r="A144" s="197" t="n">
        <v>15</v>
      </c>
      <c r="B144" s="198" t="inlineStr">
        <is>
          <t>C 108</t>
        </is>
      </c>
      <c r="C144" s="179" t="inlineStr">
        <is>
          <t>LVP</t>
        </is>
      </c>
      <c r="D144" s="180" t="inlineStr">
        <is>
          <t>Top</t>
        </is>
      </c>
      <c r="E144" s="180" t="n">
        <v>60</v>
      </c>
      <c r="F144" s="180" t="inlineStr">
        <is>
          <t>Single</t>
        </is>
      </c>
      <c r="G144" s="180" t="inlineStr">
        <is>
          <t>C104 LVP</t>
        </is>
      </c>
      <c r="H144" s="180" t="inlineStr">
        <is>
          <t>247 X 247</t>
        </is>
      </c>
      <c r="I144" s="180" t="inlineStr">
        <is>
          <t>20.5 X 20.5</t>
        </is>
      </c>
      <c r="J144" s="180" t="n">
        <v>4</v>
      </c>
      <c r="K144" s="181" t="n"/>
      <c r="L144" s="31" t="n"/>
      <c r="M144" s="32" t="n">
        <v>1.103988603988604</v>
      </c>
      <c r="N144" s="31" t="n"/>
      <c r="O144" s="33" t="n"/>
    </row>
    <row r="145" ht="15" customHeight="1">
      <c r="A145" s="232" t="n"/>
      <c r="B145" s="232" t="n"/>
      <c r="C145" s="168" t="n"/>
      <c r="D145" s="169" t="inlineStr">
        <is>
          <t>Bottom</t>
        </is>
      </c>
      <c r="E145" s="169" t="n">
        <v>40</v>
      </c>
      <c r="F145" s="169" t="inlineStr">
        <is>
          <t>Single</t>
        </is>
      </c>
      <c r="G145" s="180" t="inlineStr">
        <is>
          <t>C104 LVP</t>
        </is>
      </c>
      <c r="H145" s="180" t="inlineStr">
        <is>
          <t>247 X 247</t>
        </is>
      </c>
      <c r="I145" s="180" t="inlineStr">
        <is>
          <t>20.5 X 20.5</t>
        </is>
      </c>
      <c r="J145" s="180" t="n">
        <v>4</v>
      </c>
      <c r="K145" s="171" t="n"/>
      <c r="L145" s="14" t="n"/>
      <c r="M145" s="15" t="n">
        <v>0.6977821913273751</v>
      </c>
      <c r="N145" s="14" t="n"/>
      <c r="O145" s="16" t="n"/>
    </row>
    <row r="146" ht="15.75" customHeight="1">
      <c r="A146" s="234" t="n"/>
      <c r="B146" s="234" t="n"/>
      <c r="C146" s="175" t="inlineStr">
        <is>
          <t>SVG</t>
        </is>
      </c>
      <c r="D146" s="166" t="inlineStr">
        <is>
          <t>-</t>
        </is>
      </c>
      <c r="E146" s="166" t="n">
        <v>22</v>
      </c>
      <c r="F146" s="166" t="inlineStr">
        <is>
          <t>Single</t>
        </is>
      </c>
      <c r="G146" s="166" t="inlineStr">
        <is>
          <t>C104 SVG</t>
        </is>
      </c>
      <c r="H146" s="166" t="inlineStr">
        <is>
          <t>260 X 260</t>
        </is>
      </c>
      <c r="I146" s="166" t="inlineStr">
        <is>
          <t>21.5 X 21.5</t>
        </is>
      </c>
      <c r="J146" s="166" t="n">
        <v>4</v>
      </c>
      <c r="K146" s="176" t="n"/>
      <c r="L146" s="25" t="n"/>
      <c r="M146" s="26" t="n">
        <v>0.4398148148148148</v>
      </c>
      <c r="N146" s="25" t="n"/>
      <c r="O146" s="27" t="n"/>
    </row>
    <row r="147" ht="15" customHeight="1">
      <c r="A147" s="197" t="n">
        <v>16</v>
      </c>
      <c r="B147" s="198" t="inlineStr">
        <is>
          <t>C 126</t>
        </is>
      </c>
      <c r="C147" s="179" t="inlineStr">
        <is>
          <t>LVP</t>
        </is>
      </c>
      <c r="D147" s="180" t="inlineStr">
        <is>
          <t>Top</t>
        </is>
      </c>
      <c r="E147" s="180" t="n">
        <v>60</v>
      </c>
      <c r="F147" s="180" t="inlineStr">
        <is>
          <t>Single</t>
        </is>
      </c>
      <c r="G147" s="180" t="inlineStr">
        <is>
          <t>C126 /128 LVP</t>
        </is>
      </c>
      <c r="H147" s="180" t="inlineStr">
        <is>
          <t>289 X 289</t>
        </is>
      </c>
      <c r="I147" s="180" t="inlineStr">
        <is>
          <t>24 X 24</t>
        </is>
      </c>
      <c r="J147" s="180" t="n">
        <v>4</v>
      </c>
      <c r="K147" s="181" t="n"/>
      <c r="L147" s="31" t="n"/>
      <c r="M147" s="32" t="n">
        <v>1.103988603988604</v>
      </c>
      <c r="N147" s="31" t="n"/>
      <c r="O147" s="33" t="n"/>
    </row>
    <row r="148" ht="15" customHeight="1">
      <c r="A148" s="232" t="n"/>
      <c r="B148" s="232" t="n"/>
      <c r="C148" s="168" t="n"/>
      <c r="D148" s="169" t="inlineStr">
        <is>
          <t>Bottom</t>
        </is>
      </c>
      <c r="E148" s="169" t="n">
        <v>40</v>
      </c>
      <c r="F148" s="169" t="inlineStr">
        <is>
          <t>Single</t>
        </is>
      </c>
      <c r="G148" s="180" t="inlineStr">
        <is>
          <t>C126 /128 LVP</t>
        </is>
      </c>
      <c r="H148" s="180" t="inlineStr">
        <is>
          <t>289 X 289</t>
        </is>
      </c>
      <c r="I148" s="180" t="inlineStr">
        <is>
          <t>24 X 24</t>
        </is>
      </c>
      <c r="J148" s="180" t="n">
        <v>4</v>
      </c>
      <c r="K148" s="171" t="n"/>
      <c r="L148" s="14" t="n"/>
      <c r="M148" s="15" t="n">
        <v>0.6977821913273751</v>
      </c>
      <c r="N148" s="14" t="n"/>
      <c r="O148" s="16" t="n"/>
    </row>
    <row r="149" ht="15.75" customHeight="1">
      <c r="A149" s="234" t="n"/>
      <c r="B149" s="234" t="n"/>
      <c r="C149" s="175" t="inlineStr">
        <is>
          <t>SVG</t>
        </is>
      </c>
      <c r="D149" s="166" t="inlineStr">
        <is>
          <t>-</t>
        </is>
      </c>
      <c r="E149" s="166" t="n">
        <v>22</v>
      </c>
      <c r="F149" s="166" t="inlineStr">
        <is>
          <t>Single</t>
        </is>
      </c>
      <c r="G149" s="166" t="inlineStr">
        <is>
          <t>C126 /128 SVG</t>
        </is>
      </c>
      <c r="H149" s="166" t="inlineStr">
        <is>
          <t>308 X 308</t>
        </is>
      </c>
      <c r="I149" s="166" t="inlineStr">
        <is>
          <t>25 X 25</t>
        </is>
      </c>
      <c r="J149" s="166" t="n">
        <v>3</v>
      </c>
      <c r="K149" s="176" t="n"/>
      <c r="L149" s="25" t="n"/>
      <c r="M149" s="26" t="n">
        <v>0.4398148148148148</v>
      </c>
      <c r="N149" s="25" t="n"/>
      <c r="O149" s="27" t="n"/>
    </row>
    <row r="150" ht="15" customHeight="1">
      <c r="A150" s="197" t="n">
        <v>17</v>
      </c>
      <c r="B150" s="198" t="inlineStr">
        <is>
          <t>C 128</t>
        </is>
      </c>
      <c r="C150" s="179" t="inlineStr">
        <is>
          <t>LVP</t>
        </is>
      </c>
      <c r="D150" s="180" t="inlineStr">
        <is>
          <t>Top</t>
        </is>
      </c>
      <c r="E150" s="180" t="n">
        <v>40</v>
      </c>
      <c r="F150" s="180" t="inlineStr">
        <is>
          <t>Single</t>
        </is>
      </c>
      <c r="G150" s="180" t="inlineStr">
        <is>
          <t>C126 /128 LVP</t>
        </is>
      </c>
      <c r="H150" s="180" t="inlineStr">
        <is>
          <t>289 X 289</t>
        </is>
      </c>
      <c r="I150" s="180" t="inlineStr">
        <is>
          <t>24 X 24</t>
        </is>
      </c>
      <c r="J150" s="180" t="n">
        <v>4</v>
      </c>
      <c r="K150" s="181" t="n"/>
      <c r="L150" s="31" t="n"/>
      <c r="M150" s="32" t="n">
        <v>0.6977821913273751</v>
      </c>
      <c r="N150" s="31" t="n"/>
      <c r="O150" s="33" t="n"/>
    </row>
    <row r="151" ht="15" customHeight="1">
      <c r="A151" s="232" t="n"/>
      <c r="B151" s="232" t="n"/>
      <c r="C151" s="168" t="n"/>
      <c r="D151" s="169" t="inlineStr">
        <is>
          <t>Bottom</t>
        </is>
      </c>
      <c r="E151" s="169" t="n">
        <v>40</v>
      </c>
      <c r="F151" s="169" t="inlineStr">
        <is>
          <t>Single</t>
        </is>
      </c>
      <c r="G151" s="180" t="inlineStr">
        <is>
          <t>C126 /128 LVP</t>
        </is>
      </c>
      <c r="H151" s="180" t="inlineStr">
        <is>
          <t>289 X 289</t>
        </is>
      </c>
      <c r="I151" s="180" t="inlineStr">
        <is>
          <t>24 X 24</t>
        </is>
      </c>
      <c r="J151" s="180" t="n">
        <v>4</v>
      </c>
      <c r="K151" s="171" t="n"/>
      <c r="L151" s="14" t="n"/>
      <c r="M151" s="15" t="n">
        <v>0.6977821913273751</v>
      </c>
      <c r="N151" s="14" t="n"/>
      <c r="O151" s="16" t="n"/>
    </row>
    <row r="152" ht="15.75" customHeight="1">
      <c r="A152" s="234" t="n"/>
      <c r="B152" s="234" t="n"/>
      <c r="C152" s="175" t="inlineStr">
        <is>
          <t>SVG</t>
        </is>
      </c>
      <c r="D152" s="166" t="inlineStr">
        <is>
          <t>-</t>
        </is>
      </c>
      <c r="E152" s="166" t="n">
        <v>22</v>
      </c>
      <c r="F152" s="166" t="inlineStr">
        <is>
          <t>Single</t>
        </is>
      </c>
      <c r="G152" s="166" t="inlineStr">
        <is>
          <t>C126 /128 SVG</t>
        </is>
      </c>
      <c r="H152" s="166" t="inlineStr">
        <is>
          <t>308 X 308</t>
        </is>
      </c>
      <c r="I152" s="166" t="inlineStr">
        <is>
          <t>25 X 25</t>
        </is>
      </c>
      <c r="J152" s="166" t="n">
        <v>3</v>
      </c>
      <c r="K152" s="176" t="n"/>
      <c r="L152" s="25" t="n"/>
      <c r="M152" s="26" t="n">
        <v>0.4398148148148148</v>
      </c>
      <c r="N152" s="25" t="n"/>
      <c r="O152" s="27" t="n"/>
    </row>
    <row r="153" ht="15" customHeight="1">
      <c r="A153" s="197" t="n">
        <v>18</v>
      </c>
      <c r="B153" s="198" t="inlineStr">
        <is>
          <t>C 146</t>
        </is>
      </c>
      <c r="C153" s="179" t="inlineStr">
        <is>
          <t>LVP</t>
        </is>
      </c>
      <c r="D153" s="180" t="inlineStr">
        <is>
          <t>Top</t>
        </is>
      </c>
      <c r="E153" s="180" t="n">
        <v>40</v>
      </c>
      <c r="F153" s="180" t="inlineStr">
        <is>
          <t>Single</t>
        </is>
      </c>
      <c r="G153" s="180" t="inlineStr">
        <is>
          <t>C146 /148 LVP</t>
        </is>
      </c>
      <c r="H153" s="180" t="inlineStr">
        <is>
          <t>345 X 345</t>
        </is>
      </c>
      <c r="I153" s="180" t="inlineStr">
        <is>
          <t>14 X 14</t>
        </is>
      </c>
      <c r="J153" s="180" t="n">
        <v>1</v>
      </c>
      <c r="K153" s="181" t="n"/>
      <c r="L153" s="31" t="n"/>
      <c r="M153" s="32" t="n">
        <v>0.6977821913273751</v>
      </c>
      <c r="N153" s="31" t="n"/>
      <c r="O153" s="33" t="n"/>
    </row>
    <row r="154" ht="15" customHeight="1">
      <c r="A154" s="232" t="n"/>
      <c r="B154" s="232" t="n"/>
      <c r="C154" s="168" t="n"/>
      <c r="D154" s="169" t="inlineStr">
        <is>
          <t>Bottom</t>
        </is>
      </c>
      <c r="E154" s="169" t="n">
        <v>40</v>
      </c>
      <c r="F154" s="169" t="inlineStr">
        <is>
          <t>Single</t>
        </is>
      </c>
      <c r="G154" s="180" t="inlineStr">
        <is>
          <t>C146 /148 LVP</t>
        </is>
      </c>
      <c r="H154" s="180" t="inlineStr">
        <is>
          <t>345 X 345</t>
        </is>
      </c>
      <c r="I154" s="180" t="inlineStr">
        <is>
          <t>14 X 14</t>
        </is>
      </c>
      <c r="J154" s="180" t="n">
        <v>1</v>
      </c>
      <c r="K154" s="171" t="n"/>
      <c r="L154" s="14" t="n"/>
      <c r="M154" s="15" t="n">
        <v>0.6977821913273751</v>
      </c>
      <c r="N154" s="14" t="n"/>
      <c r="O154" s="16" t="n"/>
    </row>
    <row r="155" ht="15.75" customHeight="1">
      <c r="A155" s="234" t="n"/>
      <c r="B155" s="234" t="n"/>
      <c r="C155" s="175" t="inlineStr">
        <is>
          <t>SVG</t>
        </is>
      </c>
      <c r="D155" s="166" t="inlineStr">
        <is>
          <t>-</t>
        </is>
      </c>
      <c r="E155" s="166" t="n">
        <v>22</v>
      </c>
      <c r="F155" s="166" t="inlineStr">
        <is>
          <t>Single</t>
        </is>
      </c>
      <c r="G155" s="166" t="inlineStr">
        <is>
          <t>C146 / 148 SVG</t>
        </is>
      </c>
      <c r="H155" s="166" t="inlineStr">
        <is>
          <t>358 X 358</t>
        </is>
      </c>
      <c r="I155" s="166" t="inlineStr">
        <is>
          <t>14.5 X 14.5</t>
        </is>
      </c>
      <c r="J155" s="166" t="n">
        <v>1</v>
      </c>
      <c r="K155" s="176" t="n"/>
      <c r="L155" s="25" t="n"/>
      <c r="M155" s="26" t="n">
        <v>0.4398148148148148</v>
      </c>
      <c r="N155" s="25" t="n"/>
      <c r="O155" s="27" t="n"/>
    </row>
    <row r="156" ht="15" customHeight="1">
      <c r="A156" s="197" t="n">
        <v>19</v>
      </c>
      <c r="B156" s="198" t="inlineStr">
        <is>
          <t>C 148</t>
        </is>
      </c>
      <c r="C156" s="179" t="inlineStr">
        <is>
          <t>LVP</t>
        </is>
      </c>
      <c r="D156" s="180" t="inlineStr">
        <is>
          <t>Top</t>
        </is>
      </c>
      <c r="E156" s="180" t="n">
        <v>40</v>
      </c>
      <c r="F156" s="180" t="inlineStr">
        <is>
          <t>Single</t>
        </is>
      </c>
      <c r="G156" s="180" t="inlineStr">
        <is>
          <t>C146 /148 LVP</t>
        </is>
      </c>
      <c r="H156" s="180" t="inlineStr">
        <is>
          <t>345 X 345</t>
        </is>
      </c>
      <c r="I156" s="180" t="inlineStr">
        <is>
          <t>14 X 14</t>
        </is>
      </c>
      <c r="J156" s="180" t="n">
        <v>1</v>
      </c>
      <c r="K156" s="181" t="n"/>
      <c r="L156" s="31" t="n"/>
      <c r="M156" s="32" t="n">
        <v>0.6977821913273751</v>
      </c>
      <c r="N156" s="31" t="n"/>
      <c r="O156" s="33" t="n"/>
    </row>
    <row r="157" ht="15" customHeight="1">
      <c r="A157" s="232" t="n"/>
      <c r="B157" s="232" t="n"/>
      <c r="C157" s="168" t="n"/>
      <c r="D157" s="169" t="inlineStr">
        <is>
          <t>Bottom</t>
        </is>
      </c>
      <c r="E157" s="169" t="n">
        <v>40</v>
      </c>
      <c r="F157" s="169" t="inlineStr">
        <is>
          <t>Single</t>
        </is>
      </c>
      <c r="G157" s="180" t="inlineStr">
        <is>
          <t>C146 /148 LVP</t>
        </is>
      </c>
      <c r="H157" s="180" t="inlineStr">
        <is>
          <t>345 X 345</t>
        </is>
      </c>
      <c r="I157" s="180" t="inlineStr">
        <is>
          <t>14 X 14</t>
        </is>
      </c>
      <c r="J157" s="180" t="n">
        <v>1</v>
      </c>
      <c r="K157" s="171" t="n"/>
      <c r="L157" s="14" t="n"/>
      <c r="M157" s="15" t="n">
        <v>0.6977821913273751</v>
      </c>
      <c r="N157" s="14" t="n"/>
      <c r="O157" s="16" t="n"/>
    </row>
    <row r="158" ht="15.75" customHeight="1">
      <c r="A158" s="234" t="n"/>
      <c r="B158" s="234" t="n"/>
      <c r="C158" s="175" t="inlineStr">
        <is>
          <t>SVG</t>
        </is>
      </c>
      <c r="D158" s="166" t="inlineStr">
        <is>
          <t>-</t>
        </is>
      </c>
      <c r="E158" s="166" t="n">
        <v>22</v>
      </c>
      <c r="F158" s="166" t="inlineStr">
        <is>
          <t>Single</t>
        </is>
      </c>
      <c r="G158" s="166" t="inlineStr">
        <is>
          <t>C146 / 148 SVG</t>
        </is>
      </c>
      <c r="H158" s="166" t="inlineStr">
        <is>
          <t>358 X 358</t>
        </is>
      </c>
      <c r="I158" s="166" t="inlineStr">
        <is>
          <t>14.5 X 14.5</t>
        </is>
      </c>
      <c r="J158" s="166" t="n">
        <v>1</v>
      </c>
      <c r="K158" s="176" t="n"/>
      <c r="L158" s="25" t="n"/>
      <c r="M158" s="26" t="n">
        <v>0.4398148148148148</v>
      </c>
      <c r="N158" s="25" t="n"/>
      <c r="O158" s="27" t="n"/>
    </row>
    <row r="159" ht="15" customHeight="1">
      <c r="A159" s="197" t="n">
        <v>20</v>
      </c>
      <c r="B159" s="198" t="inlineStr">
        <is>
          <t>C 156</t>
        </is>
      </c>
      <c r="C159" s="179" t="inlineStr">
        <is>
          <t>LVP</t>
        </is>
      </c>
      <c r="D159" s="180" t="inlineStr">
        <is>
          <t>Top</t>
        </is>
      </c>
      <c r="E159" s="180" t="n">
        <v>40</v>
      </c>
      <c r="F159" s="180" t="inlineStr">
        <is>
          <t>Single</t>
        </is>
      </c>
      <c r="G159" s="180" t="inlineStr">
        <is>
          <t>C156 /158 LVP</t>
        </is>
      </c>
      <c r="H159" s="180" t="inlineStr">
        <is>
          <t>363 X 363</t>
        </is>
      </c>
      <c r="I159" s="180" t="inlineStr">
        <is>
          <t>30 X 30</t>
        </is>
      </c>
      <c r="J159" s="180" t="n">
        <v>4</v>
      </c>
      <c r="K159" s="181" t="n"/>
      <c r="L159" s="31" t="n"/>
      <c r="M159" s="32" t="n">
        <v>0.6977821913273751</v>
      </c>
      <c r="N159" s="31" t="n"/>
      <c r="O159" s="33" t="n"/>
    </row>
    <row r="160" ht="15" customHeight="1">
      <c r="A160" s="232" t="n"/>
      <c r="B160" s="232" t="n"/>
      <c r="C160" s="168" t="n"/>
      <c r="D160" s="169" t="inlineStr">
        <is>
          <t>Bottom</t>
        </is>
      </c>
      <c r="E160" s="169" t="n">
        <v>40</v>
      </c>
      <c r="F160" s="169" t="inlineStr">
        <is>
          <t>Single</t>
        </is>
      </c>
      <c r="G160" s="180" t="inlineStr">
        <is>
          <t>C156 /158 LVP</t>
        </is>
      </c>
      <c r="H160" s="180" t="inlineStr">
        <is>
          <t>363 X 363</t>
        </is>
      </c>
      <c r="I160" s="180" t="inlineStr">
        <is>
          <t>30 X 30</t>
        </is>
      </c>
      <c r="J160" s="180" t="n">
        <v>4</v>
      </c>
      <c r="K160" s="171" t="n"/>
      <c r="L160" s="14" t="n"/>
      <c r="M160" s="15" t="n">
        <v>0.6977821913273751</v>
      </c>
      <c r="N160" s="14" t="n"/>
      <c r="O160" s="16" t="n"/>
    </row>
    <row r="161" ht="15.75" customHeight="1">
      <c r="A161" s="234" t="n"/>
      <c r="B161" s="234" t="n"/>
      <c r="C161" s="175" t="inlineStr">
        <is>
          <t>SVG</t>
        </is>
      </c>
      <c r="D161" s="166" t="inlineStr">
        <is>
          <t>-</t>
        </is>
      </c>
      <c r="E161" s="166" t="n">
        <v>22</v>
      </c>
      <c r="F161" s="166" t="inlineStr">
        <is>
          <t>Single</t>
        </is>
      </c>
      <c r="G161" s="166" t="inlineStr">
        <is>
          <t>C156 /158 SVG</t>
        </is>
      </c>
      <c r="H161" s="166" t="inlineStr">
        <is>
          <t>380 X 380</t>
        </is>
      </c>
      <c r="I161" s="166" t="inlineStr">
        <is>
          <t>31 X 31</t>
        </is>
      </c>
      <c r="J161" s="166" t="n">
        <v>4</v>
      </c>
      <c r="K161" s="176" t="n"/>
      <c r="L161" s="25" t="n"/>
      <c r="M161" s="26" t="n">
        <v>0.4398148148148148</v>
      </c>
      <c r="N161" s="25" t="n"/>
      <c r="O161" s="27" t="n"/>
    </row>
    <row r="162" ht="15" customHeight="1">
      <c r="A162" s="197" t="n">
        <v>21</v>
      </c>
      <c r="B162" s="198" t="inlineStr">
        <is>
          <t>C 158</t>
        </is>
      </c>
      <c r="C162" s="179" t="inlineStr">
        <is>
          <t>LVP</t>
        </is>
      </c>
      <c r="D162" s="180" t="inlineStr">
        <is>
          <t>Top</t>
        </is>
      </c>
      <c r="E162" s="180" t="n">
        <v>40</v>
      </c>
      <c r="F162" s="180" t="inlineStr">
        <is>
          <t>Single</t>
        </is>
      </c>
      <c r="G162" s="180" t="inlineStr">
        <is>
          <t>C156 /158 LVP</t>
        </is>
      </c>
      <c r="H162" s="180" t="inlineStr">
        <is>
          <t>363 X 363</t>
        </is>
      </c>
      <c r="I162" s="180" t="inlineStr">
        <is>
          <t>30 X 30</t>
        </is>
      </c>
      <c r="J162" s="180" t="n">
        <v>4</v>
      </c>
      <c r="K162" s="181" t="n"/>
      <c r="L162" s="31" t="n"/>
      <c r="M162" s="32" t="n">
        <v>0.6977821913273751</v>
      </c>
      <c r="N162" s="31" t="n"/>
      <c r="O162" s="33" t="n"/>
    </row>
    <row r="163" ht="15" customHeight="1">
      <c r="A163" s="232" t="n"/>
      <c r="B163" s="232" t="n"/>
      <c r="C163" s="168" t="n"/>
      <c r="D163" s="169" t="inlineStr">
        <is>
          <t>Bottom</t>
        </is>
      </c>
      <c r="E163" s="169" t="n">
        <v>40</v>
      </c>
      <c r="F163" s="169" t="inlineStr">
        <is>
          <t>Single</t>
        </is>
      </c>
      <c r="G163" s="180" t="inlineStr">
        <is>
          <t>C156 /158 LVP</t>
        </is>
      </c>
      <c r="H163" s="180" t="inlineStr">
        <is>
          <t>363 X 363</t>
        </is>
      </c>
      <c r="I163" s="180" t="inlineStr">
        <is>
          <t>30 X 30</t>
        </is>
      </c>
      <c r="J163" s="180" t="n">
        <v>4</v>
      </c>
      <c r="K163" s="171" t="n"/>
      <c r="L163" s="14" t="n"/>
      <c r="M163" s="15" t="n">
        <v>0.6977821913273751</v>
      </c>
      <c r="N163" s="14" t="n"/>
      <c r="O163" s="16" t="n"/>
    </row>
    <row r="164" ht="15.75" customHeight="1">
      <c r="A164" s="234" t="n"/>
      <c r="B164" s="234" t="n"/>
      <c r="C164" s="175" t="inlineStr">
        <is>
          <t>SVG</t>
        </is>
      </c>
      <c r="D164" s="166" t="inlineStr">
        <is>
          <t>-</t>
        </is>
      </c>
      <c r="E164" s="166" t="n">
        <v>22</v>
      </c>
      <c r="F164" s="166" t="inlineStr">
        <is>
          <t>Single</t>
        </is>
      </c>
      <c r="G164" s="166" t="inlineStr">
        <is>
          <t>C156 /158 SVG</t>
        </is>
      </c>
      <c r="H164" s="166" t="inlineStr">
        <is>
          <t>380 X 380</t>
        </is>
      </c>
      <c r="I164" s="166" t="inlineStr">
        <is>
          <t>31 X 31</t>
        </is>
      </c>
      <c r="J164" s="166" t="n">
        <v>4</v>
      </c>
      <c r="K164" s="176" t="n"/>
      <c r="L164" s="25" t="n"/>
      <c r="M164" s="26" t="n">
        <v>0.4398148148148148</v>
      </c>
      <c r="N164" s="25" t="n"/>
      <c r="O164" s="27" t="n"/>
    </row>
    <row r="165" ht="15" customHeight="1">
      <c r="A165" s="197" t="n">
        <v>22</v>
      </c>
      <c r="B165" s="198" t="inlineStr">
        <is>
          <t>C 178</t>
        </is>
      </c>
      <c r="C165" s="179" t="inlineStr">
        <is>
          <t>LVP</t>
        </is>
      </c>
      <c r="D165" s="180" t="inlineStr">
        <is>
          <t>Top</t>
        </is>
      </c>
      <c r="E165" s="180" t="n">
        <v>40</v>
      </c>
      <c r="F165" s="180" t="inlineStr">
        <is>
          <t>Single</t>
        </is>
      </c>
      <c r="G165" s="180" t="inlineStr">
        <is>
          <t>C178 LVP</t>
        </is>
      </c>
      <c r="H165" s="180" t="inlineStr">
        <is>
          <t>431 X 431</t>
        </is>
      </c>
      <c r="I165" s="180" t="inlineStr">
        <is>
          <t>17.5 X 17.5</t>
        </is>
      </c>
      <c r="J165" s="180" t="n">
        <v>1</v>
      </c>
      <c r="K165" s="181" t="n"/>
      <c r="L165" s="31" t="n"/>
      <c r="M165" s="32" t="n">
        <v>0.6977821913273751</v>
      </c>
      <c r="N165" s="31" t="n"/>
      <c r="O165" s="33" t="n"/>
    </row>
    <row r="166" ht="15" customHeight="1">
      <c r="A166" s="232" t="n"/>
      <c r="B166" s="232" t="n"/>
      <c r="C166" s="168" t="n"/>
      <c r="D166" s="169" t="inlineStr">
        <is>
          <t>Bottom</t>
        </is>
      </c>
      <c r="E166" s="169" t="n">
        <v>40</v>
      </c>
      <c r="F166" s="169" t="inlineStr">
        <is>
          <t>Single</t>
        </is>
      </c>
      <c r="G166" s="180" t="inlineStr">
        <is>
          <t>C178 LVP</t>
        </is>
      </c>
      <c r="H166" s="180" t="inlineStr">
        <is>
          <t>431 X 431</t>
        </is>
      </c>
      <c r="I166" s="180" t="inlineStr">
        <is>
          <t>17.5 X 17.5</t>
        </is>
      </c>
      <c r="J166" s="180" t="n">
        <v>1</v>
      </c>
      <c r="K166" s="171" t="n"/>
      <c r="L166" s="14" t="n"/>
      <c r="M166" s="15" t="n">
        <v>0.6977821913273751</v>
      </c>
      <c r="N166" s="14" t="n"/>
      <c r="O166" s="16" t="n"/>
    </row>
    <row r="167" ht="15.75" customHeight="1">
      <c r="A167" s="234" t="n"/>
      <c r="B167" s="234" t="n"/>
      <c r="C167" s="175" t="inlineStr">
        <is>
          <t>SVG</t>
        </is>
      </c>
      <c r="D167" s="166" t="inlineStr">
        <is>
          <t>-</t>
        </is>
      </c>
      <c r="E167" s="166" t="n">
        <v>22</v>
      </c>
      <c r="F167" s="166" t="inlineStr">
        <is>
          <t>Single</t>
        </is>
      </c>
      <c r="G167" s="166" t="inlineStr">
        <is>
          <t>C178 SVG</t>
        </is>
      </c>
      <c r="H167" s="166" t="inlineStr">
        <is>
          <t>449 X 449</t>
        </is>
      </c>
      <c r="I167" s="166" t="inlineStr">
        <is>
          <t>18 X 18</t>
        </is>
      </c>
      <c r="J167" s="166" t="n">
        <v>1</v>
      </c>
      <c r="K167" s="176" t="n"/>
      <c r="L167" s="25" t="n"/>
      <c r="M167" s="26" t="n">
        <v>0.4398148148148148</v>
      </c>
      <c r="N167" s="25" t="n"/>
      <c r="O167" s="27" t="n"/>
    </row>
    <row r="168" ht="15.75" customHeight="1">
      <c r="A168" s="199" t="n"/>
      <c r="B168" s="200" t="n"/>
      <c r="C168" s="200" t="n"/>
      <c r="D168" s="201" t="n"/>
      <c r="E168" s="201" t="n"/>
      <c r="F168" s="201" t="n"/>
      <c r="G168" s="201" t="n"/>
      <c r="H168" s="201" t="n"/>
      <c r="I168" s="201" t="n"/>
      <c r="J168" s="201" t="n"/>
      <c r="K168" s="64" t="n"/>
      <c r="L168" s="64" t="n"/>
      <c r="M168" s="65" t="n"/>
      <c r="N168" s="64" t="n"/>
      <c r="O168" s="66" t="n"/>
    </row>
    <row r="169" ht="15" customHeight="1">
      <c r="A169" s="197" t="n"/>
      <c r="B169" s="198" t="inlineStr">
        <is>
          <t>GAV 10</t>
        </is>
      </c>
      <c r="C169" s="179" t="inlineStr">
        <is>
          <t>LVP</t>
        </is>
      </c>
      <c r="D169" s="180" t="inlineStr">
        <is>
          <t>Top</t>
        </is>
      </c>
      <c r="E169" s="180" t="n">
        <v>70</v>
      </c>
      <c r="F169" s="180" t="inlineStr">
        <is>
          <t>Passing</t>
        </is>
      </c>
      <c r="G169" s="180" t="inlineStr">
        <is>
          <t>GNR 10 LVP</t>
        </is>
      </c>
      <c r="H169" s="180" t="inlineStr">
        <is>
          <t>40 X 62</t>
        </is>
      </c>
      <c r="I169" s="180" t="inlineStr">
        <is>
          <t>20.5 X 22</t>
        </is>
      </c>
      <c r="J169" s="180" t="n">
        <v>88</v>
      </c>
      <c r="K169" s="202" t="n"/>
      <c r="L169" s="31" t="n"/>
      <c r="M169" s="32" t="n">
        <v>1.269736842105263</v>
      </c>
      <c r="N169" s="31" t="n"/>
      <c r="O169" s="33" t="n"/>
    </row>
    <row r="170" ht="15" customHeight="1">
      <c r="A170" s="232" t="n"/>
      <c r="B170" s="232" t="n"/>
      <c r="C170" s="168" t="n"/>
      <c r="D170" s="169" t="inlineStr">
        <is>
          <t>Bottom</t>
        </is>
      </c>
      <c r="E170" s="169" t="n"/>
      <c r="F170" s="180" t="n"/>
      <c r="G170" s="180" t="n"/>
      <c r="H170" s="180" t="n"/>
      <c r="I170" s="180" t="n"/>
      <c r="J170" s="180" t="n"/>
      <c r="K170" s="202" t="n"/>
      <c r="L170" s="14" t="n"/>
      <c r="M170" s="15" t="e">
        <v>#N/A</v>
      </c>
      <c r="N170" s="14" t="n"/>
      <c r="O170" s="16" t="n"/>
    </row>
    <row r="171" ht="15.75" customHeight="1">
      <c r="A171" s="234" t="n"/>
      <c r="B171" s="234" t="n"/>
      <c r="C171" s="175" t="inlineStr">
        <is>
          <t>SVG</t>
        </is>
      </c>
      <c r="D171" s="166" t="inlineStr">
        <is>
          <t>-</t>
        </is>
      </c>
      <c r="E171" s="166" t="n">
        <v>22</v>
      </c>
      <c r="F171" s="166" t="inlineStr">
        <is>
          <t>Passing</t>
        </is>
      </c>
      <c r="G171" s="166" t="inlineStr">
        <is>
          <t>GNR 10 SVG</t>
        </is>
      </c>
      <c r="H171" s="166" t="inlineStr">
        <is>
          <t>51 X 72</t>
        </is>
      </c>
      <c r="I171" s="166" t="inlineStr">
        <is>
          <t>19 X 23</t>
        </is>
      </c>
      <c r="J171" s="166" t="n">
        <v>60</v>
      </c>
      <c r="K171" s="202" t="n"/>
      <c r="L171" s="25" t="n"/>
      <c r="M171" s="26" t="n">
        <v>0.4398148148148148</v>
      </c>
      <c r="N171" s="25" t="n"/>
      <c r="O171" s="27" t="n"/>
    </row>
    <row r="172" ht="15" customHeight="1">
      <c r="A172" s="197" t="n"/>
      <c r="B172" s="198" t="inlineStr">
        <is>
          <t>GAV 12</t>
        </is>
      </c>
      <c r="C172" s="179" t="inlineStr">
        <is>
          <t>LVP</t>
        </is>
      </c>
      <c r="D172" s="180" t="inlineStr">
        <is>
          <t>Top</t>
        </is>
      </c>
      <c r="E172" s="180" t="n">
        <v>70</v>
      </c>
      <c r="F172" s="180" t="inlineStr">
        <is>
          <t>Passing</t>
        </is>
      </c>
      <c r="G172" s="180" t="inlineStr">
        <is>
          <t>GNR 12 LVP</t>
        </is>
      </c>
      <c r="H172" s="180" t="inlineStr">
        <is>
          <t>54 X 107</t>
        </is>
      </c>
      <c r="I172" s="180" t="inlineStr">
        <is>
          <t>22 X 23</t>
        </is>
      </c>
      <c r="J172" s="180" t="n">
        <v>45</v>
      </c>
      <c r="K172" s="181" t="n"/>
      <c r="L172" s="31" t="n"/>
      <c r="M172" s="32" t="n">
        <v>1.269736842105263</v>
      </c>
      <c r="N172" s="31" t="n"/>
      <c r="O172" s="33" t="n"/>
    </row>
    <row r="173" ht="15" customHeight="1">
      <c r="A173" s="232" t="n"/>
      <c r="B173" s="232" t="n"/>
      <c r="C173" s="168" t="n"/>
      <c r="D173" s="169" t="inlineStr">
        <is>
          <t>Bottom</t>
        </is>
      </c>
      <c r="E173" s="169" t="n"/>
      <c r="F173" s="180" t="n"/>
      <c r="G173" s="180" t="n"/>
      <c r="H173" s="180" t="n"/>
      <c r="I173" s="180" t="n"/>
      <c r="J173" s="180" t="n"/>
      <c r="K173" s="181" t="n"/>
      <c r="L173" s="14" t="n"/>
      <c r="M173" s="15" t="e">
        <v>#N/A</v>
      </c>
      <c r="N173" s="14" t="n"/>
      <c r="O173" s="16" t="n"/>
    </row>
    <row r="174" ht="15.75" customHeight="1">
      <c r="A174" s="234" t="n"/>
      <c r="B174" s="234" t="n"/>
      <c r="C174" s="175" t="inlineStr">
        <is>
          <t>SVG</t>
        </is>
      </c>
      <c r="D174" s="166" t="inlineStr">
        <is>
          <t>-</t>
        </is>
      </c>
      <c r="E174" s="166" t="n">
        <v>22</v>
      </c>
      <c r="F174" s="166" t="inlineStr">
        <is>
          <t>Passing</t>
        </is>
      </c>
      <c r="G174" s="166" t="inlineStr">
        <is>
          <t>GNR 12 SVG</t>
        </is>
      </c>
      <c r="H174" s="166" t="inlineStr">
        <is>
          <t>65 X 118</t>
        </is>
      </c>
      <c r="I174" s="166" t="inlineStr">
        <is>
          <t>20.5 X 23</t>
        </is>
      </c>
      <c r="J174" s="166" t="n">
        <v>32</v>
      </c>
      <c r="K174" s="176" t="n"/>
      <c r="L174" s="25" t="n"/>
      <c r="M174" s="26" t="n">
        <v>0.4398148148148148</v>
      </c>
      <c r="N174" s="25" t="n"/>
      <c r="O174" s="27" t="n"/>
    </row>
    <row r="175" ht="15" customHeight="1">
      <c r="A175" s="197" t="n"/>
      <c r="B175" s="198" t="inlineStr">
        <is>
          <t>GAV 14</t>
        </is>
      </c>
      <c r="C175" s="179" t="inlineStr">
        <is>
          <t>LVP</t>
        </is>
      </c>
      <c r="D175" s="180" t="inlineStr">
        <is>
          <t>Top</t>
        </is>
      </c>
      <c r="E175" s="180" t="n">
        <v>70</v>
      </c>
      <c r="F175" s="192" t="inlineStr">
        <is>
          <t>Single</t>
        </is>
      </c>
      <c r="G175" s="180" t="inlineStr">
        <is>
          <t>GNR 14 LVP</t>
        </is>
      </c>
      <c r="H175" s="180" t="inlineStr">
        <is>
          <t>65 X 117</t>
        </is>
      </c>
      <c r="I175" s="180" t="inlineStr">
        <is>
          <t>24.5 X 25.5</t>
        </is>
      </c>
      <c r="J175" s="180" t="n">
        <v>40</v>
      </c>
      <c r="K175" s="181" t="n"/>
      <c r="L175" s="31" t="n"/>
      <c r="M175" s="32" t="n">
        <v>1.269736842105263</v>
      </c>
      <c r="N175" s="31" t="n"/>
      <c r="O175" s="33" t="n"/>
    </row>
    <row r="176" ht="15" customHeight="1">
      <c r="A176" s="232" t="n"/>
      <c r="B176" s="232" t="n"/>
      <c r="C176" s="168" t="n"/>
      <c r="D176" s="169" t="inlineStr">
        <is>
          <t>Bottom</t>
        </is>
      </c>
      <c r="E176" s="169" t="n"/>
      <c r="G176" s="180" t="n"/>
      <c r="H176" s="180" t="n"/>
      <c r="I176" s="180" t="n"/>
      <c r="J176" s="180" t="n"/>
      <c r="K176" s="181" t="n"/>
      <c r="L176" s="14" t="n"/>
      <c r="M176" s="15" t="e">
        <v>#N/A</v>
      </c>
      <c r="N176" s="14" t="n"/>
      <c r="O176" s="16" t="n"/>
    </row>
    <row r="177" ht="15.75" customHeight="1">
      <c r="A177" s="234" t="n"/>
      <c r="B177" s="234" t="n"/>
      <c r="C177" s="175" t="inlineStr">
        <is>
          <t>SVG</t>
        </is>
      </c>
      <c r="D177" s="166" t="inlineStr">
        <is>
          <t>-</t>
        </is>
      </c>
      <c r="E177" s="166" t="n">
        <v>22</v>
      </c>
      <c r="F177" s="166" t="inlineStr">
        <is>
          <t>Single</t>
        </is>
      </c>
      <c r="G177" s="166" t="inlineStr">
        <is>
          <t>GNR 14 SVG</t>
        </is>
      </c>
      <c r="H177" s="166" t="inlineStr">
        <is>
          <t>75 X 128</t>
        </is>
      </c>
      <c r="I177" s="166" t="inlineStr">
        <is>
          <t>21 X 22</t>
        </is>
      </c>
      <c r="J177" s="166" t="n">
        <v>24</v>
      </c>
      <c r="K177" s="176" t="n"/>
      <c r="L177" s="25" t="n"/>
      <c r="M177" s="26" t="n">
        <v>0.4398148148148148</v>
      </c>
      <c r="N177" s="25" t="n"/>
      <c r="O177" s="27" t="n"/>
    </row>
    <row r="178" ht="15" customHeight="1">
      <c r="A178" s="186" t="n"/>
      <c r="B178" s="198" t="inlineStr">
        <is>
          <t>RAD 15</t>
        </is>
      </c>
      <c r="C178" s="184" t="inlineStr">
        <is>
          <t>LVP</t>
        </is>
      </c>
      <c r="D178" s="180" t="inlineStr">
        <is>
          <t>Top</t>
        </is>
      </c>
      <c r="E178" s="180" t="n">
        <v>60</v>
      </c>
      <c r="F178" s="185" t="inlineStr">
        <is>
          <t>Passing</t>
        </is>
      </c>
      <c r="G178" s="180" t="inlineStr">
        <is>
          <t>MCX 15 LVP</t>
        </is>
      </c>
      <c r="H178" s="180" t="inlineStr">
        <is>
          <t>61 X 75</t>
        </is>
      </c>
      <c r="I178" s="180" t="inlineStr">
        <is>
          <t>19 X 23</t>
        </is>
      </c>
      <c r="J178" s="180" t="n">
        <v>49</v>
      </c>
      <c r="K178" s="181" t="n"/>
      <c r="L178" s="31" t="n"/>
      <c r="M178" s="32" t="n">
        <v>1.103988603988604</v>
      </c>
      <c r="N178" s="31" t="n"/>
      <c r="O178" s="33" t="n"/>
    </row>
    <row r="179" ht="15" customHeight="1">
      <c r="A179" s="232" t="n"/>
      <c r="B179" s="232" t="n"/>
      <c r="C179" s="235" t="n"/>
      <c r="D179" s="169" t="inlineStr">
        <is>
          <t>Bottom</t>
        </is>
      </c>
      <c r="E179" s="169" t="n"/>
      <c r="F179" s="180" t="n"/>
      <c r="G179" s="169" t="n"/>
      <c r="H179" s="169" t="n"/>
      <c r="I179" s="169" t="n"/>
      <c r="J179" s="169" t="n"/>
      <c r="K179" s="171" t="n"/>
      <c r="L179" s="14" t="n"/>
      <c r="M179" s="15" t="e">
        <v>#N/A</v>
      </c>
      <c r="N179" s="14" t="n"/>
      <c r="O179" s="16" t="n"/>
    </row>
    <row r="180" ht="15.75" customHeight="1">
      <c r="A180" s="234" t="n"/>
      <c r="B180" s="234" t="n"/>
      <c r="C180" s="175" t="inlineStr">
        <is>
          <t>SVG</t>
        </is>
      </c>
      <c r="D180" s="166" t="inlineStr">
        <is>
          <t>-</t>
        </is>
      </c>
      <c r="E180" s="166" t="n">
        <v>22</v>
      </c>
      <c r="F180" s="166" t="inlineStr">
        <is>
          <t>Passing</t>
        </is>
      </c>
      <c r="G180" s="166" t="inlineStr">
        <is>
          <t>MCX 15 SVG</t>
        </is>
      </c>
      <c r="H180" s="166" t="inlineStr">
        <is>
          <t>71 X 85</t>
        </is>
      </c>
      <c r="I180" s="166" t="inlineStr">
        <is>
          <t>18.5 X 22</t>
        </is>
      </c>
      <c r="J180" s="166" t="n">
        <v>36</v>
      </c>
      <c r="K180" s="176" t="n"/>
      <c r="L180" s="68" t="n"/>
      <c r="M180" s="69" t="n">
        <v>0.4398148148148148</v>
      </c>
      <c r="N180" s="68" t="n"/>
      <c r="O180" s="70" t="n"/>
    </row>
    <row r="181" ht="15" customHeight="1">
      <c r="A181" s="203" t="n"/>
      <c r="B181" s="198" t="inlineStr">
        <is>
          <t>RAD 19</t>
        </is>
      </c>
      <c r="C181" s="184" t="inlineStr">
        <is>
          <t>LVP</t>
        </is>
      </c>
      <c r="D181" s="180" t="inlineStr">
        <is>
          <t>Top</t>
        </is>
      </c>
      <c r="E181" s="180" t="n">
        <v>40</v>
      </c>
      <c r="F181" s="180" t="inlineStr">
        <is>
          <t>Single</t>
        </is>
      </c>
      <c r="G181" s="180" t="inlineStr">
        <is>
          <t>New Die</t>
        </is>
      </c>
      <c r="H181" s="180" t="inlineStr">
        <is>
          <t>90 X 106</t>
        </is>
      </c>
      <c r="I181" s="180" t="inlineStr">
        <is>
          <t>23 X 24</t>
        </is>
      </c>
      <c r="J181" s="180" t="n">
        <v>30</v>
      </c>
      <c r="K181" s="181" t="n"/>
      <c r="L181" s="72" t="n"/>
      <c r="M181" s="73" t="n">
        <v>0.6977821913273751</v>
      </c>
      <c r="N181" s="72" t="n"/>
      <c r="O181" s="74" t="n"/>
    </row>
    <row r="182" ht="15" customHeight="1">
      <c r="A182" s="203" t="n"/>
      <c r="B182" s="232" t="n"/>
      <c r="C182" s="235" t="n"/>
      <c r="D182" s="169" t="inlineStr">
        <is>
          <t>Bottom</t>
        </is>
      </c>
      <c r="E182" s="169" t="n">
        <v>40</v>
      </c>
      <c r="F182" s="180" t="inlineStr">
        <is>
          <t>Single</t>
        </is>
      </c>
      <c r="G182" s="180" t="inlineStr">
        <is>
          <t>New Die</t>
        </is>
      </c>
      <c r="H182" s="180" t="inlineStr">
        <is>
          <t>90 X 106</t>
        </is>
      </c>
      <c r="I182" s="180" t="inlineStr">
        <is>
          <t>23 X 24</t>
        </is>
      </c>
      <c r="J182" s="180" t="n">
        <v>30</v>
      </c>
      <c r="K182" s="171" t="n"/>
      <c r="L182" s="14" t="n"/>
      <c r="M182" s="15" t="n">
        <v>0.6977821913273751</v>
      </c>
      <c r="N182" s="14" t="n"/>
      <c r="O182" s="16" t="n"/>
    </row>
    <row r="183" ht="15.75" customHeight="1">
      <c r="A183" s="204" t="n"/>
      <c r="B183" s="234" t="n"/>
      <c r="C183" s="175" t="inlineStr">
        <is>
          <t>SVG</t>
        </is>
      </c>
      <c r="D183" s="166" t="inlineStr">
        <is>
          <t>-</t>
        </is>
      </c>
      <c r="E183" s="166" t="n">
        <v>22</v>
      </c>
      <c r="F183" s="166" t="inlineStr">
        <is>
          <t>Single</t>
        </is>
      </c>
      <c r="G183" s="180" t="inlineStr">
        <is>
          <t>New Die</t>
        </is>
      </c>
      <c r="H183" s="166" t="inlineStr">
        <is>
          <t>103 X 118</t>
        </is>
      </c>
      <c r="I183" s="166" t="inlineStr">
        <is>
          <t>21 X 23</t>
        </is>
      </c>
      <c r="J183" s="166" t="n">
        <v>20</v>
      </c>
      <c r="K183" s="205" t="n"/>
      <c r="L183" s="25" t="n"/>
      <c r="M183" s="26" t="n">
        <v>0.4398148148148148</v>
      </c>
      <c r="N183" s="25" t="n"/>
      <c r="O183" s="27" t="n"/>
    </row>
    <row r="184" ht="15" customHeight="1">
      <c r="A184" s="203" t="n"/>
      <c r="B184" s="198" t="inlineStr">
        <is>
          <t>RAD 20</t>
        </is>
      </c>
      <c r="C184" s="184" t="inlineStr">
        <is>
          <t>LVP</t>
        </is>
      </c>
      <c r="D184" s="180" t="inlineStr">
        <is>
          <t>Top</t>
        </is>
      </c>
      <c r="E184" s="180" t="n">
        <v>60</v>
      </c>
      <c r="F184" s="180" t="inlineStr">
        <is>
          <t>Passing</t>
        </is>
      </c>
      <c r="G184" s="185" t="inlineStr">
        <is>
          <t>Turkey MCX 20 LVP</t>
        </is>
      </c>
      <c r="H184" s="206" t="inlineStr">
        <is>
          <t>65 X 110</t>
        </is>
      </c>
      <c r="I184" s="185" t="inlineStr">
        <is>
          <t>24.5 X 24</t>
        </is>
      </c>
      <c r="J184" s="185" t="n">
        <v>35</v>
      </c>
      <c r="K184" s="207" t="n"/>
      <c r="L184" s="72" t="n"/>
      <c r="M184" s="73" t="n">
        <v>1.103988603988604</v>
      </c>
      <c r="N184" s="72" t="n"/>
      <c r="O184" s="74" t="n"/>
    </row>
    <row r="185" ht="15" customHeight="1">
      <c r="A185" s="203" t="n"/>
      <c r="B185" s="232" t="n"/>
      <c r="C185" s="235" t="n"/>
      <c r="D185" s="169" t="inlineStr">
        <is>
          <t>Bottom</t>
        </is>
      </c>
      <c r="E185" s="169" t="n"/>
      <c r="F185" s="180" t="n"/>
      <c r="G185" s="169" t="n"/>
      <c r="H185" s="208" t="n"/>
      <c r="I185" s="169" t="n"/>
      <c r="J185" s="169" t="n"/>
      <c r="K185" s="171" t="n"/>
      <c r="L185" s="14" t="n"/>
      <c r="M185" s="15" t="e">
        <v>#N/A</v>
      </c>
      <c r="N185" s="14" t="n"/>
      <c r="O185" s="16" t="n"/>
    </row>
    <row r="186" ht="15.75" customHeight="1">
      <c r="A186" s="203" t="n"/>
      <c r="B186" s="234" t="n"/>
      <c r="C186" s="175" t="inlineStr">
        <is>
          <t>SVG</t>
        </is>
      </c>
      <c r="D186" s="166" t="inlineStr">
        <is>
          <t>-</t>
        </is>
      </c>
      <c r="E186" s="166" t="n">
        <v>22</v>
      </c>
      <c r="F186" s="166" t="inlineStr">
        <is>
          <t>Passing</t>
        </is>
      </c>
      <c r="G186" s="175" t="inlineStr">
        <is>
          <t>Turkey MCX 20 SVG</t>
        </is>
      </c>
      <c r="H186" s="209" t="inlineStr">
        <is>
          <t>75 X 120</t>
        </is>
      </c>
      <c r="I186" s="209" t="inlineStr">
        <is>
          <t>21 X 24</t>
        </is>
      </c>
      <c r="J186" s="205" t="n">
        <v>28</v>
      </c>
      <c r="K186" s="205" t="n"/>
      <c r="L186" s="25" t="n"/>
      <c r="M186" s="26" t="n">
        <v>0.4398148148148148</v>
      </c>
      <c r="N186" s="25" t="n"/>
      <c r="O186" s="27" t="n"/>
    </row>
    <row r="187" ht="15" customHeight="1">
      <c r="A187" s="203" t="n"/>
      <c r="B187" s="198" t="inlineStr">
        <is>
          <t>RAD 25</t>
        </is>
      </c>
      <c r="C187" s="184" t="inlineStr">
        <is>
          <t>LVP</t>
        </is>
      </c>
      <c r="D187" s="180" t="inlineStr">
        <is>
          <t>Top</t>
        </is>
      </c>
      <c r="E187" s="180" t="n">
        <v>40</v>
      </c>
      <c r="F187" s="180" t="inlineStr">
        <is>
          <t>Single</t>
        </is>
      </c>
      <c r="G187" s="180" t="inlineStr">
        <is>
          <t>New Die</t>
        </is>
      </c>
      <c r="H187" s="180" t="inlineStr">
        <is>
          <t>90 x 101</t>
        </is>
      </c>
      <c r="I187" s="180" t="inlineStr">
        <is>
          <t>22 X 24</t>
        </is>
      </c>
      <c r="J187" s="180" t="n">
        <v>30</v>
      </c>
      <c r="K187" s="181" t="n"/>
      <c r="L187" s="72" t="n"/>
      <c r="M187" s="73" t="n">
        <v>0.6977821913273751</v>
      </c>
      <c r="N187" s="72" t="n"/>
      <c r="O187" s="74" t="n"/>
    </row>
    <row r="188" ht="15" customHeight="1">
      <c r="A188" s="203" t="n"/>
      <c r="B188" s="232" t="n"/>
      <c r="C188" s="235" t="n"/>
      <c r="D188" s="169" t="inlineStr">
        <is>
          <t>Bottom</t>
        </is>
      </c>
      <c r="E188" s="169" t="n">
        <v>40</v>
      </c>
      <c r="F188" s="180" t="inlineStr">
        <is>
          <t>Single</t>
        </is>
      </c>
      <c r="G188" s="180" t="inlineStr">
        <is>
          <t>New Die</t>
        </is>
      </c>
      <c r="H188" s="169" t="inlineStr">
        <is>
          <t>100 X 111</t>
        </is>
      </c>
      <c r="I188" s="180" t="inlineStr">
        <is>
          <t>22 X 24</t>
        </is>
      </c>
      <c r="J188" s="169" t="n">
        <v>25</v>
      </c>
      <c r="K188" s="171" t="n"/>
      <c r="L188" s="14" t="n"/>
      <c r="M188" s="15" t="n">
        <v>0.6977821913273751</v>
      </c>
      <c r="N188" s="14" t="n"/>
      <c r="O188" s="16" t="n"/>
    </row>
    <row r="189" ht="15.75" customHeight="1">
      <c r="A189" s="204" t="n"/>
      <c r="B189" s="234" t="n"/>
      <c r="C189" s="175" t="inlineStr">
        <is>
          <t>SVG</t>
        </is>
      </c>
      <c r="D189" s="166" t="inlineStr">
        <is>
          <t>-</t>
        </is>
      </c>
      <c r="E189" s="166" t="n">
        <v>22</v>
      </c>
      <c r="F189" s="166" t="inlineStr">
        <is>
          <t>Single</t>
        </is>
      </c>
      <c r="G189" s="180" t="inlineStr">
        <is>
          <t>New Die</t>
        </is>
      </c>
      <c r="H189" s="166" t="inlineStr">
        <is>
          <t>113 X 123</t>
        </is>
      </c>
      <c r="I189" s="166" t="inlineStr">
        <is>
          <t>20 X 21</t>
        </is>
      </c>
      <c r="J189" s="166" t="n">
        <v>16</v>
      </c>
      <c r="K189" s="205" t="n"/>
      <c r="L189" s="25" t="n"/>
      <c r="M189" s="26" t="n">
        <v>0.4398148148148148</v>
      </c>
      <c r="N189" s="25" t="n"/>
      <c r="O189" s="27" t="n"/>
    </row>
    <row r="190" ht="15" customHeight="1">
      <c r="A190" s="203" t="n"/>
      <c r="B190" s="198" t="inlineStr">
        <is>
          <t>Gav 35</t>
        </is>
      </c>
      <c r="C190" s="184" t="inlineStr">
        <is>
          <t>LVP</t>
        </is>
      </c>
      <c r="D190" s="180" t="inlineStr">
        <is>
          <t>Top</t>
        </is>
      </c>
      <c r="E190" s="180" t="n">
        <v>40</v>
      </c>
      <c r="F190" s="180" t="inlineStr">
        <is>
          <t>Single</t>
        </is>
      </c>
      <c r="G190" s="185" t="inlineStr">
        <is>
          <t>GNR 35 TOP LVP</t>
        </is>
      </c>
      <c r="H190" s="206" t="inlineStr">
        <is>
          <t>100 X 149</t>
        </is>
      </c>
      <c r="I190" s="185" t="inlineStr">
        <is>
          <t>22 X 25.5</t>
        </is>
      </c>
      <c r="J190" s="185" t="n">
        <v>20</v>
      </c>
      <c r="K190" s="207" t="n"/>
      <c r="L190" s="72" t="n"/>
      <c r="M190" s="73" t="n">
        <v>0.6977821913273751</v>
      </c>
      <c r="N190" s="72" t="n"/>
      <c r="O190" s="74" t="n"/>
    </row>
    <row r="191" ht="15" customHeight="1">
      <c r="A191" s="203" t="n"/>
      <c r="B191" s="232" t="n"/>
      <c r="C191" s="235" t="n"/>
      <c r="D191" s="169" t="inlineStr">
        <is>
          <t>Bottom</t>
        </is>
      </c>
      <c r="E191" s="169" t="n">
        <v>40</v>
      </c>
      <c r="F191" s="180" t="inlineStr">
        <is>
          <t>Single</t>
        </is>
      </c>
      <c r="G191" s="169" t="inlineStr">
        <is>
          <t>GNR 35 TOP BOT</t>
        </is>
      </c>
      <c r="H191" s="208" t="inlineStr">
        <is>
          <t>111 X 159</t>
        </is>
      </c>
      <c r="I191" s="169" t="inlineStr">
        <is>
          <t>20 X 24.5</t>
        </is>
      </c>
      <c r="J191" s="169" t="n">
        <v>15</v>
      </c>
      <c r="K191" s="171" t="n"/>
      <c r="L191" s="14" t="n"/>
      <c r="M191" s="15" t="n">
        <v>0.6977821913273751</v>
      </c>
      <c r="N191" s="14" t="n"/>
      <c r="O191" s="16" t="n"/>
    </row>
    <row r="192" ht="15.75" customHeight="1">
      <c r="A192" s="204" t="n"/>
      <c r="B192" s="234" t="n"/>
      <c r="C192" s="175" t="inlineStr">
        <is>
          <t>SVG</t>
        </is>
      </c>
      <c r="D192" s="166" t="inlineStr">
        <is>
          <t>-</t>
        </is>
      </c>
      <c r="E192" s="166" t="n">
        <v>22</v>
      </c>
      <c r="F192" s="166" t="inlineStr">
        <is>
          <t>Single</t>
        </is>
      </c>
      <c r="G192" s="175" t="inlineStr">
        <is>
          <t>GNR 35 SVG</t>
        </is>
      </c>
      <c r="H192" s="209" t="inlineStr">
        <is>
          <t>128 X 176</t>
        </is>
      </c>
      <c r="I192" s="209" t="inlineStr">
        <is>
          <t>22 X 22</t>
        </is>
      </c>
      <c r="J192" s="205" t="n">
        <v>12</v>
      </c>
      <c r="K192" s="205" t="n"/>
      <c r="L192" s="25" t="n"/>
      <c r="M192" s="26" t="n">
        <v>0.4398148148148148</v>
      </c>
      <c r="N192" s="25" t="n"/>
      <c r="O192" s="27" t="n"/>
    </row>
    <row r="193" ht="15" customHeight="1">
      <c r="A193" s="186" t="n"/>
      <c r="B193" s="198" t="inlineStr">
        <is>
          <t>RAD 40</t>
        </is>
      </c>
      <c r="C193" s="184" t="inlineStr">
        <is>
          <t>LVP</t>
        </is>
      </c>
      <c r="D193" s="180" t="inlineStr">
        <is>
          <t>Top</t>
        </is>
      </c>
      <c r="E193" s="180" t="n">
        <v>60</v>
      </c>
      <c r="F193" s="180" t="inlineStr">
        <is>
          <t>Single</t>
        </is>
      </c>
      <c r="G193" s="180" t="inlineStr">
        <is>
          <t>MCX 40 TOP LVP</t>
        </is>
      </c>
      <c r="H193" s="180" t="inlineStr">
        <is>
          <t>76 X 168</t>
        </is>
      </c>
      <c r="I193" s="180" t="inlineStr">
        <is>
          <t>21 X 24</t>
        </is>
      </c>
      <c r="J193" s="180" t="n">
        <v>21</v>
      </c>
      <c r="K193" s="181" t="n"/>
      <c r="L193" s="31" t="n"/>
      <c r="M193" s="32" t="n">
        <v>1.103988603988604</v>
      </c>
      <c r="N193" s="31" t="n"/>
      <c r="O193" s="33" t="n"/>
    </row>
    <row r="194" ht="15" customHeight="1">
      <c r="A194" s="232" t="n"/>
      <c r="B194" s="232" t="n"/>
      <c r="C194" s="235" t="n"/>
      <c r="D194" s="169" t="inlineStr">
        <is>
          <t>Bottom</t>
        </is>
      </c>
      <c r="E194" s="169" t="n">
        <v>40</v>
      </c>
      <c r="F194" s="169" t="inlineStr">
        <is>
          <t>Single</t>
        </is>
      </c>
      <c r="G194" s="169" t="inlineStr">
        <is>
          <t>MCX 40 BOT LVP</t>
        </is>
      </c>
      <c r="H194" s="169" t="inlineStr">
        <is>
          <t>88 X 178</t>
        </is>
      </c>
      <c r="I194" s="169" t="inlineStr">
        <is>
          <t>20 X 23</t>
        </is>
      </c>
      <c r="J194" s="169" t="n">
        <v>15</v>
      </c>
      <c r="K194" s="171" t="n"/>
      <c r="L194" s="14" t="n"/>
      <c r="M194" s="15" t="n">
        <v>0.6977821913273751</v>
      </c>
      <c r="N194" s="14" t="n"/>
      <c r="O194" s="16" t="n"/>
    </row>
    <row r="195" ht="15.75" customHeight="1">
      <c r="A195" s="234" t="n"/>
      <c r="B195" s="234" t="n"/>
      <c r="C195" s="175" t="inlineStr">
        <is>
          <t>SVG</t>
        </is>
      </c>
      <c r="D195" s="166" t="inlineStr">
        <is>
          <t>-</t>
        </is>
      </c>
      <c r="E195" s="166" t="n">
        <v>22</v>
      </c>
      <c r="F195" s="166" t="inlineStr">
        <is>
          <t>Single</t>
        </is>
      </c>
      <c r="G195" s="166" t="inlineStr">
        <is>
          <t>MCX 40 SVG</t>
        </is>
      </c>
      <c r="H195" s="166" t="inlineStr">
        <is>
          <t>103 X 193</t>
        </is>
      </c>
      <c r="I195" s="166" t="inlineStr">
        <is>
          <t>18 X 24</t>
        </is>
      </c>
      <c r="J195" s="166" t="n">
        <v>12</v>
      </c>
      <c r="K195" s="176" t="n"/>
      <c r="L195" s="25" t="n"/>
      <c r="M195" s="26" t="n">
        <v>0.4398148148148148</v>
      </c>
      <c r="N195" s="25" t="n"/>
      <c r="O195" s="27" t="n"/>
    </row>
    <row r="196" ht="15" customHeight="1">
      <c r="A196" s="186" t="n"/>
      <c r="B196" s="198" t="inlineStr">
        <is>
          <t>RAD 42</t>
        </is>
      </c>
      <c r="C196" s="184" t="inlineStr">
        <is>
          <t>LVP</t>
        </is>
      </c>
      <c r="D196" s="180" t="inlineStr">
        <is>
          <t>Top</t>
        </is>
      </c>
      <c r="E196" s="180" t="n">
        <v>60</v>
      </c>
      <c r="F196" s="180" t="inlineStr">
        <is>
          <t>Single</t>
        </is>
      </c>
      <c r="G196" s="180" t="inlineStr">
        <is>
          <t>MCX 42 TOP LVP</t>
        </is>
      </c>
      <c r="H196" s="180" t="inlineStr">
        <is>
          <t>100 X 227</t>
        </is>
      </c>
      <c r="I196" s="180" t="inlineStr">
        <is>
          <t>19 X 22</t>
        </is>
      </c>
      <c r="J196" s="180" t="n">
        <v>10</v>
      </c>
      <c r="K196" s="181" t="n"/>
      <c r="L196" s="31" t="n"/>
      <c r="M196" s="32" t="n">
        <v>1.103988603988604</v>
      </c>
      <c r="N196" s="31" t="n"/>
      <c r="O196" s="33" t="n"/>
    </row>
    <row r="197" ht="15" customHeight="1">
      <c r="A197" s="232" t="n"/>
      <c r="B197" s="232" t="n"/>
      <c r="C197" s="235" t="n"/>
      <c r="D197" s="169" t="inlineStr">
        <is>
          <t>Bottom</t>
        </is>
      </c>
      <c r="E197" s="169" t="n">
        <v>40</v>
      </c>
      <c r="F197" s="169" t="inlineStr">
        <is>
          <t>Single</t>
        </is>
      </c>
      <c r="G197" s="169" t="inlineStr">
        <is>
          <t>MCX 42 BOT LVP</t>
        </is>
      </c>
      <c r="H197" s="169" t="inlineStr">
        <is>
          <t>108 X 236</t>
        </is>
      </c>
      <c r="I197" s="169" t="inlineStr">
        <is>
          <t>20 X 24</t>
        </is>
      </c>
      <c r="J197" s="169" t="n">
        <v>10</v>
      </c>
      <c r="K197" s="171" t="n"/>
      <c r="L197" s="14" t="n"/>
      <c r="M197" s="15" t="n">
        <v>0.6977821913273751</v>
      </c>
      <c r="N197" s="14" t="n"/>
      <c r="O197" s="16" t="n"/>
    </row>
    <row r="198" ht="15.75" customHeight="1">
      <c r="A198" s="234" t="n"/>
      <c r="B198" s="234" t="n"/>
      <c r="C198" s="175" t="inlineStr">
        <is>
          <t>SVG</t>
        </is>
      </c>
      <c r="D198" s="166" t="inlineStr">
        <is>
          <t>-</t>
        </is>
      </c>
      <c r="E198" s="166" t="n">
        <v>22</v>
      </c>
      <c r="F198" s="166" t="inlineStr">
        <is>
          <t>Single</t>
        </is>
      </c>
      <c r="G198" s="166" t="inlineStr">
        <is>
          <t>MCX 42 SVG</t>
        </is>
      </c>
      <c r="H198" s="166" t="inlineStr">
        <is>
          <t>122 X 252</t>
        </is>
      </c>
      <c r="I198" s="166" t="inlineStr">
        <is>
          <t>21 X 21</t>
        </is>
      </c>
      <c r="J198" s="166" t="n">
        <v>8</v>
      </c>
      <c r="K198" s="176" t="n"/>
      <c r="L198" s="25" t="n"/>
      <c r="M198" s="26" t="n">
        <v>0.4398148148148148</v>
      </c>
      <c r="N198" s="25" t="n"/>
      <c r="O198" s="27" t="n"/>
    </row>
    <row r="199" ht="15" customHeight="1">
      <c r="A199" s="186" t="n"/>
      <c r="B199" s="198" t="inlineStr">
        <is>
          <t>RAD 45</t>
        </is>
      </c>
      <c r="C199" s="184" t="inlineStr">
        <is>
          <t>LVP</t>
        </is>
      </c>
      <c r="D199" s="180" t="inlineStr">
        <is>
          <t>Top</t>
        </is>
      </c>
      <c r="E199" s="180" t="n">
        <v>40</v>
      </c>
      <c r="F199" s="180" t="inlineStr">
        <is>
          <t>Single</t>
        </is>
      </c>
      <c r="G199" s="180" t="inlineStr">
        <is>
          <t>MCX 45 LVP</t>
        </is>
      </c>
      <c r="H199" s="180" t="inlineStr">
        <is>
          <t>158 X 209</t>
        </is>
      </c>
      <c r="I199" s="180" t="inlineStr">
        <is>
          <t>18 X 20</t>
        </is>
      </c>
      <c r="J199" s="180" t="n">
        <v>6</v>
      </c>
      <c r="K199" s="181" t="n"/>
      <c r="L199" s="31" t="n"/>
      <c r="M199" s="32" t="n">
        <v>0.6977821913273751</v>
      </c>
      <c r="N199" s="31" t="n"/>
      <c r="O199" s="33" t="n"/>
    </row>
    <row r="200" ht="15" customHeight="1">
      <c r="A200" s="232" t="n"/>
      <c r="B200" s="232" t="n"/>
      <c r="C200" s="235" t="n"/>
      <c r="D200" s="169" t="inlineStr">
        <is>
          <t>Bottom</t>
        </is>
      </c>
      <c r="E200" s="169" t="n">
        <v>40</v>
      </c>
      <c r="F200" s="169" t="inlineStr">
        <is>
          <t>Single</t>
        </is>
      </c>
      <c r="G200" s="180" t="inlineStr">
        <is>
          <t>MCX 45 LVP</t>
        </is>
      </c>
      <c r="H200" s="180" t="inlineStr">
        <is>
          <t>158 X 209</t>
        </is>
      </c>
      <c r="I200" s="180" t="inlineStr">
        <is>
          <t>18 X 20</t>
        </is>
      </c>
      <c r="J200" s="180" t="n">
        <v>6</v>
      </c>
      <c r="K200" s="171" t="n"/>
      <c r="L200" s="14" t="n"/>
      <c r="M200" s="15" t="n">
        <v>0.6977821913273751</v>
      </c>
      <c r="N200" s="14" t="n"/>
      <c r="O200" s="16" t="n"/>
    </row>
    <row r="201" ht="15.75" customHeight="1">
      <c r="A201" s="234" t="n"/>
      <c r="B201" s="234" t="n"/>
      <c r="C201" s="175" t="inlineStr">
        <is>
          <t>SVG</t>
        </is>
      </c>
      <c r="D201" s="166" t="inlineStr">
        <is>
          <t>-</t>
        </is>
      </c>
      <c r="E201" s="166" t="n">
        <v>22</v>
      </c>
      <c r="F201" s="166" t="inlineStr">
        <is>
          <t>Single</t>
        </is>
      </c>
      <c r="G201" s="166" t="inlineStr">
        <is>
          <t>MCX 45 SVG</t>
        </is>
      </c>
      <c r="H201" s="166" t="inlineStr">
        <is>
          <t>171 X 222</t>
        </is>
      </c>
      <c r="I201" s="166" t="inlineStr">
        <is>
          <t>18.5 X 22</t>
        </is>
      </c>
      <c r="J201" s="166" t="n">
        <v>6</v>
      </c>
      <c r="K201" s="176" t="n"/>
      <c r="L201" s="25" t="n"/>
      <c r="M201" s="26" t="n">
        <v>0.4398148148148148</v>
      </c>
      <c r="N201" s="25" t="n"/>
      <c r="O201" s="27" t="n"/>
    </row>
    <row r="202" ht="15" customHeight="1">
      <c r="A202" s="197" t="n"/>
      <c r="B202" s="198" t="inlineStr">
        <is>
          <t>Chemblue 10</t>
        </is>
      </c>
      <c r="C202" s="179" t="inlineStr">
        <is>
          <t>LVP</t>
        </is>
      </c>
      <c r="D202" s="180" t="inlineStr">
        <is>
          <t>Top</t>
        </is>
      </c>
      <c r="E202" s="180" t="n">
        <v>60</v>
      </c>
      <c r="F202" s="180" t="inlineStr">
        <is>
          <t>Passing</t>
        </is>
      </c>
      <c r="G202" s="180" t="inlineStr">
        <is>
          <t>GNR 10 LVP</t>
        </is>
      </c>
      <c r="H202" s="180" t="inlineStr">
        <is>
          <t>40 X 62</t>
        </is>
      </c>
      <c r="I202" s="180" t="inlineStr">
        <is>
          <t>20.5 X 22</t>
        </is>
      </c>
      <c r="J202" s="180" t="n">
        <v>88</v>
      </c>
      <c r="K202" s="181" t="n"/>
      <c r="L202" s="31" t="n"/>
      <c r="M202" s="32" t="n">
        <v>1.103988603988604</v>
      </c>
      <c r="N202" s="31" t="n"/>
      <c r="O202" s="33" t="n"/>
    </row>
    <row r="203" ht="15" customHeight="1">
      <c r="A203" s="232" t="n"/>
      <c r="B203" s="232" t="n"/>
      <c r="C203" s="168" t="n"/>
      <c r="D203" s="169" t="inlineStr">
        <is>
          <t>Bottom</t>
        </is>
      </c>
      <c r="E203" s="169" t="n"/>
      <c r="F203" s="180" t="n"/>
      <c r="G203" s="180" t="n"/>
      <c r="H203" s="180" t="n"/>
      <c r="I203" s="180" t="n"/>
      <c r="J203" s="180" t="n"/>
      <c r="K203" s="181" t="n"/>
      <c r="L203" s="14" t="n"/>
      <c r="M203" s="15" t="e">
        <v>#N/A</v>
      </c>
      <c r="N203" s="14" t="n"/>
      <c r="O203" s="16" t="n"/>
    </row>
    <row r="204" ht="15.75" customHeight="1">
      <c r="A204" s="234" t="n"/>
      <c r="B204" s="234" t="n"/>
      <c r="C204" s="175" t="inlineStr">
        <is>
          <t>SVG</t>
        </is>
      </c>
      <c r="D204" s="166" t="inlineStr">
        <is>
          <t>-</t>
        </is>
      </c>
      <c r="E204" s="166" t="n">
        <v>22</v>
      </c>
      <c r="F204" s="166" t="inlineStr">
        <is>
          <t>Passing</t>
        </is>
      </c>
      <c r="G204" s="166" t="inlineStr">
        <is>
          <t>GNR 10 SVG</t>
        </is>
      </c>
      <c r="H204" s="166" t="inlineStr">
        <is>
          <t>51 X 72</t>
        </is>
      </c>
      <c r="I204" s="166" t="inlineStr">
        <is>
          <t>19 X 23</t>
        </is>
      </c>
      <c r="J204" s="166" t="n">
        <v>60</v>
      </c>
      <c r="K204" s="176" t="n"/>
      <c r="L204" s="25" t="n"/>
      <c r="M204" s="26" t="n">
        <v>0.4398148148148148</v>
      </c>
      <c r="N204" s="25" t="n"/>
      <c r="O204" s="27" t="n"/>
    </row>
    <row r="205" ht="15" customHeight="1">
      <c r="A205" s="197" t="n"/>
      <c r="B205" s="198" t="inlineStr">
        <is>
          <t>Chemblue 12</t>
        </is>
      </c>
      <c r="C205" s="179" t="inlineStr">
        <is>
          <t>LVP</t>
        </is>
      </c>
      <c r="D205" s="180" t="inlineStr">
        <is>
          <t>Top</t>
        </is>
      </c>
      <c r="E205" s="180" t="n">
        <v>60</v>
      </c>
      <c r="F205" s="180" t="inlineStr">
        <is>
          <t>Passing</t>
        </is>
      </c>
      <c r="G205" s="180" t="inlineStr">
        <is>
          <t>GNR 12 LVP</t>
        </is>
      </c>
      <c r="H205" s="180" t="inlineStr">
        <is>
          <t>54 X 107</t>
        </is>
      </c>
      <c r="I205" s="180" t="inlineStr">
        <is>
          <t>22 X 23</t>
        </is>
      </c>
      <c r="J205" s="180" t="n">
        <v>45</v>
      </c>
      <c r="K205" s="181" t="n"/>
      <c r="L205" s="31" t="n"/>
      <c r="M205" s="32" t="n">
        <v>1.103988603988604</v>
      </c>
      <c r="N205" s="31" t="n"/>
      <c r="O205" s="33" t="n"/>
    </row>
    <row r="206" ht="15" customHeight="1">
      <c r="A206" s="232" t="n"/>
      <c r="B206" s="232" t="n"/>
      <c r="C206" s="168" t="n"/>
      <c r="D206" s="169" t="inlineStr">
        <is>
          <t>Bottom</t>
        </is>
      </c>
      <c r="E206" s="169" t="n"/>
      <c r="F206" s="180" t="n"/>
      <c r="G206" s="180" t="n"/>
      <c r="H206" s="180" t="n"/>
      <c r="I206" s="180" t="n"/>
      <c r="J206" s="180" t="n"/>
      <c r="K206" s="181" t="n"/>
      <c r="L206" s="14" t="n"/>
      <c r="M206" s="15" t="e">
        <v>#N/A</v>
      </c>
      <c r="N206" s="14" t="n"/>
      <c r="O206" s="16" t="n"/>
    </row>
    <row r="207" ht="15.75" customHeight="1">
      <c r="A207" s="234" t="n"/>
      <c r="B207" s="234" t="n"/>
      <c r="C207" s="175" t="inlineStr">
        <is>
          <t>SVG</t>
        </is>
      </c>
      <c r="D207" s="166" t="inlineStr">
        <is>
          <t>-</t>
        </is>
      </c>
      <c r="E207" s="166" t="n">
        <v>22</v>
      </c>
      <c r="F207" s="166" t="inlineStr">
        <is>
          <t>Passing</t>
        </is>
      </c>
      <c r="G207" s="166" t="inlineStr">
        <is>
          <t>GNR 12 SVG</t>
        </is>
      </c>
      <c r="H207" s="166" t="inlineStr">
        <is>
          <t>65 X 118</t>
        </is>
      </c>
      <c r="I207" s="166" t="inlineStr">
        <is>
          <t>20.5 X 23</t>
        </is>
      </c>
      <c r="J207" s="166" t="n">
        <v>32</v>
      </c>
      <c r="K207" s="176" t="n"/>
      <c r="L207" s="25" t="n"/>
      <c r="M207" s="26" t="n">
        <v>0.4398148148148148</v>
      </c>
      <c r="N207" s="25" t="n"/>
      <c r="O207" s="27" t="n"/>
    </row>
    <row r="208" ht="15" customHeight="1">
      <c r="A208" s="197" t="n"/>
      <c r="B208" s="198" t="inlineStr">
        <is>
          <t>Chemblue 14</t>
        </is>
      </c>
      <c r="C208" s="179" t="inlineStr">
        <is>
          <t>LVP</t>
        </is>
      </c>
      <c r="D208" s="180" t="inlineStr">
        <is>
          <t>Top</t>
        </is>
      </c>
      <c r="E208" s="180" t="n">
        <v>60</v>
      </c>
      <c r="F208" s="192" t="inlineStr">
        <is>
          <t>Single</t>
        </is>
      </c>
      <c r="G208" s="180" t="inlineStr">
        <is>
          <t>GNR 14 LVP</t>
        </is>
      </c>
      <c r="H208" s="180" t="inlineStr">
        <is>
          <t>65 X 117</t>
        </is>
      </c>
      <c r="I208" s="180" t="inlineStr">
        <is>
          <t>24.5 X 25.5</t>
        </is>
      </c>
      <c r="J208" s="180" t="n">
        <v>40</v>
      </c>
      <c r="K208" s="181" t="n"/>
      <c r="L208" s="31" t="n"/>
      <c r="M208" s="32" t="n">
        <v>1.103988603988604</v>
      </c>
      <c r="N208" s="31" t="n"/>
      <c r="O208" s="33" t="n"/>
    </row>
    <row r="209" ht="15" customHeight="1">
      <c r="A209" s="232" t="n"/>
      <c r="B209" s="232" t="n"/>
      <c r="C209" s="168" t="n"/>
      <c r="D209" s="169" t="inlineStr">
        <is>
          <t>Bottom</t>
        </is>
      </c>
      <c r="E209" s="169" t="n"/>
      <c r="G209" s="180" t="n"/>
      <c r="H209" s="180" t="n"/>
      <c r="I209" s="180" t="n"/>
      <c r="J209" s="180" t="n"/>
      <c r="K209" s="181" t="n"/>
      <c r="L209" s="14" t="n"/>
      <c r="M209" s="15" t="e">
        <v>#N/A</v>
      </c>
      <c r="N209" s="14" t="n"/>
      <c r="O209" s="16" t="n"/>
    </row>
    <row r="210" ht="15.75" customHeight="1">
      <c r="A210" s="234" t="n"/>
      <c r="B210" s="234" t="n"/>
      <c r="C210" s="175" t="inlineStr">
        <is>
          <t>SVG</t>
        </is>
      </c>
      <c r="D210" s="166" t="inlineStr">
        <is>
          <t>-</t>
        </is>
      </c>
      <c r="E210" s="166" t="n">
        <v>22</v>
      </c>
      <c r="F210" s="166" t="inlineStr">
        <is>
          <t>Single</t>
        </is>
      </c>
      <c r="G210" s="166" t="inlineStr">
        <is>
          <t>GNR 14 SVG</t>
        </is>
      </c>
      <c r="H210" s="166" t="inlineStr">
        <is>
          <t>75 X 128</t>
        </is>
      </c>
      <c r="I210" s="166" t="inlineStr">
        <is>
          <t>21 X 22</t>
        </is>
      </c>
      <c r="J210" s="166" t="n">
        <v>24</v>
      </c>
      <c r="K210" s="176" t="n"/>
      <c r="L210" s="25" t="n"/>
      <c r="M210" s="26" t="n">
        <v>0.4398148148148148</v>
      </c>
      <c r="N210" s="25" t="n"/>
      <c r="O210" s="27" t="n"/>
    </row>
    <row r="211" ht="15" customHeight="1">
      <c r="A211" s="186" t="n"/>
      <c r="B211" s="198" t="inlineStr">
        <is>
          <t>Chemblue 15</t>
        </is>
      </c>
      <c r="C211" s="184" t="inlineStr">
        <is>
          <t>LVP</t>
        </is>
      </c>
      <c r="D211" s="180" t="inlineStr">
        <is>
          <t>Top</t>
        </is>
      </c>
      <c r="E211" s="180" t="n">
        <v>60</v>
      </c>
      <c r="F211" s="185" t="inlineStr">
        <is>
          <t>Passing</t>
        </is>
      </c>
      <c r="G211" s="180" t="inlineStr">
        <is>
          <t>MCX 15 LVP</t>
        </is>
      </c>
      <c r="H211" s="180" t="inlineStr">
        <is>
          <t>61 X 75</t>
        </is>
      </c>
      <c r="I211" s="180" t="inlineStr">
        <is>
          <t>19 X 23</t>
        </is>
      </c>
      <c r="J211" s="180" t="n">
        <v>49</v>
      </c>
      <c r="K211" s="181" t="n"/>
      <c r="L211" s="31" t="n"/>
      <c r="M211" s="32" t="n">
        <v>1.103988603988604</v>
      </c>
      <c r="N211" s="31" t="n"/>
      <c r="O211" s="33" t="n"/>
    </row>
    <row r="212" ht="15" customHeight="1">
      <c r="A212" s="232" t="n"/>
      <c r="B212" s="232" t="n"/>
      <c r="C212" s="235" t="n"/>
      <c r="D212" s="169" t="inlineStr">
        <is>
          <t>Bottom</t>
        </is>
      </c>
      <c r="E212" s="169" t="n"/>
      <c r="F212" s="180" t="n"/>
      <c r="G212" s="169" t="n"/>
      <c r="H212" s="169" t="n"/>
      <c r="I212" s="169" t="n"/>
      <c r="J212" s="169" t="n"/>
      <c r="K212" s="171" t="n"/>
      <c r="L212" s="14" t="n"/>
      <c r="M212" s="15" t="e">
        <v>#N/A</v>
      </c>
      <c r="N212" s="14" t="n"/>
      <c r="O212" s="16" t="n"/>
    </row>
    <row r="213" ht="15.75" customHeight="1">
      <c r="A213" s="234" t="n"/>
      <c r="B213" s="234" t="n"/>
      <c r="C213" s="175" t="inlineStr">
        <is>
          <t>SVG</t>
        </is>
      </c>
      <c r="D213" s="166" t="inlineStr">
        <is>
          <t>-</t>
        </is>
      </c>
      <c r="E213" s="166" t="n">
        <v>22</v>
      </c>
      <c r="F213" s="166" t="inlineStr">
        <is>
          <t>Passing</t>
        </is>
      </c>
      <c r="G213" s="166" t="inlineStr">
        <is>
          <t>MCX 15 SVG</t>
        </is>
      </c>
      <c r="H213" s="166" t="inlineStr">
        <is>
          <t>71 X 85</t>
        </is>
      </c>
      <c r="I213" s="166" t="inlineStr">
        <is>
          <t>18.5 X 22</t>
        </is>
      </c>
      <c r="J213" s="166" t="n">
        <v>36</v>
      </c>
      <c r="K213" s="176" t="n"/>
      <c r="L213" s="25" t="n"/>
      <c r="M213" s="26" t="n">
        <v>0.4398148148148148</v>
      </c>
      <c r="N213" s="25" t="n"/>
      <c r="O213" s="27" t="n"/>
    </row>
    <row r="214" ht="15" customHeight="1">
      <c r="A214" s="203" t="n"/>
      <c r="B214" s="198" t="inlineStr">
        <is>
          <t>Chemblue 19</t>
        </is>
      </c>
      <c r="C214" s="184" t="inlineStr">
        <is>
          <t>LVP</t>
        </is>
      </c>
      <c r="D214" s="180" t="inlineStr">
        <is>
          <t>Top</t>
        </is>
      </c>
      <c r="E214" s="180" t="n">
        <v>40</v>
      </c>
      <c r="F214" s="180" t="inlineStr">
        <is>
          <t>Single</t>
        </is>
      </c>
      <c r="G214" s="180" t="inlineStr">
        <is>
          <t>TOP MCX 25 LVP</t>
        </is>
      </c>
      <c r="H214" s="180" t="inlineStr">
        <is>
          <t>85 X 98</t>
        </is>
      </c>
      <c r="I214" s="180" t="inlineStr">
        <is>
          <t>22 X 23</t>
        </is>
      </c>
      <c r="J214" s="180" t="n">
        <v>30</v>
      </c>
      <c r="K214" s="207" t="n"/>
      <c r="L214" s="72" t="n"/>
      <c r="M214" s="73" t="n">
        <v>0.6977821913273751</v>
      </c>
      <c r="N214" s="72" t="n"/>
      <c r="O214" s="74" t="n"/>
    </row>
    <row r="215" ht="15" customHeight="1">
      <c r="A215" s="203" t="n"/>
      <c r="B215" s="232" t="n"/>
      <c r="C215" s="235" t="n"/>
      <c r="D215" s="169" t="inlineStr">
        <is>
          <t>Bottom</t>
        </is>
      </c>
      <c r="E215" s="169" t="n">
        <v>40</v>
      </c>
      <c r="F215" s="180" t="inlineStr">
        <is>
          <t>Single</t>
        </is>
      </c>
      <c r="G215" s="169" t="inlineStr">
        <is>
          <t>BOT.MCX 25 LVP</t>
        </is>
      </c>
      <c r="H215" s="169" t="inlineStr">
        <is>
          <t>94 X 108</t>
        </is>
      </c>
      <c r="I215" s="169" t="inlineStr">
        <is>
          <t>21 X 24</t>
        </is>
      </c>
      <c r="J215" s="169" t="n">
        <v>25</v>
      </c>
      <c r="K215" s="171" t="n"/>
      <c r="L215" s="14" t="n"/>
      <c r="M215" s="15" t="n">
        <v>0.6977821913273751</v>
      </c>
      <c r="N215" s="14" t="n"/>
      <c r="O215" s="16" t="n"/>
    </row>
    <row r="216" ht="15.75" customHeight="1">
      <c r="A216" s="204" t="n"/>
      <c r="B216" s="234" t="n"/>
      <c r="C216" s="175" t="inlineStr">
        <is>
          <t>SVG</t>
        </is>
      </c>
      <c r="D216" s="166" t="inlineStr">
        <is>
          <t>-</t>
        </is>
      </c>
      <c r="E216" s="166" t="n">
        <v>22</v>
      </c>
      <c r="F216" s="166" t="inlineStr">
        <is>
          <t>Single</t>
        </is>
      </c>
      <c r="G216" s="166" t="inlineStr">
        <is>
          <t>MCX 25 SVG</t>
        </is>
      </c>
      <c r="H216" s="166" t="inlineStr">
        <is>
          <t>108 X 120</t>
        </is>
      </c>
      <c r="I216" s="166" t="inlineStr">
        <is>
          <t>21 X 24</t>
        </is>
      </c>
      <c r="J216" s="166" t="n">
        <v>20</v>
      </c>
      <c r="K216" s="205" t="n"/>
      <c r="L216" s="25" t="n"/>
      <c r="M216" s="26" t="n">
        <v>0.4398148148148148</v>
      </c>
      <c r="N216" s="25" t="n"/>
      <c r="O216" s="27" t="n"/>
    </row>
    <row r="217" ht="15" customHeight="1">
      <c r="A217" s="203" t="n"/>
      <c r="B217" s="198" t="inlineStr">
        <is>
          <t>Chemblue 20</t>
        </is>
      </c>
      <c r="C217" s="184" t="inlineStr">
        <is>
          <t>LVP</t>
        </is>
      </c>
      <c r="D217" s="180" t="inlineStr">
        <is>
          <t>Top</t>
        </is>
      </c>
      <c r="E217" s="180" t="n">
        <v>60</v>
      </c>
      <c r="F217" s="180" t="inlineStr">
        <is>
          <t>Passing</t>
        </is>
      </c>
      <c r="G217" s="185" t="inlineStr">
        <is>
          <t>Turkey MCX 20 LVP</t>
        </is>
      </c>
      <c r="H217" s="206" t="inlineStr">
        <is>
          <t>65 X 110</t>
        </is>
      </c>
      <c r="I217" s="185" t="inlineStr">
        <is>
          <t>24.5 X 24</t>
        </is>
      </c>
      <c r="J217" s="185" t="n">
        <v>35</v>
      </c>
      <c r="K217" s="207" t="n"/>
      <c r="L217" s="72" t="n"/>
      <c r="M217" s="73" t="n">
        <v>1.103988603988604</v>
      </c>
      <c r="N217" s="72" t="n"/>
      <c r="O217" s="74" t="n"/>
    </row>
    <row r="218" ht="15" customHeight="1">
      <c r="A218" s="203" t="n"/>
      <c r="B218" s="232" t="n"/>
      <c r="C218" s="235" t="n"/>
      <c r="D218" s="169" t="inlineStr">
        <is>
          <t>Bottom</t>
        </is>
      </c>
      <c r="E218" s="169" t="n"/>
      <c r="F218" s="180" t="n"/>
      <c r="G218" s="169" t="n"/>
      <c r="H218" s="208" t="n"/>
      <c r="I218" s="169" t="n"/>
      <c r="J218" s="169" t="n"/>
      <c r="K218" s="171" t="n"/>
      <c r="L218" s="14" t="n"/>
      <c r="M218" s="15" t="e">
        <v>#N/A</v>
      </c>
      <c r="N218" s="14" t="n"/>
      <c r="O218" s="16" t="n"/>
    </row>
    <row r="219" ht="15.75" customHeight="1">
      <c r="A219" s="204" t="n"/>
      <c r="B219" s="234" t="n"/>
      <c r="C219" s="175" t="inlineStr">
        <is>
          <t>SVG</t>
        </is>
      </c>
      <c r="D219" s="166" t="inlineStr">
        <is>
          <t>-</t>
        </is>
      </c>
      <c r="E219" s="166" t="n">
        <v>22</v>
      </c>
      <c r="F219" s="166" t="inlineStr">
        <is>
          <t>Passing</t>
        </is>
      </c>
      <c r="G219" s="175" t="inlineStr">
        <is>
          <t>Turkey MCX 20 SVG</t>
        </is>
      </c>
      <c r="H219" s="209" t="inlineStr">
        <is>
          <t>75 X 120</t>
        </is>
      </c>
      <c r="I219" s="209" t="inlineStr">
        <is>
          <t>21 X 24</t>
        </is>
      </c>
      <c r="J219" s="205" t="n">
        <v>28</v>
      </c>
      <c r="K219" s="205" t="n"/>
      <c r="L219" s="25" t="n"/>
      <c r="M219" s="26" t="n">
        <v>0.4398148148148148</v>
      </c>
      <c r="N219" s="25" t="n"/>
      <c r="O219" s="27" t="n"/>
    </row>
    <row r="220" ht="15.75" customHeight="1">
      <c r="A220" s="203" t="n"/>
      <c r="B220" s="198" t="inlineStr">
        <is>
          <t>Chemblue 22</t>
        </is>
      </c>
      <c r="C220" s="184" t="inlineStr">
        <is>
          <t>LVP</t>
        </is>
      </c>
      <c r="D220" s="180" t="inlineStr">
        <is>
          <t>Top</t>
        </is>
      </c>
      <c r="E220" s="180" t="n">
        <v>40</v>
      </c>
      <c r="F220" s="180" t="inlineStr">
        <is>
          <t>Single</t>
        </is>
      </c>
      <c r="G220" s="185" t="inlineStr">
        <is>
          <t>Chemblue 22 LVP</t>
        </is>
      </c>
      <c r="H220" s="206" t="inlineStr">
        <is>
          <t>61 X 126</t>
        </is>
      </c>
      <c r="I220" s="185" t="inlineStr">
        <is>
          <t>22 X 23</t>
        </is>
      </c>
      <c r="J220" s="185" t="n">
        <v>32</v>
      </c>
      <c r="K220" s="207" t="n"/>
      <c r="L220" s="72" t="n"/>
      <c r="M220" s="73" t="n">
        <v>0.6977821913273751</v>
      </c>
      <c r="N220" s="72" t="n"/>
      <c r="O220" s="74" t="n"/>
    </row>
    <row r="221" ht="15.75" customHeight="1">
      <c r="A221" s="203" t="n"/>
      <c r="B221" s="232" t="n"/>
      <c r="C221" s="235" t="n"/>
      <c r="D221" s="169" t="inlineStr">
        <is>
          <t>Bottom</t>
        </is>
      </c>
      <c r="E221" s="169" t="n">
        <v>40</v>
      </c>
      <c r="F221" s="180" t="inlineStr">
        <is>
          <t>Single</t>
        </is>
      </c>
      <c r="G221" s="185" t="inlineStr">
        <is>
          <t>Chemblue 22 LVP</t>
        </is>
      </c>
      <c r="H221" s="206" t="inlineStr">
        <is>
          <t>61 X 126</t>
        </is>
      </c>
      <c r="I221" s="185" t="inlineStr">
        <is>
          <t>22 X 23</t>
        </is>
      </c>
      <c r="J221" s="185" t="n">
        <v>32</v>
      </c>
      <c r="K221" s="171" t="n"/>
      <c r="L221" s="14" t="n"/>
      <c r="M221" s="15" t="n">
        <v>0.6977821913273751</v>
      </c>
      <c r="N221" s="14" t="n"/>
      <c r="O221" s="16" t="n"/>
    </row>
    <row r="222" ht="15.75" customHeight="1">
      <c r="A222" s="204" t="n"/>
      <c r="B222" s="234" t="n"/>
      <c r="C222" s="175" t="inlineStr">
        <is>
          <t>SVG</t>
        </is>
      </c>
      <c r="D222" s="166" t="inlineStr">
        <is>
          <t>-</t>
        </is>
      </c>
      <c r="E222" s="166" t="n">
        <v>22</v>
      </c>
      <c r="F222" s="166" t="inlineStr">
        <is>
          <t>Passing</t>
        </is>
      </c>
      <c r="G222" s="185" t="inlineStr">
        <is>
          <t>Chemblue 22 SVG</t>
        </is>
      </c>
      <c r="H222" s="209" t="inlineStr">
        <is>
          <t>75 X 140</t>
        </is>
      </c>
      <c r="I222" s="209" t="inlineStr">
        <is>
          <t>24 X 24</t>
        </is>
      </c>
      <c r="J222" s="205" t="n">
        <v>28</v>
      </c>
      <c r="K222" s="205" t="n"/>
      <c r="L222" s="25" t="n"/>
      <c r="M222" s="26" t="n">
        <v>0.4398148148148148</v>
      </c>
      <c r="N222" s="25" t="n"/>
      <c r="O222" s="27" t="n"/>
    </row>
    <row r="223" ht="15" customHeight="1">
      <c r="A223" s="203" t="n"/>
      <c r="B223" s="198" t="inlineStr">
        <is>
          <t>Chemblue 25</t>
        </is>
      </c>
      <c r="C223" s="184" t="inlineStr">
        <is>
          <t>LVP</t>
        </is>
      </c>
      <c r="D223" s="180" t="inlineStr">
        <is>
          <t>Top</t>
        </is>
      </c>
      <c r="E223" s="180" t="n">
        <v>40</v>
      </c>
      <c r="F223" s="180" t="inlineStr">
        <is>
          <t>Single</t>
        </is>
      </c>
      <c r="G223" s="180" t="inlineStr">
        <is>
          <t>TOP MCX 25 LVP</t>
        </is>
      </c>
      <c r="H223" s="180" t="inlineStr">
        <is>
          <t>85 X 98</t>
        </is>
      </c>
      <c r="I223" s="180" t="inlineStr">
        <is>
          <t>22 X 23</t>
        </is>
      </c>
      <c r="J223" s="180" t="n">
        <v>30</v>
      </c>
      <c r="K223" s="207" t="n"/>
      <c r="L223" s="72" t="n"/>
      <c r="M223" s="73" t="n">
        <v>0.6977821913273751</v>
      </c>
      <c r="N223" s="72" t="n"/>
      <c r="O223" s="74" t="n"/>
    </row>
    <row r="224" ht="15" customHeight="1">
      <c r="A224" s="203" t="n"/>
      <c r="B224" s="232" t="n"/>
      <c r="C224" s="235" t="n"/>
      <c r="D224" s="169" t="inlineStr">
        <is>
          <t>Bottom</t>
        </is>
      </c>
      <c r="E224" s="169" t="n">
        <v>40</v>
      </c>
      <c r="F224" s="180" t="inlineStr">
        <is>
          <t>Single</t>
        </is>
      </c>
      <c r="G224" s="169" t="inlineStr">
        <is>
          <t>BOT.MCX 25 LVP</t>
        </is>
      </c>
      <c r="H224" s="169" t="inlineStr">
        <is>
          <t>94 X 108</t>
        </is>
      </c>
      <c r="I224" s="169" t="inlineStr">
        <is>
          <t>21 X 24</t>
        </is>
      </c>
      <c r="J224" s="169" t="n">
        <v>25</v>
      </c>
      <c r="K224" s="171" t="n"/>
      <c r="L224" s="14" t="n"/>
      <c r="M224" s="15" t="n">
        <v>0.6977821913273751</v>
      </c>
      <c r="N224" s="14" t="n"/>
      <c r="O224" s="16" t="n"/>
    </row>
    <row r="225" ht="15.75" customHeight="1">
      <c r="A225" s="204" t="n"/>
      <c r="B225" s="234" t="n"/>
      <c r="C225" s="175" t="inlineStr">
        <is>
          <t>SVG</t>
        </is>
      </c>
      <c r="D225" s="166" t="inlineStr">
        <is>
          <t>-</t>
        </is>
      </c>
      <c r="E225" s="166" t="n">
        <v>22</v>
      </c>
      <c r="F225" s="166" t="inlineStr">
        <is>
          <t>Single</t>
        </is>
      </c>
      <c r="G225" s="166" t="inlineStr">
        <is>
          <t>MCX 25 SVG</t>
        </is>
      </c>
      <c r="H225" s="166" t="inlineStr">
        <is>
          <t>108 X 120</t>
        </is>
      </c>
      <c r="I225" s="166" t="inlineStr">
        <is>
          <t>21 X 24</t>
        </is>
      </c>
      <c r="J225" s="166" t="n">
        <v>20</v>
      </c>
      <c r="K225" s="205" t="n"/>
      <c r="L225" s="25" t="n"/>
      <c r="M225" s="26" t="n">
        <v>0.4398148148148148</v>
      </c>
      <c r="N225" s="25" t="n"/>
      <c r="O225" s="27" t="n"/>
    </row>
    <row r="226" ht="15" customHeight="1">
      <c r="A226" s="203" t="n"/>
      <c r="B226" s="198" t="inlineStr">
        <is>
          <t>Chemblue 35</t>
        </is>
      </c>
      <c r="C226" s="184" t="inlineStr">
        <is>
          <t>LVP</t>
        </is>
      </c>
      <c r="D226" s="180" t="inlineStr">
        <is>
          <t>Top</t>
        </is>
      </c>
      <c r="E226" s="180" t="n">
        <v>40</v>
      </c>
      <c r="F226" s="180" t="inlineStr">
        <is>
          <t>Single</t>
        </is>
      </c>
      <c r="G226" s="185" t="inlineStr">
        <is>
          <t>GNR 35 TOP LVP</t>
        </is>
      </c>
      <c r="H226" s="206" t="inlineStr">
        <is>
          <t>100 X 149</t>
        </is>
      </c>
      <c r="I226" s="185" t="inlineStr">
        <is>
          <t>22 X 25.5</t>
        </is>
      </c>
      <c r="J226" s="185" t="n">
        <v>20</v>
      </c>
      <c r="K226" s="207" t="n"/>
      <c r="L226" s="72" t="n"/>
      <c r="M226" s="73" t="n">
        <v>0.6977821913273751</v>
      </c>
      <c r="N226" s="72" t="n"/>
      <c r="O226" s="74" t="n"/>
    </row>
    <row r="227" ht="15" customHeight="1">
      <c r="A227" s="203" t="n"/>
      <c r="B227" s="232" t="n"/>
      <c r="C227" s="235" t="n"/>
      <c r="D227" s="169" t="inlineStr">
        <is>
          <t>Bottom</t>
        </is>
      </c>
      <c r="E227" s="169" t="n">
        <v>40</v>
      </c>
      <c r="F227" s="180" t="inlineStr">
        <is>
          <t>Single</t>
        </is>
      </c>
      <c r="G227" s="169" t="inlineStr">
        <is>
          <t>GNR 35 TOP BOT</t>
        </is>
      </c>
      <c r="H227" s="208" t="inlineStr">
        <is>
          <t>111 X 159</t>
        </is>
      </c>
      <c r="I227" s="169" t="inlineStr">
        <is>
          <t>20 X 24.5</t>
        </is>
      </c>
      <c r="J227" s="169" t="n">
        <v>15</v>
      </c>
      <c r="K227" s="171" t="n"/>
      <c r="L227" s="14" t="n"/>
      <c r="M227" s="15" t="n">
        <v>0.6977821913273751</v>
      </c>
      <c r="N227" s="14" t="n"/>
      <c r="O227" s="16" t="n"/>
    </row>
    <row r="228" ht="15.75" customHeight="1">
      <c r="A228" s="204" t="n"/>
      <c r="B228" s="234" t="n"/>
      <c r="C228" s="175" t="inlineStr">
        <is>
          <t>SVG</t>
        </is>
      </c>
      <c r="D228" s="166" t="inlineStr">
        <is>
          <t>-</t>
        </is>
      </c>
      <c r="E228" s="166" t="n">
        <v>22</v>
      </c>
      <c r="F228" s="166" t="inlineStr">
        <is>
          <t>Single</t>
        </is>
      </c>
      <c r="G228" s="175" t="inlineStr">
        <is>
          <t>GNR 35 SVG</t>
        </is>
      </c>
      <c r="H228" s="209" t="inlineStr">
        <is>
          <t>128 X 176</t>
        </is>
      </c>
      <c r="I228" s="209" t="inlineStr">
        <is>
          <t>22 X 22</t>
        </is>
      </c>
      <c r="J228" s="205" t="n">
        <v>12</v>
      </c>
      <c r="K228" s="205" t="n"/>
      <c r="L228" s="25" t="n"/>
      <c r="M228" s="26" t="n">
        <v>0.4398148148148148</v>
      </c>
      <c r="N228" s="25" t="n"/>
      <c r="O228" s="27" t="n"/>
    </row>
    <row r="229" ht="15" customHeight="1">
      <c r="A229" s="186" t="n"/>
      <c r="B229" s="198" t="inlineStr">
        <is>
          <t>Chemblue 40</t>
        </is>
      </c>
      <c r="C229" s="184" t="inlineStr">
        <is>
          <t>LVP</t>
        </is>
      </c>
      <c r="D229" s="180" t="inlineStr">
        <is>
          <t>Top</t>
        </is>
      </c>
      <c r="E229" s="180" t="n">
        <v>60</v>
      </c>
      <c r="F229" s="180" t="inlineStr">
        <is>
          <t>Single</t>
        </is>
      </c>
      <c r="G229" s="180" t="inlineStr">
        <is>
          <t>MCX 40 TOP LVP</t>
        </is>
      </c>
      <c r="H229" s="180" t="inlineStr">
        <is>
          <t>76 X 168</t>
        </is>
      </c>
      <c r="I229" s="180" t="inlineStr">
        <is>
          <t>21 X 24</t>
        </is>
      </c>
      <c r="J229" s="180" t="n">
        <v>21</v>
      </c>
      <c r="K229" s="181" t="n"/>
      <c r="L229" s="31" t="n"/>
      <c r="M229" s="32" t="n">
        <v>1.103988603988604</v>
      </c>
      <c r="N229" s="31" t="n"/>
      <c r="O229" s="33" t="n"/>
    </row>
    <row r="230" ht="15" customHeight="1">
      <c r="A230" s="232" t="n"/>
      <c r="B230" s="232" t="n"/>
      <c r="C230" s="235" t="n"/>
      <c r="D230" s="169" t="inlineStr">
        <is>
          <t>Bottom</t>
        </is>
      </c>
      <c r="E230" s="169" t="n">
        <v>40</v>
      </c>
      <c r="F230" s="169" t="inlineStr">
        <is>
          <t>Single</t>
        </is>
      </c>
      <c r="G230" s="169" t="inlineStr">
        <is>
          <t>MCX 40 BOT LVP</t>
        </is>
      </c>
      <c r="H230" s="169" t="inlineStr">
        <is>
          <t>88 X 178</t>
        </is>
      </c>
      <c r="I230" s="169" t="inlineStr">
        <is>
          <t>20 X 23</t>
        </is>
      </c>
      <c r="J230" s="169" t="n">
        <v>15</v>
      </c>
      <c r="K230" s="171" t="n"/>
      <c r="L230" s="14" t="n"/>
      <c r="M230" s="15" t="n">
        <v>0.6977821913273751</v>
      </c>
      <c r="N230" s="14" t="n"/>
      <c r="O230" s="16" t="n"/>
    </row>
    <row r="231" ht="15.75" customHeight="1">
      <c r="A231" s="234" t="n"/>
      <c r="B231" s="234" t="n"/>
      <c r="C231" s="175" t="inlineStr">
        <is>
          <t>SVG</t>
        </is>
      </c>
      <c r="D231" s="166" t="inlineStr">
        <is>
          <t>-</t>
        </is>
      </c>
      <c r="E231" s="166" t="n">
        <v>22</v>
      </c>
      <c r="F231" s="166" t="inlineStr">
        <is>
          <t>Single</t>
        </is>
      </c>
      <c r="G231" s="166" t="inlineStr">
        <is>
          <t>MCX 40 SVG</t>
        </is>
      </c>
      <c r="H231" s="166" t="inlineStr">
        <is>
          <t>103 X 193</t>
        </is>
      </c>
      <c r="I231" s="166" t="inlineStr">
        <is>
          <t>18 X 24</t>
        </is>
      </c>
      <c r="J231" s="166" t="n">
        <v>12</v>
      </c>
      <c r="K231" s="176" t="n"/>
      <c r="L231" s="25" t="n"/>
      <c r="M231" s="26" t="n">
        <v>0.4398148148148148</v>
      </c>
      <c r="N231" s="25" t="n"/>
      <c r="O231" s="27" t="n"/>
    </row>
    <row r="232" ht="15" customHeight="1">
      <c r="A232" s="186" t="n"/>
      <c r="B232" s="198" t="inlineStr">
        <is>
          <t>Chemblue 42</t>
        </is>
      </c>
      <c r="C232" s="184" t="inlineStr">
        <is>
          <t>LVP</t>
        </is>
      </c>
      <c r="D232" s="180" t="inlineStr">
        <is>
          <t>Top</t>
        </is>
      </c>
      <c r="E232" s="180" t="n">
        <v>60</v>
      </c>
      <c r="F232" s="180" t="inlineStr">
        <is>
          <t>Single</t>
        </is>
      </c>
      <c r="G232" s="180" t="inlineStr">
        <is>
          <t>MCX 42 TOP LVP</t>
        </is>
      </c>
      <c r="H232" s="180" t="inlineStr">
        <is>
          <t>100 X 227</t>
        </is>
      </c>
      <c r="I232" s="180" t="inlineStr">
        <is>
          <t>19 X 22</t>
        </is>
      </c>
      <c r="J232" s="180" t="n">
        <v>10</v>
      </c>
      <c r="K232" s="181" t="n"/>
      <c r="L232" s="31" t="n"/>
      <c r="M232" s="32" t="n">
        <v>1.103988603988604</v>
      </c>
      <c r="N232" s="31" t="n"/>
      <c r="O232" s="33" t="n"/>
    </row>
    <row r="233" ht="15" customHeight="1">
      <c r="A233" s="232" t="n"/>
      <c r="B233" s="232" t="n"/>
      <c r="C233" s="235" t="n"/>
      <c r="D233" s="169" t="inlineStr">
        <is>
          <t>Bottom</t>
        </is>
      </c>
      <c r="E233" s="169" t="n">
        <v>40</v>
      </c>
      <c r="F233" s="169" t="inlineStr">
        <is>
          <t>Single</t>
        </is>
      </c>
      <c r="G233" s="169" t="inlineStr">
        <is>
          <t>MCX 42 BOT LVP</t>
        </is>
      </c>
      <c r="H233" s="169" t="inlineStr">
        <is>
          <t>108 X 236</t>
        </is>
      </c>
      <c r="I233" s="169" t="inlineStr">
        <is>
          <t>20 X 24</t>
        </is>
      </c>
      <c r="J233" s="169" t="n">
        <v>10</v>
      </c>
      <c r="K233" s="171" t="n"/>
      <c r="L233" s="14" t="n"/>
      <c r="M233" s="15" t="n">
        <v>0.6977821913273751</v>
      </c>
      <c r="N233" s="14" t="n"/>
      <c r="O233" s="16" t="n"/>
    </row>
    <row r="234" ht="15.75" customHeight="1">
      <c r="A234" s="234" t="n"/>
      <c r="B234" s="234" t="n"/>
      <c r="C234" s="175" t="inlineStr">
        <is>
          <t>SVG</t>
        </is>
      </c>
      <c r="D234" s="166" t="inlineStr">
        <is>
          <t>-</t>
        </is>
      </c>
      <c r="E234" s="166" t="n">
        <v>22</v>
      </c>
      <c r="F234" s="166" t="inlineStr">
        <is>
          <t>Single</t>
        </is>
      </c>
      <c r="G234" s="166" t="inlineStr">
        <is>
          <t>MCX 42 SVG</t>
        </is>
      </c>
      <c r="H234" s="166" t="inlineStr">
        <is>
          <t>122 X 252</t>
        </is>
      </c>
      <c r="I234" s="166" t="inlineStr">
        <is>
          <t>21 X 21</t>
        </is>
      </c>
      <c r="J234" s="166" t="n">
        <v>8</v>
      </c>
      <c r="K234" s="176" t="n"/>
      <c r="L234" s="25" t="n"/>
      <c r="M234" s="26" t="n">
        <v>0.4398148148148148</v>
      </c>
      <c r="N234" s="25" t="n"/>
      <c r="O234" s="27" t="n"/>
    </row>
    <row r="235" ht="15" customHeight="1">
      <c r="A235" s="186" t="n"/>
      <c r="B235" s="198" t="inlineStr">
        <is>
          <t>Chemblue 44</t>
        </is>
      </c>
      <c r="C235" s="184" t="inlineStr">
        <is>
          <t>LVP</t>
        </is>
      </c>
      <c r="D235" s="180" t="inlineStr">
        <is>
          <t>Top</t>
        </is>
      </c>
      <c r="E235" s="180" t="n">
        <v>60</v>
      </c>
      <c r="F235" s="180" t="inlineStr">
        <is>
          <t>Single</t>
        </is>
      </c>
      <c r="G235" s="180" t="inlineStr">
        <is>
          <t>MCX 44 TOP LVP</t>
        </is>
      </c>
      <c r="H235" s="180" t="inlineStr">
        <is>
          <t>100 X 308</t>
        </is>
      </c>
      <c r="I235" s="180" t="inlineStr">
        <is>
          <t>18 X 25</t>
        </is>
      </c>
      <c r="J235" s="180" t="n">
        <v>8</v>
      </c>
      <c r="K235" s="181" t="n"/>
      <c r="L235" s="31" t="n"/>
      <c r="M235" s="32" t="n">
        <v>1.103988603988604</v>
      </c>
      <c r="N235" s="31" t="n"/>
      <c r="O235" s="33" t="n"/>
    </row>
    <row r="236" ht="15" customHeight="1">
      <c r="A236" s="232" t="n"/>
      <c r="B236" s="232" t="n"/>
      <c r="C236" s="235" t="n"/>
      <c r="D236" s="169" t="inlineStr">
        <is>
          <t>Bottom</t>
        </is>
      </c>
      <c r="E236" s="169" t="n">
        <v>40</v>
      </c>
      <c r="F236" s="169" t="inlineStr">
        <is>
          <t>Single</t>
        </is>
      </c>
      <c r="G236" s="169" t="inlineStr">
        <is>
          <t>MCX 44 BOT LVP</t>
        </is>
      </c>
      <c r="H236" s="169" t="inlineStr">
        <is>
          <t>110 X 320</t>
        </is>
      </c>
      <c r="I236" s="169" t="inlineStr">
        <is>
          <t>24 X 26</t>
        </is>
      </c>
      <c r="J236" s="169" t="n">
        <v>10</v>
      </c>
      <c r="K236" s="171" t="n"/>
      <c r="L236" s="14" t="n"/>
      <c r="M236" s="15" t="n">
        <v>0.6977821913273751</v>
      </c>
      <c r="N236" s="14" t="n"/>
      <c r="O236" s="16" t="n"/>
    </row>
    <row r="237" ht="15.75" customHeight="1">
      <c r="A237" s="234" t="n"/>
      <c r="B237" s="234" t="n"/>
      <c r="C237" s="175" t="inlineStr">
        <is>
          <t>SVG</t>
        </is>
      </c>
      <c r="D237" s="166" t="inlineStr">
        <is>
          <t>-</t>
        </is>
      </c>
      <c r="E237" s="166" t="n">
        <v>22</v>
      </c>
      <c r="F237" s="166" t="inlineStr">
        <is>
          <t>Single</t>
        </is>
      </c>
      <c r="G237" s="166" t="inlineStr">
        <is>
          <t>MCX 44 SVG</t>
        </is>
      </c>
      <c r="H237" s="166" t="inlineStr">
        <is>
          <t>125 X 338</t>
        </is>
      </c>
      <c r="I237" s="166" t="inlineStr">
        <is>
          <t>14 X 22</t>
        </is>
      </c>
      <c r="J237" s="166" t="n">
        <v>4</v>
      </c>
      <c r="K237" s="176" t="n"/>
      <c r="L237" s="25" t="n"/>
      <c r="M237" s="26" t="n">
        <v>0.4398148148148148</v>
      </c>
      <c r="N237" s="25" t="n"/>
      <c r="O237" s="27" t="n"/>
    </row>
    <row r="238" ht="15" customHeight="1">
      <c r="A238" s="186" t="n"/>
      <c r="B238" s="198" t="inlineStr">
        <is>
          <t>Chemblue 45</t>
        </is>
      </c>
      <c r="C238" s="184" t="inlineStr">
        <is>
          <t>LVP</t>
        </is>
      </c>
      <c r="D238" s="180" t="inlineStr">
        <is>
          <t>Top</t>
        </is>
      </c>
      <c r="E238" s="180" t="n">
        <v>40</v>
      </c>
      <c r="F238" s="180" t="inlineStr">
        <is>
          <t>Single</t>
        </is>
      </c>
      <c r="G238" s="180" t="inlineStr">
        <is>
          <t>MCX 45 LVP</t>
        </is>
      </c>
      <c r="H238" s="180" t="inlineStr">
        <is>
          <t>158 X 209</t>
        </is>
      </c>
      <c r="I238" s="180" t="inlineStr">
        <is>
          <t>18 X 20</t>
        </is>
      </c>
      <c r="J238" s="180" t="n">
        <v>6</v>
      </c>
      <c r="K238" s="181" t="n"/>
      <c r="L238" s="31" t="n"/>
      <c r="M238" s="32" t="n">
        <v>0.6977821913273751</v>
      </c>
      <c r="N238" s="31" t="n"/>
      <c r="O238" s="33" t="n"/>
    </row>
    <row r="239" ht="15" customHeight="1">
      <c r="A239" s="232" t="n"/>
      <c r="B239" s="232" t="n"/>
      <c r="C239" s="235" t="n"/>
      <c r="D239" s="169" t="inlineStr">
        <is>
          <t>Bottom</t>
        </is>
      </c>
      <c r="E239" s="169" t="n">
        <v>40</v>
      </c>
      <c r="F239" s="169" t="inlineStr">
        <is>
          <t>Single</t>
        </is>
      </c>
      <c r="G239" s="180" t="inlineStr">
        <is>
          <t>MCX 45 LVP</t>
        </is>
      </c>
      <c r="H239" s="180" t="inlineStr">
        <is>
          <t>158 X 209</t>
        </is>
      </c>
      <c r="I239" s="180" t="inlineStr">
        <is>
          <t>18 X 20</t>
        </is>
      </c>
      <c r="J239" s="180" t="n">
        <v>6</v>
      </c>
      <c r="K239" s="171" t="n"/>
      <c r="L239" s="14" t="n"/>
      <c r="M239" s="15" t="n">
        <v>0.6977821913273751</v>
      </c>
      <c r="N239" s="14" t="n"/>
      <c r="O239" s="16" t="n"/>
    </row>
    <row r="240" ht="15.75" customHeight="1">
      <c r="A240" s="234" t="n"/>
      <c r="B240" s="234" t="n"/>
      <c r="C240" s="175" t="inlineStr">
        <is>
          <t>SVG</t>
        </is>
      </c>
      <c r="D240" s="166" t="inlineStr">
        <is>
          <t>-</t>
        </is>
      </c>
      <c r="E240" s="166" t="n">
        <v>22</v>
      </c>
      <c r="F240" s="166" t="inlineStr">
        <is>
          <t>Single</t>
        </is>
      </c>
      <c r="G240" s="166" t="inlineStr">
        <is>
          <t>MCX 45 SVG</t>
        </is>
      </c>
      <c r="H240" s="166" t="inlineStr">
        <is>
          <t>171 X 222</t>
        </is>
      </c>
      <c r="I240" s="166" t="inlineStr">
        <is>
          <t>18.5 X 22</t>
        </is>
      </c>
      <c r="J240" s="166" t="n">
        <v>6</v>
      </c>
      <c r="K240" s="176" t="n"/>
      <c r="L240" s="25" t="n"/>
      <c r="M240" s="26" t="n">
        <v>0.4398148148148148</v>
      </c>
      <c r="N240" s="25" t="n"/>
      <c r="O240" s="27" t="n"/>
    </row>
    <row r="241" ht="15" customHeight="1">
      <c r="A241" s="186" t="n"/>
      <c r="B241" s="198" t="inlineStr">
        <is>
          <t>Chemblue 46</t>
        </is>
      </c>
      <c r="C241" s="184" t="inlineStr">
        <is>
          <t>LVP</t>
        </is>
      </c>
      <c r="D241" s="180" t="inlineStr">
        <is>
          <t>Top</t>
        </is>
      </c>
      <c r="E241" s="180" t="n">
        <v>40</v>
      </c>
      <c r="F241" s="180" t="inlineStr">
        <is>
          <t>Single</t>
        </is>
      </c>
      <c r="G241" s="180" t="inlineStr">
        <is>
          <t>MCX 46 LVP</t>
        </is>
      </c>
      <c r="H241" s="180" t="inlineStr">
        <is>
          <t>128 X 389</t>
        </is>
      </c>
      <c r="I241" s="180" t="inlineStr">
        <is>
          <t>16 X 23</t>
        </is>
      </c>
      <c r="J241" s="180" t="n">
        <v>4</v>
      </c>
      <c r="K241" s="181" t="n"/>
      <c r="L241" s="31" t="n"/>
      <c r="M241" s="32" t="n">
        <v>0.6977821913273751</v>
      </c>
      <c r="N241" s="31" t="n"/>
      <c r="O241" s="33" t="n"/>
    </row>
    <row r="242" ht="15" customHeight="1">
      <c r="A242" s="232" t="n"/>
      <c r="B242" s="232" t="n"/>
      <c r="C242" s="235" t="n"/>
      <c r="D242" s="169" t="inlineStr">
        <is>
          <t>Bottom</t>
        </is>
      </c>
      <c r="E242" s="169" t="n">
        <v>40</v>
      </c>
      <c r="F242" s="169" t="inlineStr">
        <is>
          <t>Single</t>
        </is>
      </c>
      <c r="G242" s="180" t="inlineStr">
        <is>
          <t>MCX 46 LVP</t>
        </is>
      </c>
      <c r="H242" s="180" t="inlineStr">
        <is>
          <t>128 X 389</t>
        </is>
      </c>
      <c r="I242" s="180" t="inlineStr">
        <is>
          <t>16 X 23</t>
        </is>
      </c>
      <c r="J242" s="180" t="n">
        <v>4</v>
      </c>
      <c r="K242" s="171" t="n"/>
      <c r="L242" s="14" t="n"/>
      <c r="M242" s="15" t="n">
        <v>0.6977821913273751</v>
      </c>
      <c r="N242" s="14" t="n"/>
      <c r="O242" s="16" t="n"/>
    </row>
    <row r="243" ht="15.75" customHeight="1">
      <c r="A243" s="234" t="n"/>
      <c r="B243" s="234" t="n"/>
      <c r="C243" s="175" t="inlineStr">
        <is>
          <t>SVG</t>
        </is>
      </c>
      <c r="D243" s="166" t="inlineStr">
        <is>
          <t>-</t>
        </is>
      </c>
      <c r="E243" s="166" t="n">
        <v>22</v>
      </c>
      <c r="F243" s="166" t="inlineStr">
        <is>
          <t>Single</t>
        </is>
      </c>
      <c r="G243" s="166" t="inlineStr">
        <is>
          <t>MCX 46 SVG</t>
        </is>
      </c>
      <c r="H243" s="166" t="inlineStr">
        <is>
          <t>145 X 406</t>
        </is>
      </c>
      <c r="I243" s="166" t="inlineStr">
        <is>
          <t>17 X 25</t>
        </is>
      </c>
      <c r="J243" s="166" t="n">
        <v>4</v>
      </c>
      <c r="K243" s="176" t="n"/>
      <c r="L243" s="25" t="n"/>
      <c r="M243" s="26" t="n">
        <v>0.4398148148148148</v>
      </c>
      <c r="N243" s="25" t="n"/>
      <c r="O243" s="27" t="n"/>
    </row>
    <row r="244" ht="17.25" customHeight="1">
      <c r="A244" s="210" t="inlineStr">
        <is>
          <t>Do Not Used</t>
        </is>
      </c>
      <c r="B244" s="178" t="inlineStr">
        <is>
          <t>MCX 10</t>
        </is>
      </c>
      <c r="C244" s="179" t="inlineStr">
        <is>
          <t>LVP</t>
        </is>
      </c>
      <c r="D244" s="180" t="inlineStr">
        <is>
          <t>Top</t>
        </is>
      </c>
      <c r="E244" s="180" t="n">
        <v>60</v>
      </c>
      <c r="F244" s="180" t="inlineStr">
        <is>
          <t>Passing</t>
        </is>
      </c>
      <c r="G244" s="180" t="inlineStr">
        <is>
          <t>MCX 10 LVP</t>
        </is>
      </c>
      <c r="H244" s="180" t="inlineStr">
        <is>
          <t>40 X 60</t>
        </is>
      </c>
      <c r="I244" s="180" t="inlineStr">
        <is>
          <t>18.5 X 24</t>
        </is>
      </c>
      <c r="J244" s="180" t="n">
        <v>90</v>
      </c>
      <c r="K244" s="181" t="n"/>
      <c r="L244" s="31" t="n"/>
      <c r="M244" s="32" t="n">
        <v>1.103988603988604</v>
      </c>
      <c r="N244" s="31" t="n"/>
      <c r="O244" s="33" t="n"/>
    </row>
    <row r="245" ht="17.25" customHeight="1">
      <c r="A245" s="232" t="n"/>
      <c r="B245" s="232" t="n"/>
      <c r="C245" s="235" t="n"/>
      <c r="D245" s="169" t="inlineStr">
        <is>
          <t>Bottom</t>
        </is>
      </c>
      <c r="E245" s="169" t="n"/>
      <c r="F245" s="169" t="n"/>
      <c r="G245" s="169" t="n"/>
      <c r="H245" s="169" t="n"/>
      <c r="I245" s="169" t="n"/>
      <c r="J245" s="169" t="n"/>
      <c r="K245" s="171" t="n"/>
      <c r="L245" s="14" t="n"/>
      <c r="M245" s="15" t="e">
        <v>#N/A</v>
      </c>
      <c r="N245" s="14" t="n"/>
      <c r="O245" s="16" t="n"/>
    </row>
    <row r="246" ht="17.25" customHeight="1">
      <c r="A246" s="232" t="n"/>
      <c r="B246" s="234" t="n"/>
      <c r="C246" s="175" t="inlineStr">
        <is>
          <t>SVG</t>
        </is>
      </c>
      <c r="D246" s="166" t="inlineStr">
        <is>
          <t>-</t>
        </is>
      </c>
      <c r="E246" s="166" t="n">
        <v>22</v>
      </c>
      <c r="F246" s="166" t="inlineStr">
        <is>
          <t>Passing</t>
        </is>
      </c>
      <c r="G246" s="166" t="inlineStr">
        <is>
          <t>MCX 10 SVG</t>
        </is>
      </c>
      <c r="H246" s="166" t="inlineStr">
        <is>
          <t>50 X 70</t>
        </is>
      </c>
      <c r="I246" s="166" t="inlineStr">
        <is>
          <t>18.5 X 25</t>
        </is>
      </c>
      <c r="J246" s="166" t="n">
        <v>66</v>
      </c>
      <c r="K246" s="176" t="n"/>
      <c r="L246" s="25" t="n"/>
      <c r="M246" s="26" t="n">
        <v>0.4398148148148148</v>
      </c>
      <c r="N246" s="25" t="n"/>
      <c r="O246" s="27" t="n"/>
    </row>
    <row r="247" ht="15" customHeight="1">
      <c r="A247" s="232" t="n"/>
      <c r="B247" s="187" t="inlineStr">
        <is>
          <t>MCX 15</t>
        </is>
      </c>
      <c r="C247" s="184" t="inlineStr">
        <is>
          <t>LVP</t>
        </is>
      </c>
      <c r="D247" s="180" t="inlineStr">
        <is>
          <t>Top</t>
        </is>
      </c>
      <c r="E247" s="180" t="n">
        <v>60</v>
      </c>
      <c r="F247" s="185" t="inlineStr">
        <is>
          <t>Passing</t>
        </is>
      </c>
      <c r="G247" s="180" t="inlineStr">
        <is>
          <t>MCX 15 LVP</t>
        </is>
      </c>
      <c r="H247" s="180" t="inlineStr">
        <is>
          <t>61 X 75</t>
        </is>
      </c>
      <c r="I247" s="180" t="inlineStr">
        <is>
          <t>19 X 23</t>
        </is>
      </c>
      <c r="J247" s="180" t="n">
        <v>49</v>
      </c>
      <c r="K247" s="181" t="n"/>
      <c r="L247" s="31" t="n"/>
      <c r="M247" s="32" t="n">
        <v>1.103988603988604</v>
      </c>
      <c r="N247" s="31" t="n"/>
      <c r="O247" s="33" t="n"/>
    </row>
    <row r="248" ht="15" customHeight="1">
      <c r="A248" s="232" t="n"/>
      <c r="B248" s="232" t="n"/>
      <c r="C248" s="235" t="n"/>
      <c r="D248" s="169" t="inlineStr">
        <is>
          <t>Bottom</t>
        </is>
      </c>
      <c r="E248" s="169" t="n"/>
      <c r="F248" s="180" t="n"/>
      <c r="G248" s="169" t="n"/>
      <c r="H248" s="169" t="n"/>
      <c r="I248" s="169" t="n"/>
      <c r="J248" s="169" t="n"/>
      <c r="K248" s="171" t="n"/>
      <c r="L248" s="14" t="n"/>
      <c r="M248" s="15" t="e">
        <v>#N/A</v>
      </c>
      <c r="N248" s="14" t="n"/>
      <c r="O248" s="16" t="n"/>
    </row>
    <row r="249" ht="15.75" customHeight="1">
      <c r="A249" s="232" t="n"/>
      <c r="B249" s="234" t="n"/>
      <c r="C249" s="175" t="inlineStr">
        <is>
          <t>SVG</t>
        </is>
      </c>
      <c r="D249" s="166" t="inlineStr">
        <is>
          <t>-</t>
        </is>
      </c>
      <c r="E249" s="166" t="n">
        <v>22</v>
      </c>
      <c r="F249" s="166" t="inlineStr">
        <is>
          <t>Passing</t>
        </is>
      </c>
      <c r="G249" s="166" t="inlineStr">
        <is>
          <t>MCX 15 SVG</t>
        </is>
      </c>
      <c r="H249" s="166" t="inlineStr">
        <is>
          <t>71 X 85</t>
        </is>
      </c>
      <c r="I249" s="166" t="inlineStr">
        <is>
          <t>18.5 X 22</t>
        </is>
      </c>
      <c r="J249" s="166" t="n">
        <v>36</v>
      </c>
      <c r="K249" s="176" t="n"/>
      <c r="L249" s="25" t="n"/>
      <c r="M249" s="26" t="n">
        <v>0.4398148148148148</v>
      </c>
      <c r="N249" s="25" t="n"/>
      <c r="O249" s="27" t="n"/>
    </row>
    <row r="250" ht="15" customHeight="1">
      <c r="A250" s="232" t="n"/>
      <c r="B250" s="198" t="inlineStr">
        <is>
          <t>Chemblue 20</t>
        </is>
      </c>
      <c r="C250" s="184" t="inlineStr">
        <is>
          <t>LVP</t>
        </is>
      </c>
      <c r="D250" s="180" t="inlineStr">
        <is>
          <t>Top</t>
        </is>
      </c>
      <c r="E250" s="180" t="n">
        <v>60</v>
      </c>
      <c r="F250" s="180" t="inlineStr">
        <is>
          <t>Passing</t>
        </is>
      </c>
      <c r="G250" s="185" t="inlineStr">
        <is>
          <t>Turkey MCX 20 LVP</t>
        </is>
      </c>
      <c r="H250" s="206" t="inlineStr">
        <is>
          <t>65 X 110</t>
        </is>
      </c>
      <c r="I250" s="185" t="inlineStr">
        <is>
          <t>24.5 X 24</t>
        </is>
      </c>
      <c r="J250" s="185" t="n">
        <v>35</v>
      </c>
      <c r="K250" s="207" t="n"/>
      <c r="L250" s="72" t="n"/>
      <c r="M250" s="73" t="n">
        <v>1.103988603988604</v>
      </c>
      <c r="N250" s="72" t="n"/>
      <c r="O250" s="74" t="n"/>
    </row>
    <row r="251" ht="15" customHeight="1">
      <c r="A251" s="232" t="n"/>
      <c r="B251" s="232" t="n"/>
      <c r="C251" s="235" t="n"/>
      <c r="D251" s="169" t="inlineStr">
        <is>
          <t>Bottom</t>
        </is>
      </c>
      <c r="E251" s="169" t="n"/>
      <c r="F251" s="180" t="n"/>
      <c r="G251" s="169" t="n"/>
      <c r="H251" s="208" t="n"/>
      <c r="I251" s="169" t="n"/>
      <c r="J251" s="169" t="n"/>
      <c r="K251" s="171" t="n"/>
      <c r="L251" s="14" t="n"/>
      <c r="M251" s="15" t="e">
        <v>#N/A</v>
      </c>
      <c r="N251" s="14" t="n"/>
      <c r="O251" s="16" t="n"/>
    </row>
    <row r="252" ht="15.75" customHeight="1">
      <c r="A252" s="232" t="n"/>
      <c r="B252" s="234" t="n"/>
      <c r="C252" s="175" t="inlineStr">
        <is>
          <t>SVG</t>
        </is>
      </c>
      <c r="D252" s="166" t="inlineStr">
        <is>
          <t>-</t>
        </is>
      </c>
      <c r="E252" s="166" t="n">
        <v>22</v>
      </c>
      <c r="F252" s="166" t="inlineStr">
        <is>
          <t>Passing</t>
        </is>
      </c>
      <c r="G252" s="175" t="inlineStr">
        <is>
          <t>Turkey MCX 20 SVG</t>
        </is>
      </c>
      <c r="H252" s="209" t="inlineStr">
        <is>
          <t>75 X 120</t>
        </is>
      </c>
      <c r="I252" s="209" t="inlineStr">
        <is>
          <t>21 X 24</t>
        </is>
      </c>
      <c r="J252" s="205" t="n">
        <v>28</v>
      </c>
      <c r="K252" s="205" t="n"/>
      <c r="L252" s="25" t="n"/>
      <c r="M252" s="26" t="n">
        <v>0.4398148148148148</v>
      </c>
      <c r="N252" s="25" t="n"/>
      <c r="O252" s="27" t="n"/>
    </row>
    <row r="253" ht="15" customHeight="1">
      <c r="A253" s="232" t="n"/>
      <c r="B253" s="187" t="inlineStr">
        <is>
          <t>MCX 25</t>
        </is>
      </c>
      <c r="C253" s="184" t="inlineStr">
        <is>
          <t>LVP</t>
        </is>
      </c>
      <c r="D253" s="180" t="inlineStr">
        <is>
          <t>Top</t>
        </is>
      </c>
      <c r="E253" s="180" t="n">
        <v>40</v>
      </c>
      <c r="F253" s="180" t="inlineStr">
        <is>
          <t>Single</t>
        </is>
      </c>
      <c r="G253" s="180" t="inlineStr">
        <is>
          <t>TOP MCX 25 LVP</t>
        </is>
      </c>
      <c r="H253" s="180" t="inlineStr">
        <is>
          <t>85 X 98</t>
        </is>
      </c>
      <c r="I253" s="180" t="inlineStr">
        <is>
          <t>22 X 23</t>
        </is>
      </c>
      <c r="J253" s="180" t="n">
        <v>30</v>
      </c>
      <c r="K253" s="181" t="n"/>
      <c r="L253" s="31" t="n"/>
      <c r="M253" s="32" t="n">
        <v>0.6977821913273751</v>
      </c>
      <c r="N253" s="31" t="n"/>
      <c r="O253" s="33" t="n"/>
    </row>
    <row r="254" ht="15" customHeight="1">
      <c r="A254" s="232" t="n"/>
      <c r="B254" s="232" t="n"/>
      <c r="C254" s="235" t="n"/>
      <c r="D254" s="169" t="inlineStr">
        <is>
          <t>Bottom</t>
        </is>
      </c>
      <c r="E254" s="169" t="n">
        <v>40</v>
      </c>
      <c r="F254" s="169" t="inlineStr">
        <is>
          <t>Single</t>
        </is>
      </c>
      <c r="G254" s="169" t="inlineStr">
        <is>
          <t>BOT.MCX 25 LVP</t>
        </is>
      </c>
      <c r="H254" s="169" t="inlineStr">
        <is>
          <t>94 X 108</t>
        </is>
      </c>
      <c r="I254" s="169" t="inlineStr">
        <is>
          <t>21 X 24</t>
        </is>
      </c>
      <c r="J254" s="169" t="n">
        <v>25</v>
      </c>
      <c r="K254" s="171" t="n"/>
      <c r="L254" s="14" t="n"/>
      <c r="M254" s="15" t="n">
        <v>0.6977821913273751</v>
      </c>
      <c r="N254" s="14" t="n"/>
      <c r="O254" s="16" t="n"/>
    </row>
    <row r="255" ht="15.75" customHeight="1">
      <c r="A255" s="232" t="n"/>
      <c r="B255" s="234" t="n"/>
      <c r="C255" s="175" t="inlineStr">
        <is>
          <t>SVG</t>
        </is>
      </c>
      <c r="D255" s="166" t="inlineStr">
        <is>
          <t>-</t>
        </is>
      </c>
      <c r="E255" s="166" t="n">
        <v>22</v>
      </c>
      <c r="F255" s="166" t="inlineStr">
        <is>
          <t>Single</t>
        </is>
      </c>
      <c r="G255" s="166" t="inlineStr">
        <is>
          <t>MCX 25 SVG</t>
        </is>
      </c>
      <c r="H255" s="166" t="inlineStr">
        <is>
          <t>108 X 120</t>
        </is>
      </c>
      <c r="I255" s="166" t="inlineStr">
        <is>
          <t>21 X 24</t>
        </is>
      </c>
      <c r="J255" s="166" t="n">
        <v>20</v>
      </c>
      <c r="K255" s="176" t="n"/>
      <c r="L255" s="25" t="n"/>
      <c r="M255" s="26" t="n">
        <v>0.4398148148148148</v>
      </c>
      <c r="N255" s="25" t="n"/>
      <c r="O255" s="27" t="n"/>
    </row>
    <row r="256" ht="15" customHeight="1">
      <c r="A256" s="232" t="n"/>
      <c r="B256" s="187" t="inlineStr">
        <is>
          <t>MCX 35</t>
        </is>
      </c>
      <c r="C256" s="184" t="inlineStr">
        <is>
          <t>LVP</t>
        </is>
      </c>
      <c r="D256" s="180" t="inlineStr">
        <is>
          <t>Top</t>
        </is>
      </c>
      <c r="E256" s="180" t="n">
        <v>40</v>
      </c>
      <c r="F256" s="180" t="inlineStr">
        <is>
          <t>Single</t>
        </is>
      </c>
      <c r="G256" s="180" t="inlineStr">
        <is>
          <t>MCX 35 TOP LVP</t>
        </is>
      </c>
      <c r="H256" s="180" t="inlineStr">
        <is>
          <t>94 X 145</t>
        </is>
      </c>
      <c r="I256" s="180" t="inlineStr">
        <is>
          <t>21 X 25</t>
        </is>
      </c>
      <c r="J256" s="180" t="n">
        <v>20</v>
      </c>
      <c r="K256" s="181" t="n"/>
      <c r="L256" s="31" t="n"/>
      <c r="M256" s="32" t="n">
        <v>0.6977821913273751</v>
      </c>
      <c r="N256" s="31" t="n"/>
      <c r="O256" s="33" t="n"/>
    </row>
    <row r="257" ht="15" customHeight="1">
      <c r="A257" s="232" t="n"/>
      <c r="B257" s="232" t="n"/>
      <c r="C257" s="235" t="n"/>
      <c r="D257" s="169" t="inlineStr">
        <is>
          <t>Bottom</t>
        </is>
      </c>
      <c r="E257" s="169" t="n">
        <v>40</v>
      </c>
      <c r="F257" s="169" t="inlineStr">
        <is>
          <t>Single</t>
        </is>
      </c>
      <c r="G257" s="169" t="inlineStr">
        <is>
          <t>MCX 35 BOT. LVP</t>
        </is>
      </c>
      <c r="H257" s="169" t="inlineStr">
        <is>
          <t>104 X 154</t>
        </is>
      </c>
      <c r="I257" s="169" t="inlineStr">
        <is>
          <t>20 X 23</t>
        </is>
      </c>
      <c r="J257" s="169" t="n">
        <v>15</v>
      </c>
      <c r="K257" s="171" t="n"/>
      <c r="L257" s="14" t="n"/>
      <c r="M257" s="15" t="n">
        <v>0.6977821913273751</v>
      </c>
      <c r="N257" s="14" t="n"/>
      <c r="O257" s="16" t="n"/>
    </row>
    <row r="258" ht="15.75" customHeight="1">
      <c r="A258" s="232" t="n"/>
      <c r="B258" s="234" t="n"/>
      <c r="C258" s="175" t="inlineStr">
        <is>
          <t>SVG</t>
        </is>
      </c>
      <c r="D258" s="166" t="inlineStr">
        <is>
          <t>-</t>
        </is>
      </c>
      <c r="E258" s="166" t="n">
        <v>22</v>
      </c>
      <c r="F258" s="166" t="inlineStr">
        <is>
          <t>Single</t>
        </is>
      </c>
      <c r="G258" s="166" t="inlineStr">
        <is>
          <t>MCX 35 SVG</t>
        </is>
      </c>
      <c r="H258" s="166" t="inlineStr">
        <is>
          <t>121 X 172</t>
        </is>
      </c>
      <c r="I258" s="166" t="inlineStr">
        <is>
          <t>21 X 22</t>
        </is>
      </c>
      <c r="J258" s="166" t="n">
        <v>12</v>
      </c>
      <c r="K258" s="176" t="n"/>
      <c r="L258" s="25" t="n"/>
      <c r="M258" s="26" t="n">
        <v>0.4398148148148148</v>
      </c>
      <c r="N258" s="25" t="n"/>
      <c r="O258" s="27" t="n"/>
    </row>
    <row r="259" ht="15" customHeight="1">
      <c r="A259" s="232" t="n"/>
      <c r="B259" s="198" t="inlineStr">
        <is>
          <t>Chemblue 40</t>
        </is>
      </c>
      <c r="C259" s="184" t="inlineStr">
        <is>
          <t>LVP</t>
        </is>
      </c>
      <c r="D259" s="180" t="inlineStr">
        <is>
          <t>Top</t>
        </is>
      </c>
      <c r="E259" s="180" t="n">
        <v>60</v>
      </c>
      <c r="F259" s="180" t="inlineStr">
        <is>
          <t>Single</t>
        </is>
      </c>
      <c r="G259" s="180" t="inlineStr">
        <is>
          <t>MCX 40 TOP LVP</t>
        </is>
      </c>
      <c r="H259" s="180" t="inlineStr">
        <is>
          <t>76 X 168</t>
        </is>
      </c>
      <c r="I259" s="180" t="inlineStr">
        <is>
          <t>21 X 24</t>
        </is>
      </c>
      <c r="J259" s="180" t="n">
        <v>21</v>
      </c>
      <c r="K259" s="181" t="n"/>
      <c r="L259" s="31" t="n"/>
      <c r="M259" s="32" t="n">
        <v>1.103988603988604</v>
      </c>
      <c r="N259" s="31" t="n"/>
      <c r="O259" s="33" t="n"/>
    </row>
    <row r="260" ht="15" customHeight="1">
      <c r="A260" s="232" t="n"/>
      <c r="B260" s="232" t="n"/>
      <c r="C260" s="235" t="n"/>
      <c r="D260" s="169" t="inlineStr">
        <is>
          <t>Bottom</t>
        </is>
      </c>
      <c r="E260" s="169" t="n">
        <v>40</v>
      </c>
      <c r="F260" s="169" t="inlineStr">
        <is>
          <t>Single</t>
        </is>
      </c>
      <c r="G260" s="169" t="inlineStr">
        <is>
          <t>MCX 40 BOT LVP</t>
        </is>
      </c>
      <c r="H260" s="169" t="inlineStr">
        <is>
          <t>88 X 178</t>
        </is>
      </c>
      <c r="I260" s="169" t="inlineStr">
        <is>
          <t>20 X 23</t>
        </is>
      </c>
      <c r="J260" s="169" t="n">
        <v>15</v>
      </c>
      <c r="K260" s="171" t="n"/>
      <c r="L260" s="14" t="n"/>
      <c r="M260" s="15" t="n">
        <v>0.6977821913273751</v>
      </c>
      <c r="N260" s="14" t="n"/>
      <c r="O260" s="16" t="n"/>
    </row>
    <row r="261" ht="15.75" customHeight="1">
      <c r="A261" s="232" t="n"/>
      <c r="B261" s="234" t="n"/>
      <c r="C261" s="175" t="inlineStr">
        <is>
          <t>SVG</t>
        </is>
      </c>
      <c r="D261" s="166" t="inlineStr">
        <is>
          <t>-</t>
        </is>
      </c>
      <c r="E261" s="166" t="n">
        <v>22</v>
      </c>
      <c r="F261" s="166" t="inlineStr">
        <is>
          <t>Single</t>
        </is>
      </c>
      <c r="G261" s="166" t="inlineStr">
        <is>
          <t>MCX 40 SVG</t>
        </is>
      </c>
      <c r="H261" s="166" t="inlineStr">
        <is>
          <t>103 X 193</t>
        </is>
      </c>
      <c r="I261" s="166" t="inlineStr">
        <is>
          <t>18 X 24</t>
        </is>
      </c>
      <c r="J261" s="166" t="n">
        <v>12</v>
      </c>
      <c r="K261" s="176" t="n"/>
      <c r="L261" s="25" t="n"/>
      <c r="M261" s="26" t="n">
        <v>0.4398148148148148</v>
      </c>
      <c r="N261" s="25" t="n"/>
      <c r="O261" s="27" t="n"/>
    </row>
    <row r="262" ht="15" customHeight="1">
      <c r="A262" s="232" t="n"/>
      <c r="B262" s="198" t="inlineStr">
        <is>
          <t>Chemblue 12</t>
        </is>
      </c>
      <c r="C262" s="179" t="inlineStr">
        <is>
          <t>LVP</t>
        </is>
      </c>
      <c r="D262" s="180" t="inlineStr">
        <is>
          <t>Top</t>
        </is>
      </c>
      <c r="E262" s="180" t="n">
        <v>60</v>
      </c>
      <c r="F262" s="180" t="inlineStr">
        <is>
          <t>Passing</t>
        </is>
      </c>
      <c r="G262" s="180" t="inlineStr">
        <is>
          <t>GNR 12 LVP</t>
        </is>
      </c>
      <c r="H262" s="180" t="inlineStr">
        <is>
          <t>54 X 107</t>
        </is>
      </c>
      <c r="I262" s="180" t="inlineStr">
        <is>
          <t>22 X 23</t>
        </is>
      </c>
      <c r="J262" s="180" t="n">
        <v>45</v>
      </c>
      <c r="K262" s="181" t="n"/>
      <c r="L262" s="31" t="n"/>
      <c r="M262" s="32" t="n">
        <v>1.103988603988604</v>
      </c>
      <c r="N262" s="31" t="n"/>
      <c r="O262" s="33" t="n"/>
    </row>
    <row r="263" ht="15" customHeight="1">
      <c r="A263" s="232" t="n"/>
      <c r="B263" s="232" t="n"/>
      <c r="C263" s="168" t="n"/>
      <c r="D263" s="169" t="inlineStr">
        <is>
          <t>Bottom</t>
        </is>
      </c>
      <c r="E263" s="169" t="n"/>
      <c r="F263" s="180" t="n"/>
      <c r="G263" s="180" t="n"/>
      <c r="H263" s="180" t="n"/>
      <c r="I263" s="180" t="n"/>
      <c r="J263" s="180" t="n"/>
      <c r="K263" s="181" t="n"/>
      <c r="L263" s="14" t="n"/>
      <c r="M263" s="15" t="e">
        <v>#N/A</v>
      </c>
      <c r="N263" s="14" t="n"/>
      <c r="O263" s="16" t="n"/>
    </row>
    <row r="264" ht="15.75" customHeight="1">
      <c r="A264" s="232" t="n"/>
      <c r="B264" s="234" t="n"/>
      <c r="C264" s="175" t="inlineStr">
        <is>
          <t>SVG</t>
        </is>
      </c>
      <c r="D264" s="166" t="inlineStr">
        <is>
          <t>-</t>
        </is>
      </c>
      <c r="E264" s="166" t="n">
        <v>22</v>
      </c>
      <c r="F264" s="166" t="inlineStr">
        <is>
          <t>Passing</t>
        </is>
      </c>
      <c r="G264" s="166" t="inlineStr">
        <is>
          <t>GNR 12 SVG</t>
        </is>
      </c>
      <c r="H264" s="166" t="inlineStr">
        <is>
          <t>65 X 118</t>
        </is>
      </c>
      <c r="I264" s="166" t="inlineStr">
        <is>
          <t>20.5 X 23</t>
        </is>
      </c>
      <c r="J264" s="166" t="n">
        <v>32</v>
      </c>
      <c r="K264" s="176" t="n"/>
      <c r="L264" s="25" t="n"/>
      <c r="M264" s="26" t="n">
        <v>0.4398148148148148</v>
      </c>
      <c r="N264" s="25" t="n"/>
      <c r="O264" s="27" t="n"/>
    </row>
    <row r="265" ht="15" customHeight="1">
      <c r="A265" s="232" t="n"/>
      <c r="B265" s="198" t="inlineStr">
        <is>
          <t>Chemblue 12</t>
        </is>
      </c>
      <c r="C265" s="179" t="inlineStr">
        <is>
          <t>LVP</t>
        </is>
      </c>
      <c r="D265" s="180" t="inlineStr">
        <is>
          <t>Top</t>
        </is>
      </c>
      <c r="E265" s="180" t="n">
        <v>60</v>
      </c>
      <c r="F265" s="180" t="inlineStr">
        <is>
          <t>Passing</t>
        </is>
      </c>
      <c r="G265" s="180" t="n"/>
      <c r="H265" s="180" t="inlineStr">
        <is>
          <t>54 X 107</t>
        </is>
      </c>
      <c r="I265" s="180" t="inlineStr">
        <is>
          <t>22 X 23</t>
        </is>
      </c>
      <c r="J265" s="180" t="n">
        <v>45</v>
      </c>
      <c r="K265" s="181" t="n"/>
      <c r="L265" s="31" t="n"/>
      <c r="M265" s="32" t="n">
        <v>1.103988603988604</v>
      </c>
      <c r="N265" s="31" t="n"/>
      <c r="O265" s="33" t="n"/>
    </row>
    <row r="266" ht="15" customHeight="1">
      <c r="A266" s="232" t="n"/>
      <c r="B266" s="232" t="n"/>
      <c r="C266" s="168" t="n"/>
      <c r="D266" s="169" t="inlineStr">
        <is>
          <t>Bottom</t>
        </is>
      </c>
      <c r="E266" s="169" t="n"/>
      <c r="F266" s="180" t="n"/>
      <c r="G266" s="180" t="n"/>
      <c r="H266" s="180" t="n"/>
      <c r="I266" s="180" t="n"/>
      <c r="J266" s="180" t="n"/>
      <c r="K266" s="181" t="n"/>
      <c r="L266" s="14" t="n"/>
      <c r="M266" s="15" t="e">
        <v>#N/A</v>
      </c>
      <c r="N266" s="14" t="n"/>
      <c r="O266" s="16" t="n"/>
    </row>
    <row r="267" ht="15.75" customHeight="1">
      <c r="A267" s="234" t="n"/>
      <c r="B267" s="234" t="n"/>
      <c r="C267" s="175" t="inlineStr">
        <is>
          <t>SVG</t>
        </is>
      </c>
      <c r="D267" s="166" t="inlineStr">
        <is>
          <t>-</t>
        </is>
      </c>
      <c r="E267" s="166" t="n">
        <v>22</v>
      </c>
      <c r="F267" s="166" t="inlineStr">
        <is>
          <t>Passing</t>
        </is>
      </c>
      <c r="G267" s="166" t="n"/>
      <c r="H267" s="166" t="inlineStr">
        <is>
          <t>90 X 135</t>
        </is>
      </c>
      <c r="I267" s="166" t="inlineStr">
        <is>
          <t>23 X 24</t>
        </is>
      </c>
      <c r="J267" s="166" t="n">
        <v>24</v>
      </c>
      <c r="K267" s="176" t="n"/>
      <c r="L267" s="25" t="n"/>
      <c r="M267" s="26" t="n">
        <v>0.4398148148148148</v>
      </c>
      <c r="N267" s="25" t="n"/>
      <c r="O267" s="27" t="n"/>
    </row>
    <row r="268" ht="15" customHeight="1">
      <c r="A268" s="211" t="n"/>
      <c r="B268" s="212" t="inlineStr">
        <is>
          <t>Gav 40</t>
        </is>
      </c>
      <c r="C268" s="179" t="inlineStr">
        <is>
          <t>LVP</t>
        </is>
      </c>
      <c r="D268" s="180" t="inlineStr">
        <is>
          <t>Top</t>
        </is>
      </c>
      <c r="E268" s="180" t="n">
        <v>60</v>
      </c>
      <c r="F268" s="180" t="inlineStr">
        <is>
          <t>Single</t>
        </is>
      </c>
      <c r="G268" s="180" t="inlineStr">
        <is>
          <t>GNR 40 TOP LVP</t>
        </is>
      </c>
      <c r="H268" s="180" t="inlineStr">
        <is>
          <t>86 X 169</t>
        </is>
      </c>
      <c r="I268" s="180" t="inlineStr">
        <is>
          <t>21.5 X 23</t>
        </is>
      </c>
      <c r="J268" s="180" t="n">
        <v>18</v>
      </c>
      <c r="K268" s="181" t="n"/>
      <c r="L268" s="31" t="n"/>
      <c r="M268" s="32" t="n">
        <v>1.103988603988604</v>
      </c>
      <c r="N268" s="31" t="n"/>
      <c r="O268" s="33" t="n"/>
    </row>
    <row r="269" ht="15" customHeight="1">
      <c r="A269" s="232" t="n"/>
      <c r="B269" s="232" t="n"/>
      <c r="C269" s="168" t="n"/>
      <c r="D269" s="169" t="inlineStr">
        <is>
          <t>Bottom</t>
        </is>
      </c>
      <c r="E269" s="169" t="n">
        <v>40</v>
      </c>
      <c r="F269" s="180" t="inlineStr">
        <is>
          <t>Single</t>
        </is>
      </c>
      <c r="G269" s="180" t="inlineStr">
        <is>
          <t>GNR 40 BOT LVP</t>
        </is>
      </c>
      <c r="H269" s="180" t="inlineStr">
        <is>
          <t>98 X 179</t>
        </is>
      </c>
      <c r="I269" s="180" t="inlineStr">
        <is>
          <t>22 X 23</t>
        </is>
      </c>
      <c r="J269" s="180" t="n">
        <v>15</v>
      </c>
      <c r="K269" s="181" t="n"/>
      <c r="L269" s="14" t="n"/>
      <c r="M269" s="15" t="n">
        <v>0.6977821913273751</v>
      </c>
      <c r="N269" s="14" t="n"/>
      <c r="O269" s="16" t="n"/>
    </row>
    <row r="270" ht="15.75" customHeight="1">
      <c r="A270" s="234" t="n"/>
      <c r="B270" s="234" t="n"/>
      <c r="C270" s="175" t="inlineStr">
        <is>
          <t>SVG</t>
        </is>
      </c>
      <c r="D270" s="166" t="inlineStr">
        <is>
          <t>-</t>
        </is>
      </c>
      <c r="E270" s="166" t="n">
        <v>22</v>
      </c>
      <c r="F270" s="166" t="inlineStr">
        <is>
          <t>Single</t>
        </is>
      </c>
      <c r="G270" s="166" t="inlineStr">
        <is>
          <t xml:space="preserve">GNR 40 SVG </t>
        </is>
      </c>
      <c r="H270" s="166" t="inlineStr">
        <is>
          <t>114 X 194</t>
        </is>
      </c>
      <c r="I270" s="166" t="inlineStr">
        <is>
          <t>20 X 24.5</t>
        </is>
      </c>
      <c r="J270" s="166" t="n">
        <v>12</v>
      </c>
      <c r="K270" s="176" t="n"/>
      <c r="L270" s="25" t="n"/>
      <c r="M270" s="26" t="n">
        <v>0.4398148148148148</v>
      </c>
      <c r="N270" s="25" t="n"/>
      <c r="O270" s="27" t="n"/>
    </row>
    <row r="271" ht="15" customHeight="1">
      <c r="A271" s="211" t="n"/>
      <c r="B271" s="212" t="inlineStr">
        <is>
          <t>Gav 20</t>
        </is>
      </c>
      <c r="C271" s="179" t="inlineStr">
        <is>
          <t>LVP</t>
        </is>
      </c>
      <c r="D271" s="180" t="inlineStr">
        <is>
          <t>Top</t>
        </is>
      </c>
      <c r="E271" s="180" t="n">
        <v>40</v>
      </c>
      <c r="F271" s="180" t="inlineStr">
        <is>
          <t>Single</t>
        </is>
      </c>
      <c r="G271" s="180" t="inlineStr">
        <is>
          <t>GNR 20 LVP</t>
        </is>
      </c>
      <c r="H271" s="180" t="inlineStr">
        <is>
          <t>69 X 120</t>
        </is>
      </c>
      <c r="I271" s="180" t="inlineStr">
        <is>
          <t>21 X 24</t>
        </is>
      </c>
      <c r="J271" s="180" t="n">
        <v>32</v>
      </c>
      <c r="K271" s="181" t="n"/>
      <c r="L271" s="31" t="n"/>
      <c r="M271" s="32" t="n">
        <v>0.6977821913273751</v>
      </c>
      <c r="N271" s="31" t="n"/>
      <c r="O271" s="33" t="n"/>
    </row>
    <row r="272" ht="15" customHeight="1">
      <c r="A272" s="232" t="n"/>
      <c r="B272" s="232" t="n"/>
      <c r="C272" s="168" t="n"/>
      <c r="D272" s="169" t="inlineStr">
        <is>
          <t>Bottom</t>
        </is>
      </c>
      <c r="E272" s="169" t="n">
        <v>40</v>
      </c>
      <c r="F272" s="169" t="inlineStr">
        <is>
          <t>Single</t>
        </is>
      </c>
      <c r="G272" s="180" t="inlineStr">
        <is>
          <t>GNR 20 LVP</t>
        </is>
      </c>
      <c r="H272" s="180" t="inlineStr">
        <is>
          <t>69 X 120</t>
        </is>
      </c>
      <c r="I272" s="180" t="inlineStr">
        <is>
          <t>21 X 24</t>
        </is>
      </c>
      <c r="J272" s="180" t="n">
        <v>32</v>
      </c>
      <c r="K272" s="181" t="n"/>
      <c r="L272" s="14" t="n"/>
      <c r="M272" s="15" t="n">
        <v>0.6977821913273751</v>
      </c>
      <c r="N272" s="14" t="n"/>
      <c r="O272" s="16" t="n"/>
    </row>
    <row r="273" ht="15.75" customHeight="1">
      <c r="A273" s="234" t="n"/>
      <c r="B273" s="234" t="n"/>
      <c r="C273" s="175" t="inlineStr">
        <is>
          <t>SVG</t>
        </is>
      </c>
      <c r="D273" s="166" t="inlineStr">
        <is>
          <t>-</t>
        </is>
      </c>
      <c r="E273" s="166" t="n">
        <v>22</v>
      </c>
      <c r="F273" s="166" t="inlineStr">
        <is>
          <t>Single</t>
        </is>
      </c>
      <c r="G273" s="180" t="inlineStr">
        <is>
          <t>GNR 20 SVG</t>
        </is>
      </c>
      <c r="H273" s="180" t="inlineStr">
        <is>
          <t>81 X 133</t>
        </is>
      </c>
      <c r="I273" s="180" t="inlineStr">
        <is>
          <t>21 X 22.5</t>
        </is>
      </c>
      <c r="J273" s="166" t="n">
        <v>24</v>
      </c>
      <c r="K273" s="181" t="n"/>
      <c r="L273" s="25" t="n"/>
      <c r="M273" s="26" t="n">
        <v>0.4398148148148148</v>
      </c>
      <c r="N273" s="25" t="n"/>
      <c r="O273" s="27" t="n"/>
    </row>
    <row r="274" ht="15" customHeight="1">
      <c r="A274" s="197" t="n"/>
      <c r="B274" s="212" t="inlineStr">
        <is>
          <t>Gav 25</t>
        </is>
      </c>
      <c r="C274" s="179" t="inlineStr">
        <is>
          <t>LVP</t>
        </is>
      </c>
      <c r="D274" s="180" t="inlineStr">
        <is>
          <t>Top</t>
        </is>
      </c>
      <c r="E274" s="180" t="n">
        <v>40</v>
      </c>
      <c r="F274" s="180" t="inlineStr">
        <is>
          <t>Single</t>
        </is>
      </c>
      <c r="G274" s="180" t="inlineStr">
        <is>
          <t>GNR 25 TOP LVP</t>
        </is>
      </c>
      <c r="H274" s="180" t="inlineStr">
        <is>
          <t>92 X 103</t>
        </is>
      </c>
      <c r="I274" s="180" t="inlineStr">
        <is>
          <t>23 X 25</t>
        </is>
      </c>
      <c r="J274" s="180" t="n">
        <v>30</v>
      </c>
      <c r="K274" s="181" t="n"/>
      <c r="L274" s="31" t="n"/>
      <c r="M274" s="32" t="n">
        <v>0.6977821913273751</v>
      </c>
      <c r="N274" s="31" t="n"/>
      <c r="O274" s="33" t="n"/>
    </row>
    <row r="275" ht="15" customHeight="1">
      <c r="A275" s="232" t="n"/>
      <c r="B275" s="232" t="n"/>
      <c r="C275" s="168" t="n"/>
      <c r="D275" s="169" t="inlineStr">
        <is>
          <t>Bottom</t>
        </is>
      </c>
      <c r="E275" s="169" t="n">
        <v>40</v>
      </c>
      <c r="F275" s="169" t="inlineStr">
        <is>
          <t>Single</t>
        </is>
      </c>
      <c r="G275" s="180" t="inlineStr">
        <is>
          <t>GNR 25 TOP BOT</t>
        </is>
      </c>
      <c r="H275" s="180" t="inlineStr">
        <is>
          <t>103 X 113</t>
        </is>
      </c>
      <c r="I275" s="180" t="inlineStr">
        <is>
          <t>23 X 25</t>
        </is>
      </c>
      <c r="J275" s="180" t="n">
        <v>25</v>
      </c>
      <c r="K275" s="181" t="n"/>
      <c r="L275" s="14" t="n"/>
      <c r="M275" s="15" t="n">
        <v>0.6977821913273751</v>
      </c>
      <c r="N275" s="14" t="n"/>
      <c r="O275" s="16" t="n"/>
    </row>
    <row r="276" ht="15.75" customHeight="1">
      <c r="A276" s="234" t="n"/>
      <c r="B276" s="234" t="n"/>
      <c r="C276" s="175" t="inlineStr">
        <is>
          <t>SVG</t>
        </is>
      </c>
      <c r="D276" s="166" t="inlineStr">
        <is>
          <t>-</t>
        </is>
      </c>
      <c r="E276" s="166" t="n">
        <v>22</v>
      </c>
      <c r="F276" s="166" t="inlineStr">
        <is>
          <t>Single</t>
        </is>
      </c>
      <c r="G276" s="166" t="inlineStr">
        <is>
          <t>GNR 25 SVG</t>
        </is>
      </c>
      <c r="H276" s="166" t="inlineStr">
        <is>
          <t>117 X 126</t>
        </is>
      </c>
      <c r="I276" s="166" t="inlineStr">
        <is>
          <t>20 X 22</t>
        </is>
      </c>
      <c r="J276" s="166" t="n">
        <v>16</v>
      </c>
      <c r="K276" s="181" t="n"/>
      <c r="L276" s="25" t="n"/>
      <c r="M276" s="26" t="n">
        <v>0.4398148148148148</v>
      </c>
      <c r="N276" s="25" t="n"/>
      <c r="O276" s="27" t="n"/>
    </row>
    <row r="277" ht="15" customHeight="1">
      <c r="A277" s="197" t="n"/>
      <c r="B277" s="198" t="inlineStr">
        <is>
          <t>TCX 35</t>
        </is>
      </c>
      <c r="C277" s="179" t="inlineStr">
        <is>
          <t>LVP</t>
        </is>
      </c>
      <c r="D277" s="180" t="inlineStr">
        <is>
          <t>Top</t>
        </is>
      </c>
      <c r="E277" s="180" t="n">
        <v>40</v>
      </c>
      <c r="F277" s="180" t="inlineStr">
        <is>
          <t>Single</t>
        </is>
      </c>
      <c r="G277" s="180" t="inlineStr">
        <is>
          <t>Tuto Auto MCX 35 LVP</t>
        </is>
      </c>
      <c r="H277" s="180" t="inlineStr">
        <is>
          <t>135 X 190</t>
        </is>
      </c>
      <c r="I277" s="180" t="inlineStr">
        <is>
          <t>23 X 24</t>
        </is>
      </c>
      <c r="J277" s="180" t="n">
        <v>12</v>
      </c>
      <c r="K277" s="181" t="n"/>
      <c r="L277" s="31" t="n"/>
      <c r="M277" s="32" t="n">
        <v>0.6977821913273751</v>
      </c>
      <c r="N277" s="31" t="n"/>
      <c r="O277" s="33" t="n"/>
    </row>
    <row r="278" ht="15" customHeight="1">
      <c r="A278" s="232" t="n"/>
      <c r="B278" s="232" t="n"/>
      <c r="C278" s="168" t="n"/>
      <c r="D278" s="169" t="inlineStr">
        <is>
          <t>Bottom</t>
        </is>
      </c>
      <c r="E278" s="169" t="n">
        <v>40</v>
      </c>
      <c r="F278" s="169" t="inlineStr">
        <is>
          <t>Single</t>
        </is>
      </c>
      <c r="G278" s="180" t="inlineStr">
        <is>
          <t>Tuto Auto MCX 35 LVP</t>
        </is>
      </c>
      <c r="H278" s="180" t="inlineStr">
        <is>
          <t>135 X 190</t>
        </is>
      </c>
      <c r="I278" s="180" t="inlineStr">
        <is>
          <t>23 X 24</t>
        </is>
      </c>
      <c r="J278" s="180" t="n">
        <v>12</v>
      </c>
      <c r="K278" s="181" t="n"/>
      <c r="L278" s="14" t="n"/>
      <c r="M278" s="15" t="n">
        <v>0.6977821913273751</v>
      </c>
      <c r="N278" s="14" t="n"/>
      <c r="O278" s="16" t="n"/>
    </row>
    <row r="279" ht="15.75" customHeight="1">
      <c r="A279" s="234" t="n"/>
      <c r="B279" s="234" t="n"/>
      <c r="C279" s="175" t="inlineStr">
        <is>
          <t>SVG</t>
        </is>
      </c>
      <c r="D279" s="166" t="inlineStr">
        <is>
          <t>-</t>
        </is>
      </c>
      <c r="E279" s="166" t="n">
        <v>22</v>
      </c>
      <c r="F279" s="166" t="inlineStr">
        <is>
          <t>Single</t>
        </is>
      </c>
      <c r="G279" s="180" t="inlineStr">
        <is>
          <t>Tuto Auto MCX 35 SVG</t>
        </is>
      </c>
      <c r="H279" s="180" t="inlineStr">
        <is>
          <t>148 X 203</t>
        </is>
      </c>
      <c r="I279" s="166" t="inlineStr">
        <is>
          <t>26 X 26</t>
        </is>
      </c>
      <c r="J279" s="166" t="n">
        <v>12</v>
      </c>
      <c r="K279" s="181" t="n"/>
      <c r="L279" s="25" t="n"/>
      <c r="M279" s="26" t="n">
        <v>0.4398148148148148</v>
      </c>
      <c r="N279" s="25" t="n"/>
      <c r="O279" s="27" t="n"/>
    </row>
    <row r="280" ht="15" customHeight="1">
      <c r="A280" s="197" t="n"/>
      <c r="B280" s="198" t="inlineStr">
        <is>
          <t>TCX 40</t>
        </is>
      </c>
      <c r="C280" s="184" t="inlineStr">
        <is>
          <t>LVP</t>
        </is>
      </c>
      <c r="D280" s="180" t="inlineStr">
        <is>
          <t>Top</t>
        </is>
      </c>
      <c r="E280" s="180" t="n">
        <v>60</v>
      </c>
      <c r="F280" s="180" t="inlineStr">
        <is>
          <t>Single</t>
        </is>
      </c>
      <c r="G280" s="180" t="inlineStr">
        <is>
          <t>MCX 40 TOP LVP</t>
        </is>
      </c>
      <c r="H280" s="180" t="inlineStr">
        <is>
          <t>76 X 168</t>
        </is>
      </c>
      <c r="I280" s="180" t="inlineStr">
        <is>
          <t>21 X 24</t>
        </is>
      </c>
      <c r="J280" s="180" t="n">
        <v>21</v>
      </c>
      <c r="K280" s="181" t="n"/>
      <c r="L280" s="31" t="n"/>
      <c r="M280" s="32" t="n">
        <v>1.103988603988604</v>
      </c>
      <c r="N280" s="31" t="n"/>
      <c r="O280" s="33" t="n"/>
    </row>
    <row r="281" ht="15" customHeight="1">
      <c r="A281" s="232" t="n"/>
      <c r="B281" s="232" t="n"/>
      <c r="C281" s="235" t="n"/>
      <c r="D281" s="169" t="inlineStr">
        <is>
          <t>Bottom</t>
        </is>
      </c>
      <c r="E281" s="169" t="n">
        <v>40</v>
      </c>
      <c r="F281" s="169" t="inlineStr">
        <is>
          <t>Single</t>
        </is>
      </c>
      <c r="G281" s="169" t="inlineStr">
        <is>
          <t>MCX 40 BOT LVP</t>
        </is>
      </c>
      <c r="H281" s="169" t="inlineStr">
        <is>
          <t>88 X 178</t>
        </is>
      </c>
      <c r="I281" s="169" t="inlineStr">
        <is>
          <t>20 X 23</t>
        </is>
      </c>
      <c r="J281" s="169" t="n">
        <v>15</v>
      </c>
      <c r="K281" s="181" t="n"/>
      <c r="L281" s="14" t="n"/>
      <c r="M281" s="15" t="n">
        <v>0.6977821913273751</v>
      </c>
      <c r="N281" s="14" t="n"/>
      <c r="O281" s="16" t="n"/>
    </row>
    <row r="282" ht="15.75" customHeight="1">
      <c r="A282" s="234" t="n"/>
      <c r="B282" s="234" t="n"/>
      <c r="C282" s="175" t="inlineStr">
        <is>
          <t>SVG</t>
        </is>
      </c>
      <c r="D282" s="166" t="inlineStr">
        <is>
          <t>-</t>
        </is>
      </c>
      <c r="E282" s="166" t="n">
        <v>22</v>
      </c>
      <c r="F282" s="166" t="inlineStr">
        <is>
          <t>Single</t>
        </is>
      </c>
      <c r="G282" s="166" t="inlineStr">
        <is>
          <t>MCX 40 SVG</t>
        </is>
      </c>
      <c r="H282" s="166" t="inlineStr">
        <is>
          <t>103 X 193</t>
        </is>
      </c>
      <c r="I282" s="166" t="inlineStr">
        <is>
          <t>18 X 24</t>
        </is>
      </c>
      <c r="J282" s="166" t="n">
        <v>12</v>
      </c>
      <c r="K282" s="181" t="n"/>
      <c r="L282" s="25" t="n"/>
      <c r="M282" s="26" t="n">
        <v>0.4398148148148148</v>
      </c>
      <c r="N282" s="25" t="n"/>
      <c r="O282" s="27" t="n"/>
    </row>
    <row r="283" ht="15" customHeight="1">
      <c r="A283" s="197" t="n"/>
      <c r="B283" s="198" t="inlineStr">
        <is>
          <t>CKHD 4</t>
        </is>
      </c>
      <c r="C283" s="179" t="inlineStr">
        <is>
          <t>LVP</t>
        </is>
      </c>
      <c r="D283" s="180" t="inlineStr">
        <is>
          <t>Top</t>
        </is>
      </c>
      <c r="E283" s="180" t="n">
        <v>40</v>
      </c>
      <c r="F283" s="180" t="inlineStr">
        <is>
          <t>Single</t>
        </is>
      </c>
      <c r="G283" s="180" t="inlineStr">
        <is>
          <t>CKHD 4 LVP</t>
        </is>
      </c>
      <c r="H283" s="180" t="inlineStr">
        <is>
          <t>115 X 115</t>
        </is>
      </c>
      <c r="I283" s="180" t="inlineStr">
        <is>
          <t>25 X 25</t>
        </is>
      </c>
      <c r="J283" s="180" t="n">
        <v>25</v>
      </c>
      <c r="K283" s="181" t="n"/>
      <c r="L283" s="31" t="n"/>
      <c r="M283" s="32" t="n">
        <v>0.6977821913273751</v>
      </c>
      <c r="N283" s="31" t="n"/>
      <c r="O283" s="33" t="n"/>
    </row>
    <row r="284" ht="15" customHeight="1">
      <c r="A284" s="232" t="n"/>
      <c r="B284" s="232" t="n"/>
      <c r="C284" s="179" t="inlineStr">
        <is>
          <t>LVP</t>
        </is>
      </c>
      <c r="D284" s="169" t="inlineStr">
        <is>
          <t>Bottom</t>
        </is>
      </c>
      <c r="E284" s="169" t="n">
        <v>40</v>
      </c>
      <c r="F284" s="169" t="inlineStr">
        <is>
          <t>Single</t>
        </is>
      </c>
      <c r="G284" s="180" t="inlineStr">
        <is>
          <t>CKHD 4 LVP</t>
        </is>
      </c>
      <c r="H284" s="180" t="inlineStr">
        <is>
          <t>115 X 115</t>
        </is>
      </c>
      <c r="I284" s="180" t="inlineStr">
        <is>
          <t>25 X 25</t>
        </is>
      </c>
      <c r="J284" s="180" t="n">
        <v>25</v>
      </c>
      <c r="K284" s="181" t="n"/>
      <c r="L284" s="14" t="n"/>
      <c r="M284" s="15" t="n">
        <v>0.6977821913273751</v>
      </c>
      <c r="N284" s="14" t="n"/>
      <c r="O284" s="16" t="n"/>
    </row>
    <row r="285" ht="15.75" customHeight="1">
      <c r="A285" s="234" t="n"/>
      <c r="B285" s="234" t="n"/>
      <c r="C285" s="175" t="inlineStr">
        <is>
          <t>SVG</t>
        </is>
      </c>
      <c r="D285" s="166" t="inlineStr">
        <is>
          <t>-</t>
        </is>
      </c>
      <c r="E285" s="166" t="n">
        <v>22</v>
      </c>
      <c r="F285" s="166" t="inlineStr">
        <is>
          <t>Single</t>
        </is>
      </c>
      <c r="G285" s="180" t="inlineStr">
        <is>
          <t>CKHD 4 SVG</t>
        </is>
      </c>
      <c r="H285" s="180" t="inlineStr">
        <is>
          <t>128 X 128</t>
        </is>
      </c>
      <c r="I285" s="166" t="inlineStr">
        <is>
          <t>22 X 22</t>
        </is>
      </c>
      <c r="J285" s="166" t="n">
        <v>16</v>
      </c>
      <c r="K285" s="181" t="n"/>
      <c r="L285" s="25" t="n"/>
      <c r="M285" s="26" t="n">
        <v>0.4398148148148148</v>
      </c>
      <c r="N285" s="25" t="n"/>
      <c r="O285" s="27" t="n"/>
    </row>
    <row r="286" ht="15" customHeight="1">
      <c r="A286" s="197" t="n"/>
      <c r="B286" s="198" t="inlineStr">
        <is>
          <t>C 5</t>
        </is>
      </c>
      <c r="C286" s="179" t="inlineStr">
        <is>
          <t>LVP</t>
        </is>
      </c>
      <c r="D286" s="180" t="inlineStr">
        <is>
          <t>Top</t>
        </is>
      </c>
      <c r="E286" s="180" t="n">
        <v>60</v>
      </c>
      <c r="F286" s="180" t="inlineStr">
        <is>
          <t>Single</t>
        </is>
      </c>
      <c r="G286" s="180" t="inlineStr">
        <is>
          <t>CKHD 5 LVP</t>
        </is>
      </c>
      <c r="H286" s="180" t="inlineStr">
        <is>
          <t>148 X 148</t>
        </is>
      </c>
      <c r="I286" s="180" t="inlineStr">
        <is>
          <t>25 X 25</t>
        </is>
      </c>
      <c r="J286" s="180" t="n">
        <v>16</v>
      </c>
      <c r="K286" s="181" t="n"/>
      <c r="L286" s="31" t="n"/>
      <c r="M286" s="32" t="n">
        <v>1.103988603988604</v>
      </c>
      <c r="N286" s="31" t="n"/>
      <c r="O286" s="33" t="n"/>
    </row>
    <row r="287" ht="15" customHeight="1">
      <c r="A287" s="232" t="n"/>
      <c r="B287" s="232" t="n"/>
      <c r="C287" s="168" t="n"/>
      <c r="D287" s="169" t="inlineStr">
        <is>
          <t>Bottom</t>
        </is>
      </c>
      <c r="E287" s="169" t="n">
        <v>40</v>
      </c>
      <c r="F287" s="169" t="inlineStr">
        <is>
          <t>Single</t>
        </is>
      </c>
      <c r="G287" s="180" t="inlineStr">
        <is>
          <t>CKHD 5 LVP</t>
        </is>
      </c>
      <c r="H287" s="180" t="inlineStr">
        <is>
          <t>148 X 148</t>
        </is>
      </c>
      <c r="I287" s="180" t="inlineStr">
        <is>
          <t>25 X 25</t>
        </is>
      </c>
      <c r="J287" s="180" t="n">
        <v>16</v>
      </c>
      <c r="K287" s="181" t="n"/>
      <c r="L287" s="14" t="n"/>
      <c r="M287" s="15" t="n">
        <v>0.6977821913273751</v>
      </c>
      <c r="N287" s="14" t="n"/>
      <c r="O287" s="16" t="n"/>
    </row>
    <row r="288" ht="15.75" customHeight="1">
      <c r="A288" s="234" t="n"/>
      <c r="B288" s="234" t="n"/>
      <c r="C288" s="175" t="inlineStr">
        <is>
          <t>SVG</t>
        </is>
      </c>
      <c r="D288" s="166" t="inlineStr">
        <is>
          <t>-</t>
        </is>
      </c>
      <c r="E288" s="166" t="n">
        <v>22</v>
      </c>
      <c r="F288" s="166" t="inlineStr">
        <is>
          <t>Single</t>
        </is>
      </c>
      <c r="G288" s="180" t="inlineStr">
        <is>
          <t>CKHD 5 SVG</t>
        </is>
      </c>
      <c r="H288" s="180" t="inlineStr">
        <is>
          <t>161 X 161</t>
        </is>
      </c>
      <c r="I288" s="166" t="inlineStr">
        <is>
          <t xml:space="preserve">21 X 21 </t>
        </is>
      </c>
      <c r="J288" s="166" t="n">
        <v>9</v>
      </c>
      <c r="K288" s="181" t="n"/>
      <c r="L288" s="25" t="n"/>
      <c r="M288" s="26" t="n">
        <v>0.4398148148148148</v>
      </c>
      <c r="N288" s="25" t="n"/>
      <c r="O288" s="27" t="n"/>
    </row>
    <row r="289" ht="15" customHeight="1">
      <c r="A289" s="197" t="n"/>
      <c r="B289" s="198" t="inlineStr">
        <is>
          <t>MPR 10</t>
        </is>
      </c>
      <c r="C289" s="179" t="inlineStr">
        <is>
          <t>LVP</t>
        </is>
      </c>
      <c r="D289" s="180" t="inlineStr">
        <is>
          <t>Top</t>
        </is>
      </c>
      <c r="E289" s="180" t="n">
        <v>60</v>
      </c>
      <c r="F289" s="180" t="inlineStr">
        <is>
          <t>Passiing</t>
        </is>
      </c>
      <c r="G289" s="180" t="inlineStr">
        <is>
          <t>MPR 10 LVP</t>
        </is>
      </c>
      <c r="H289" s="180" t="inlineStr">
        <is>
          <t>50 X 68 MM</t>
        </is>
      </c>
      <c r="I289" s="180" t="inlineStr">
        <is>
          <t>20.5 X 22</t>
        </is>
      </c>
      <c r="J289" s="180" t="n">
        <v>70</v>
      </c>
      <c r="K289" s="202" t="n"/>
      <c r="L289" s="31" t="n"/>
      <c r="M289" s="32" t="n">
        <v>1.103988603988604</v>
      </c>
      <c r="N289" s="31" t="n"/>
      <c r="O289" s="33" t="n"/>
    </row>
    <row r="290" ht="15" customHeight="1">
      <c r="A290" s="232" t="n"/>
      <c r="B290" s="232" t="n"/>
      <c r="C290" s="168" t="n"/>
      <c r="D290" s="169" t="inlineStr">
        <is>
          <t>Bottom</t>
        </is>
      </c>
      <c r="E290" s="169" t="n"/>
      <c r="F290" s="169" t="n"/>
      <c r="G290" s="180" t="n"/>
      <c r="H290" s="180" t="n"/>
      <c r="I290" s="180" t="n"/>
      <c r="J290" s="180" t="n"/>
      <c r="K290" s="181" t="n"/>
      <c r="L290" s="14" t="n"/>
      <c r="M290" s="15" t="e">
        <v>#N/A</v>
      </c>
      <c r="N290" s="14" t="n"/>
      <c r="O290" s="16" t="n"/>
    </row>
    <row r="291" ht="15.75" customHeight="1">
      <c r="A291" s="234" t="n"/>
      <c r="B291" s="234" t="n"/>
      <c r="C291" s="175" t="inlineStr">
        <is>
          <t>SVG</t>
        </is>
      </c>
      <c r="D291" s="166" t="inlineStr">
        <is>
          <t>-</t>
        </is>
      </c>
      <c r="E291" s="166" t="n">
        <v>22</v>
      </c>
      <c r="F291" s="180" t="inlineStr">
        <is>
          <t>Passiing</t>
        </is>
      </c>
      <c r="G291" s="180" t="inlineStr">
        <is>
          <t>MPR 10 SVG</t>
        </is>
      </c>
      <c r="H291" s="180" t="inlineStr">
        <is>
          <t>62 X 80 MM</t>
        </is>
      </c>
      <c r="I291" s="180" t="inlineStr">
        <is>
          <t>20.5 X 21.5</t>
        </is>
      </c>
      <c r="J291" s="166" t="n">
        <v>48</v>
      </c>
      <c r="K291" s="202" t="n"/>
      <c r="L291" s="25" t="n"/>
      <c r="M291" s="26" t="n">
        <v>0.4398148148148148</v>
      </c>
      <c r="N291" s="25" t="n"/>
      <c r="O291" s="27" t="n"/>
    </row>
    <row r="292" ht="15" customHeight="1">
      <c r="A292" s="197" t="n"/>
      <c r="B292" s="198" t="inlineStr">
        <is>
          <t>MPR 12</t>
        </is>
      </c>
      <c r="C292" s="179" t="inlineStr">
        <is>
          <t>LVP</t>
        </is>
      </c>
      <c r="D292" s="180" t="inlineStr">
        <is>
          <t>Top</t>
        </is>
      </c>
      <c r="E292" s="180" t="n">
        <v>60</v>
      </c>
      <c r="F292" s="180" t="inlineStr">
        <is>
          <t>Passiing</t>
        </is>
      </c>
      <c r="G292" s="180" t="inlineStr">
        <is>
          <t>MPR 12 LVP</t>
        </is>
      </c>
      <c r="H292" s="180" t="inlineStr">
        <is>
          <t>58 X 105</t>
        </is>
      </c>
      <c r="I292" s="180" t="inlineStr">
        <is>
          <t>23 X 23</t>
        </is>
      </c>
      <c r="J292" s="180" t="n">
        <v>30</v>
      </c>
      <c r="K292" s="202" t="n"/>
      <c r="L292" s="31" t="n"/>
      <c r="M292" s="32" t="n">
        <v>1.103988603988604</v>
      </c>
      <c r="N292" s="31" t="n"/>
      <c r="O292" s="33" t="n"/>
    </row>
    <row r="293" ht="15" customHeight="1">
      <c r="A293" s="232" t="n"/>
      <c r="B293" s="232" t="n"/>
      <c r="C293" s="168" t="n"/>
      <c r="D293" s="169" t="inlineStr">
        <is>
          <t>Bottom</t>
        </is>
      </c>
      <c r="E293" s="169" t="n"/>
      <c r="F293" s="169" t="n"/>
      <c r="G293" s="180" t="n"/>
      <c r="H293" s="180" t="n"/>
      <c r="I293" s="180" t="n"/>
      <c r="J293" s="180" t="n"/>
      <c r="K293" s="181" t="n"/>
      <c r="L293" s="14" t="n"/>
      <c r="M293" s="15" t="e">
        <v>#N/A</v>
      </c>
      <c r="N293" s="14" t="n"/>
      <c r="O293" s="16" t="n"/>
    </row>
    <row r="294" ht="15.75" customHeight="1">
      <c r="A294" s="234" t="n"/>
      <c r="B294" s="234" t="n"/>
      <c r="C294" s="175" t="inlineStr">
        <is>
          <t>SVG</t>
        </is>
      </c>
      <c r="D294" s="166" t="inlineStr">
        <is>
          <t>-</t>
        </is>
      </c>
      <c r="E294" s="166" t="n">
        <v>22</v>
      </c>
      <c r="F294" s="180" t="inlineStr">
        <is>
          <t>Passiing</t>
        </is>
      </c>
      <c r="G294" s="180" t="inlineStr">
        <is>
          <t>MPR 12 SVG</t>
        </is>
      </c>
      <c r="H294" s="180" t="inlineStr">
        <is>
          <t>70 X 117</t>
        </is>
      </c>
      <c r="I294" s="180" t="inlineStr">
        <is>
          <t>23 X 25</t>
        </is>
      </c>
      <c r="J294" s="166" t="n">
        <v>35</v>
      </c>
      <c r="K294" s="202" t="n"/>
      <c r="L294" s="25" t="n"/>
      <c r="M294" s="26" t="n">
        <v>0.4398148148148148</v>
      </c>
      <c r="N294" s="25" t="n"/>
      <c r="O294" s="27" t="n"/>
    </row>
    <row r="295" ht="15" customHeight="1">
      <c r="A295" s="197" t="n"/>
      <c r="B295" s="198" t="inlineStr">
        <is>
          <t>RAD 10</t>
        </is>
      </c>
      <c r="C295" s="179" t="inlineStr">
        <is>
          <t>LVP</t>
        </is>
      </c>
      <c r="D295" s="180" t="inlineStr">
        <is>
          <t>Top</t>
        </is>
      </c>
      <c r="E295" s="180" t="n">
        <v>40</v>
      </c>
      <c r="F295" s="180" t="inlineStr">
        <is>
          <t>Single</t>
        </is>
      </c>
      <c r="G295" s="180" t="inlineStr">
        <is>
          <t>RAD 10 LVP</t>
        </is>
      </c>
      <c r="H295" s="180" t="inlineStr">
        <is>
          <t>42 X 66</t>
        </is>
      </c>
      <c r="I295" s="180" t="inlineStr">
        <is>
          <t>22 X 24</t>
        </is>
      </c>
      <c r="J295" s="180" t="n">
        <v>77</v>
      </c>
      <c r="K295" s="202" t="n"/>
      <c r="L295" s="31" t="n"/>
      <c r="M295" s="32" t="n">
        <v>0.6977821913273751</v>
      </c>
      <c r="N295" s="31" t="n"/>
      <c r="O295" s="33" t="n"/>
    </row>
    <row r="296" ht="15" customHeight="1">
      <c r="A296" s="232" t="n"/>
      <c r="B296" s="232" t="n"/>
      <c r="C296" s="168" t="n"/>
      <c r="D296" s="169" t="inlineStr">
        <is>
          <t>Bottom</t>
        </is>
      </c>
      <c r="E296" s="169" t="n">
        <v>40</v>
      </c>
      <c r="F296" s="180" t="inlineStr">
        <is>
          <t>Single</t>
        </is>
      </c>
      <c r="G296" s="180" t="inlineStr">
        <is>
          <t>RAD 10 LVP</t>
        </is>
      </c>
      <c r="H296" s="180" t="inlineStr">
        <is>
          <t>42 X 66</t>
        </is>
      </c>
      <c r="I296" s="180" t="inlineStr">
        <is>
          <t>22 X 24</t>
        </is>
      </c>
      <c r="J296" s="180" t="n">
        <v>77</v>
      </c>
      <c r="K296" s="181" t="n"/>
      <c r="L296" s="14" t="n"/>
      <c r="M296" s="15" t="n">
        <v>0.6977821913273751</v>
      </c>
      <c r="N296" s="14" t="n"/>
      <c r="O296" s="16" t="n"/>
    </row>
    <row r="297" ht="15.75" customHeight="1">
      <c r="A297" s="234" t="n"/>
      <c r="B297" s="234" t="n"/>
      <c r="C297" s="175" t="inlineStr">
        <is>
          <t>SVG</t>
        </is>
      </c>
      <c r="D297" s="166" t="inlineStr">
        <is>
          <t>-</t>
        </is>
      </c>
      <c r="E297" s="166" t="n">
        <v>22</v>
      </c>
      <c r="F297" s="180" t="inlineStr">
        <is>
          <t>Single</t>
        </is>
      </c>
      <c r="G297" s="180" t="inlineStr">
        <is>
          <t>RAD 10 SVG</t>
        </is>
      </c>
      <c r="H297" s="180" t="inlineStr">
        <is>
          <t>52 X 77</t>
        </is>
      </c>
      <c r="I297" s="180" t="inlineStr">
        <is>
          <t>21 X 23</t>
        </is>
      </c>
      <c r="J297" s="166" t="n">
        <v>54</v>
      </c>
      <c r="K297" s="202" t="n"/>
      <c r="L297" s="25" t="n"/>
      <c r="M297" s="26" t="n">
        <v>0.4398148148148148</v>
      </c>
      <c r="N297" s="25" t="n"/>
      <c r="O297" s="27" t="n"/>
    </row>
    <row r="298" ht="15" customHeight="1">
      <c r="A298" s="197" t="n"/>
      <c r="B298" s="198" t="inlineStr">
        <is>
          <t>PN 0</t>
        </is>
      </c>
      <c r="C298" s="184" t="inlineStr">
        <is>
          <t>LVP</t>
        </is>
      </c>
      <c r="D298" s="180" t="inlineStr">
        <is>
          <t>Top</t>
        </is>
      </c>
      <c r="E298" s="180" t="n">
        <v>40</v>
      </c>
      <c r="F298" s="180" t="inlineStr">
        <is>
          <t>Passing</t>
        </is>
      </c>
      <c r="G298" s="180" t="inlineStr">
        <is>
          <t>HPP PN 0 LVP</t>
        </is>
      </c>
      <c r="H298" s="180" t="n">
        <v>38</v>
      </c>
      <c r="I298" s="180" t="inlineStr">
        <is>
          <t>15 X 18.5</t>
        </is>
      </c>
      <c r="J298" s="180" t="n">
        <v>105</v>
      </c>
      <c r="K298" s="181" t="n"/>
      <c r="L298" s="31" t="n"/>
      <c r="M298" s="32" t="n">
        <v>0.6977821913273751</v>
      </c>
      <c r="N298" s="31" t="n"/>
      <c r="O298" s="33" t="n"/>
    </row>
    <row r="299" ht="15" customHeight="1">
      <c r="A299" s="232" t="n"/>
      <c r="B299" s="232" t="n"/>
      <c r="C299" s="235" t="n"/>
      <c r="D299" s="169" t="inlineStr">
        <is>
          <t>Bottom</t>
        </is>
      </c>
      <c r="E299" s="169" t="n">
        <v>40</v>
      </c>
      <c r="F299" s="180" t="inlineStr">
        <is>
          <t>Passing</t>
        </is>
      </c>
      <c r="G299" s="180" t="inlineStr">
        <is>
          <t>HPP PN 0 LVP</t>
        </is>
      </c>
      <c r="H299" s="180" t="n">
        <v>38</v>
      </c>
      <c r="I299" s="180" t="inlineStr">
        <is>
          <t>15 X 18.5</t>
        </is>
      </c>
      <c r="J299" s="180" t="n">
        <v>105</v>
      </c>
      <c r="K299" s="171" t="n"/>
      <c r="L299" s="14" t="n"/>
      <c r="M299" s="15" t="n">
        <v>0.6977821913273751</v>
      </c>
      <c r="N299" s="14" t="n"/>
      <c r="O299" s="16" t="n"/>
    </row>
    <row r="300" ht="15.75" customHeight="1">
      <c r="A300" s="234" t="n"/>
      <c r="B300" s="234" t="n"/>
      <c r="C300" s="175" t="inlineStr">
        <is>
          <t>SVG</t>
        </is>
      </c>
      <c r="D300" s="166" t="inlineStr">
        <is>
          <t>-</t>
        </is>
      </c>
      <c r="E300" s="166" t="n">
        <v>22</v>
      </c>
      <c r="F300" s="166" t="inlineStr">
        <is>
          <t>Passing</t>
        </is>
      </c>
      <c r="G300" s="166" t="inlineStr">
        <is>
          <t>HPP PN 0 SVG</t>
        </is>
      </c>
      <c r="H300" s="166" t="n">
        <v>48</v>
      </c>
      <c r="I300" s="166" t="inlineStr">
        <is>
          <t>24 X 24</t>
        </is>
      </c>
      <c r="J300" s="166" t="n">
        <v>100</v>
      </c>
      <c r="K300" s="176" t="n"/>
      <c r="L300" s="25" t="n"/>
      <c r="M300" s="26" t="n">
        <v>0.4398148148148148</v>
      </c>
      <c r="N300" s="25" t="n"/>
      <c r="O300" s="27" t="n"/>
    </row>
    <row r="301" ht="15" customHeight="1">
      <c r="A301" s="197" t="n"/>
      <c r="B301" s="198" t="inlineStr">
        <is>
          <t>PN 01</t>
        </is>
      </c>
      <c r="C301" s="184" t="inlineStr">
        <is>
          <t>LVP</t>
        </is>
      </c>
      <c r="D301" s="180" t="inlineStr">
        <is>
          <t>Top</t>
        </is>
      </c>
      <c r="E301" s="180" t="n">
        <v>40</v>
      </c>
      <c r="F301" s="180" t="inlineStr">
        <is>
          <t>Passing</t>
        </is>
      </c>
      <c r="G301" s="180" t="inlineStr">
        <is>
          <t xml:space="preserve">C2 SVG </t>
        </is>
      </c>
      <c r="H301" s="180" t="n">
        <v>56</v>
      </c>
      <c r="I301" s="180" t="inlineStr">
        <is>
          <t>17.5 X 24</t>
        </is>
      </c>
      <c r="J301" s="180" t="n">
        <v>72</v>
      </c>
      <c r="K301" s="181" t="n"/>
      <c r="L301" s="31" t="n"/>
      <c r="M301" s="32" t="n">
        <v>0.6977821913273751</v>
      </c>
      <c r="N301" s="31" t="n"/>
      <c r="O301" s="33" t="n"/>
    </row>
    <row r="302" ht="15" customHeight="1">
      <c r="A302" s="232" t="n"/>
      <c r="B302" s="232" t="n"/>
      <c r="C302" s="235" t="n"/>
      <c r="D302" s="169" t="inlineStr">
        <is>
          <t>Bottom</t>
        </is>
      </c>
      <c r="E302" s="169" t="n">
        <v>40</v>
      </c>
      <c r="F302" s="180" t="inlineStr">
        <is>
          <t>Passing</t>
        </is>
      </c>
      <c r="G302" s="180" t="inlineStr">
        <is>
          <t xml:space="preserve">C2 SVG </t>
        </is>
      </c>
      <c r="H302" s="180" t="n">
        <v>56</v>
      </c>
      <c r="I302" s="180" t="inlineStr">
        <is>
          <t>17.5 X 24</t>
        </is>
      </c>
      <c r="J302" s="180" t="n">
        <v>72</v>
      </c>
      <c r="K302" s="171" t="n"/>
      <c r="L302" s="14" t="n"/>
      <c r="M302" s="15" t="n">
        <v>0.6977821913273751</v>
      </c>
      <c r="N302" s="14" t="n"/>
      <c r="O302" s="16" t="n"/>
    </row>
    <row r="303" ht="15.75" customHeight="1">
      <c r="A303" s="234" t="n"/>
      <c r="B303" s="234" t="n"/>
      <c r="C303" s="175" t="inlineStr">
        <is>
          <t>SVG</t>
        </is>
      </c>
      <c r="D303" s="166" t="inlineStr">
        <is>
          <t>-</t>
        </is>
      </c>
      <c r="E303" s="166" t="n">
        <v>22</v>
      </c>
      <c r="F303" s="166" t="inlineStr">
        <is>
          <t>Passing</t>
        </is>
      </c>
      <c r="G303" s="166" t="inlineStr">
        <is>
          <t>HPP PN 01 SVG</t>
        </is>
      </c>
      <c r="H303" s="166" t="n">
        <v>65</v>
      </c>
      <c r="I303" s="166" t="inlineStr">
        <is>
          <t>22 X 20.5</t>
        </is>
      </c>
      <c r="J303" s="166" t="n">
        <v>60</v>
      </c>
      <c r="K303" s="176" t="n"/>
      <c r="L303" s="25" t="n"/>
      <c r="M303" s="26" t="n">
        <v>0.4398148148148148</v>
      </c>
      <c r="N303" s="25" t="n"/>
      <c r="O303" s="27" t="n"/>
    </row>
    <row r="304" ht="15" customHeight="1">
      <c r="A304" s="197" t="n"/>
      <c r="B304" s="198" t="inlineStr">
        <is>
          <t>PN 02</t>
        </is>
      </c>
      <c r="C304" s="184" t="inlineStr">
        <is>
          <t>LVP</t>
        </is>
      </c>
      <c r="D304" s="180" t="inlineStr">
        <is>
          <t>Top</t>
        </is>
      </c>
      <c r="E304" s="180" t="n">
        <v>40</v>
      </c>
      <c r="F304" s="180" t="inlineStr">
        <is>
          <t>Passing</t>
        </is>
      </c>
      <c r="G304" s="180" t="inlineStr">
        <is>
          <t>HPP PN 02 LVP</t>
        </is>
      </c>
      <c r="H304" s="180" t="n">
        <v>73</v>
      </c>
      <c r="I304" s="180" t="inlineStr">
        <is>
          <t>24 X 24</t>
        </is>
      </c>
      <c r="J304" s="180" t="n">
        <v>49</v>
      </c>
      <c r="K304" s="181" t="n"/>
      <c r="L304" s="31" t="n"/>
      <c r="M304" s="32" t="n">
        <v>0.6977821913273751</v>
      </c>
      <c r="N304" s="31" t="n"/>
      <c r="O304" s="33" t="n"/>
    </row>
    <row r="305" ht="15" customHeight="1">
      <c r="A305" s="232" t="n"/>
      <c r="B305" s="232" t="n"/>
      <c r="C305" s="235" t="n"/>
      <c r="D305" s="169" t="inlineStr">
        <is>
          <t>Bottom</t>
        </is>
      </c>
      <c r="E305" s="169" t="n">
        <v>40</v>
      </c>
      <c r="F305" s="180" t="inlineStr">
        <is>
          <t>Passing</t>
        </is>
      </c>
      <c r="G305" s="180" t="inlineStr">
        <is>
          <t>HPP PN 02 LVP</t>
        </is>
      </c>
      <c r="H305" s="180" t="n">
        <v>73</v>
      </c>
      <c r="I305" s="180" t="inlineStr">
        <is>
          <t>24 X 24</t>
        </is>
      </c>
      <c r="J305" s="180" t="n">
        <v>49</v>
      </c>
      <c r="K305" s="171" t="n"/>
      <c r="L305" s="14" t="n"/>
      <c r="M305" s="15" t="n">
        <v>0.6977821913273751</v>
      </c>
      <c r="N305" s="14" t="n"/>
      <c r="O305" s="16" t="n"/>
    </row>
    <row r="306" ht="15.75" customHeight="1">
      <c r="A306" s="234" t="n"/>
      <c r="B306" s="234" t="n"/>
      <c r="C306" s="175" t="inlineStr">
        <is>
          <t>SVG</t>
        </is>
      </c>
      <c r="D306" s="166" t="inlineStr">
        <is>
          <t>-</t>
        </is>
      </c>
      <c r="E306" s="166" t="n">
        <v>22</v>
      </c>
      <c r="F306" s="166" t="inlineStr">
        <is>
          <t>Passing</t>
        </is>
      </c>
      <c r="G306" s="166" t="inlineStr">
        <is>
          <t>HPP PN 02 SVG</t>
        </is>
      </c>
      <c r="H306" s="166" t="n">
        <v>83</v>
      </c>
      <c r="I306" s="166" t="inlineStr">
        <is>
          <t>23 X 23</t>
        </is>
      </c>
      <c r="J306" s="166" t="n">
        <v>36</v>
      </c>
      <c r="K306" s="176" t="n"/>
      <c r="L306" s="25" t="n"/>
      <c r="M306" s="26" t="n">
        <v>0.4398148148148148</v>
      </c>
      <c r="N306" s="25" t="n"/>
      <c r="O306" s="27" t="n"/>
    </row>
    <row r="307" ht="15" customHeight="1">
      <c r="A307" s="197" t="n"/>
      <c r="B307" s="198" t="inlineStr">
        <is>
          <t>Chemblue UP 2</t>
        </is>
      </c>
      <c r="C307" s="184" t="inlineStr">
        <is>
          <t>LVP</t>
        </is>
      </c>
      <c r="D307" s="180" t="inlineStr">
        <is>
          <t>Top</t>
        </is>
      </c>
      <c r="E307" s="180" t="n">
        <v>80</v>
      </c>
      <c r="F307" s="180" t="n"/>
      <c r="G307" s="180" t="inlineStr">
        <is>
          <t>Pang UP 2 LVP,
Chemblue UP 2</t>
        </is>
      </c>
      <c r="H307" s="180" t="inlineStr">
        <is>
          <t>43 X 43</t>
        </is>
      </c>
      <c r="I307" s="180" t="inlineStr">
        <is>
          <t>16 X 23.5</t>
        </is>
      </c>
      <c r="J307" s="180" t="n">
        <v>96</v>
      </c>
      <c r="K307" s="181" t="n"/>
      <c r="L307" s="31" t="n"/>
      <c r="M307" s="32" t="n">
        <v>1.494824016563147</v>
      </c>
      <c r="N307" s="31" t="n"/>
      <c r="O307" s="33" t="n"/>
    </row>
    <row r="308" ht="15" customHeight="1">
      <c r="A308" s="232" t="n"/>
      <c r="B308" s="232" t="n"/>
      <c r="C308" s="235" t="n"/>
      <c r="D308" s="169" t="inlineStr">
        <is>
          <t>-</t>
        </is>
      </c>
      <c r="E308" s="169" t="n"/>
      <c r="F308" s="180" t="n"/>
      <c r="G308" s="180" t="n"/>
      <c r="H308" s="180" t="n"/>
      <c r="I308" s="180" t="n"/>
      <c r="J308" s="180" t="n"/>
      <c r="K308" s="171" t="n"/>
      <c r="L308" s="14" t="n"/>
      <c r="M308" s="15" t="e">
        <v>#N/A</v>
      </c>
      <c r="N308" s="14" t="n"/>
      <c r="O308" s="16" t="n"/>
    </row>
    <row r="309" ht="15.75" customHeight="1">
      <c r="A309" s="234" t="n"/>
      <c r="B309" s="234" t="n"/>
      <c r="C309" s="175" t="inlineStr">
        <is>
          <t>SVG</t>
        </is>
      </c>
      <c r="D309" s="166" t="inlineStr">
        <is>
          <t>-</t>
        </is>
      </c>
      <c r="E309" s="166" t="n">
        <v>22</v>
      </c>
      <c r="F309" s="166" t="n"/>
      <c r="G309" s="166" t="inlineStr">
        <is>
          <t>Pang 1 SVG,
Chemblue UP 2 SVG
Chemblue UP 3 LVP</t>
        </is>
      </c>
      <c r="H309" s="166" t="inlineStr">
        <is>
          <t>53 X 53</t>
        </is>
      </c>
      <c r="I309" s="166" t="inlineStr">
        <is>
          <t>17 X 23.5</t>
        </is>
      </c>
      <c r="J309" s="166" t="n">
        <v>70</v>
      </c>
      <c r="K309" s="176" t="n"/>
      <c r="L309" s="25" t="n"/>
      <c r="M309" s="26" t="n">
        <v>0.4398148148148148</v>
      </c>
      <c r="N309" s="25" t="n"/>
      <c r="O309" s="27" t="n"/>
    </row>
    <row r="310" ht="17.25" customHeight="1">
      <c r="A310" s="177" t="n">
        <v>2</v>
      </c>
      <c r="B310" s="178" t="inlineStr">
        <is>
          <t>CVR 10</t>
        </is>
      </c>
      <c r="C310" s="179" t="inlineStr">
        <is>
          <t>LVP</t>
        </is>
      </c>
      <c r="D310" s="180" t="inlineStr">
        <is>
          <t>Top</t>
        </is>
      </c>
      <c r="E310" s="180" t="n">
        <v>60</v>
      </c>
      <c r="F310" s="180" t="n"/>
      <c r="G310" s="180" t="inlineStr">
        <is>
          <t>MCX 10 LVP</t>
        </is>
      </c>
      <c r="H310" s="180" t="inlineStr">
        <is>
          <t>40 X 60</t>
        </is>
      </c>
      <c r="I310" s="180" t="inlineStr">
        <is>
          <t>18.5 X 24</t>
        </is>
      </c>
      <c r="J310" s="180" t="n">
        <v>90</v>
      </c>
      <c r="K310" s="181" t="n"/>
      <c r="L310" s="31" t="n"/>
      <c r="M310" s="32" t="n">
        <v>1.103988603988604</v>
      </c>
      <c r="N310" s="31" t="n"/>
      <c r="O310" s="33" t="n"/>
    </row>
    <row r="311" ht="17.25" customHeight="1">
      <c r="A311" s="232" t="n"/>
      <c r="B311" s="232" t="n"/>
      <c r="C311" s="235" t="n"/>
      <c r="D311" s="169" t="inlineStr">
        <is>
          <t>Bottom</t>
        </is>
      </c>
      <c r="E311" s="169" t="n"/>
      <c r="F311" s="169" t="n"/>
      <c r="G311" s="169" t="n"/>
      <c r="H311" s="169" t="n"/>
      <c r="I311" s="169" t="n"/>
      <c r="J311" s="169" t="n"/>
      <c r="K311" s="171" t="n"/>
      <c r="L311" s="14" t="n"/>
      <c r="M311" s="15" t="e">
        <v>#N/A</v>
      </c>
      <c r="N311" s="14" t="n"/>
      <c r="O311" s="16" t="n"/>
    </row>
    <row r="312" ht="17.25" customHeight="1">
      <c r="A312" s="234" t="n"/>
      <c r="B312" s="234" t="n"/>
      <c r="C312" s="175" t="inlineStr">
        <is>
          <t>SVG</t>
        </is>
      </c>
      <c r="D312" s="166" t="inlineStr">
        <is>
          <t>-</t>
        </is>
      </c>
      <c r="E312" s="166" t="n">
        <v>22</v>
      </c>
      <c r="F312" s="166" t="n"/>
      <c r="G312" s="166" t="inlineStr">
        <is>
          <t>MCX 10 SVG</t>
        </is>
      </c>
      <c r="H312" s="166" t="inlineStr">
        <is>
          <t>50 X 70</t>
        </is>
      </c>
      <c r="I312" s="166" t="inlineStr">
        <is>
          <t>18.5 X 25</t>
        </is>
      </c>
      <c r="J312" s="166" t="n">
        <v>66</v>
      </c>
      <c r="K312" s="181" t="n"/>
      <c r="L312" s="25" t="n"/>
      <c r="M312" s="26" t="n">
        <v>0.4398148148148148</v>
      </c>
      <c r="N312" s="25" t="n"/>
      <c r="O312" s="27" t="n"/>
    </row>
    <row r="313" ht="15" customHeight="1">
      <c r="A313" s="177" t="n">
        <v>3</v>
      </c>
      <c r="B313" s="178" t="inlineStr">
        <is>
          <t>CVR 12</t>
        </is>
      </c>
      <c r="C313" s="179" t="inlineStr">
        <is>
          <t>LVP</t>
        </is>
      </c>
      <c r="D313" s="180" t="inlineStr">
        <is>
          <t>Top</t>
        </is>
      </c>
      <c r="E313" s="180" t="n">
        <v>60</v>
      </c>
      <c r="F313" s="180" t="n"/>
      <c r="G313" s="180" t="inlineStr">
        <is>
          <t xml:space="preserve">MCX 12 LVP </t>
        </is>
      </c>
      <c r="H313" s="180" t="inlineStr">
        <is>
          <t>50 X 90</t>
        </is>
      </c>
      <c r="I313" s="180" t="inlineStr">
        <is>
          <t>18.5 X 23.5</t>
        </is>
      </c>
      <c r="J313" s="180" t="n">
        <v>48</v>
      </c>
      <c r="K313" s="181" t="n"/>
      <c r="L313" s="31" t="n"/>
      <c r="M313" s="32" t="n">
        <v>1.103988603988604</v>
      </c>
      <c r="N313" s="31" t="n"/>
      <c r="O313" s="33" t="n"/>
    </row>
    <row r="314" ht="15" customHeight="1">
      <c r="A314" s="232" t="n"/>
      <c r="B314" s="232" t="n"/>
      <c r="C314" s="235" t="n"/>
      <c r="D314" s="169" t="inlineStr">
        <is>
          <t>Bottom</t>
        </is>
      </c>
      <c r="E314" s="169" t="n"/>
      <c r="F314" s="169" t="n"/>
      <c r="G314" s="169" t="n"/>
      <c r="H314" s="169" t="n"/>
      <c r="I314" s="169" t="n"/>
      <c r="J314" s="169" t="n"/>
      <c r="K314" s="171" t="n"/>
      <c r="L314" s="14" t="n"/>
      <c r="M314" s="15" t="e">
        <v>#N/A</v>
      </c>
      <c r="N314" s="14" t="n"/>
      <c r="O314" s="16" t="n"/>
    </row>
    <row r="315" ht="15.75" customHeight="1">
      <c r="A315" s="234" t="n"/>
      <c r="B315" s="234" t="n"/>
      <c r="C315" s="175" t="inlineStr">
        <is>
          <t>SVG</t>
        </is>
      </c>
      <c r="D315" s="166" t="inlineStr">
        <is>
          <t>-</t>
        </is>
      </c>
      <c r="E315" s="166" t="n">
        <v>22</v>
      </c>
      <c r="F315" s="166" t="n"/>
      <c r="G315" s="166" t="inlineStr">
        <is>
          <t>MCX 12 SVG</t>
        </is>
      </c>
      <c r="H315" s="166" t="inlineStr">
        <is>
          <t>61 X 101</t>
        </is>
      </c>
      <c r="I315" s="166" t="inlineStr">
        <is>
          <t>19 X 21.5</t>
        </is>
      </c>
      <c r="J315" s="166" t="n">
        <v>35</v>
      </c>
      <c r="K315" s="176" t="n"/>
      <c r="L315" s="25" t="n"/>
      <c r="M315" s="26" t="n">
        <v>0.4398148148148148</v>
      </c>
      <c r="N315" s="25" t="n"/>
      <c r="O315" s="27" t="n"/>
    </row>
    <row r="316" ht="15" customHeight="1">
      <c r="A316" s="183" t="n">
        <v>4</v>
      </c>
      <c r="B316" s="178" t="inlineStr">
        <is>
          <t>CVR 14</t>
        </is>
      </c>
      <c r="C316" s="184" t="inlineStr">
        <is>
          <t>LVP</t>
        </is>
      </c>
      <c r="D316" s="180" t="inlineStr">
        <is>
          <t>Top</t>
        </is>
      </c>
      <c r="E316" s="180" t="n">
        <v>60</v>
      </c>
      <c r="F316" s="185" t="n"/>
      <c r="G316" s="180" t="inlineStr">
        <is>
          <t>MCX 14 LVP</t>
        </is>
      </c>
      <c r="H316" s="180" t="inlineStr">
        <is>
          <t>60 X 114</t>
        </is>
      </c>
      <c r="I316" s="180" t="inlineStr">
        <is>
          <t>19 X 24.5</t>
        </is>
      </c>
      <c r="J316" s="180" t="n">
        <v>35</v>
      </c>
      <c r="K316" s="181" t="n"/>
      <c r="L316" s="31" t="n"/>
      <c r="M316" s="32" t="n">
        <v>1.103988603988604</v>
      </c>
      <c r="N316" s="31" t="n"/>
      <c r="O316" s="33" t="n"/>
    </row>
    <row r="317" ht="15" customHeight="1">
      <c r="A317" s="232" t="n"/>
      <c r="B317" s="232" t="n"/>
      <c r="C317" s="235" t="n"/>
      <c r="D317" s="169" t="inlineStr">
        <is>
          <t>Bottom</t>
        </is>
      </c>
      <c r="E317" s="169" t="n"/>
      <c r="F317" s="180" t="n"/>
      <c r="G317" s="169" t="n"/>
      <c r="H317" s="169" t="n"/>
      <c r="I317" s="169" t="n"/>
      <c r="J317" s="169" t="n"/>
      <c r="K317" s="171" t="n"/>
      <c r="L317" s="14" t="n"/>
      <c r="M317" s="15" t="e">
        <v>#N/A</v>
      </c>
      <c r="N317" s="14" t="n"/>
      <c r="O317" s="16" t="n"/>
    </row>
    <row r="318" ht="15.75" customHeight="1">
      <c r="A318" s="234" t="n"/>
      <c r="B318" s="234" t="n"/>
      <c r="C318" s="175" t="inlineStr">
        <is>
          <t>SVG</t>
        </is>
      </c>
      <c r="D318" s="166" t="inlineStr">
        <is>
          <t>-</t>
        </is>
      </c>
      <c r="E318" s="166" t="n">
        <v>22</v>
      </c>
      <c r="F318" s="166" t="n"/>
      <c r="G318" s="166" t="inlineStr">
        <is>
          <t>MCX 14 SVG</t>
        </is>
      </c>
      <c r="H318" s="166" t="inlineStr">
        <is>
          <t>70 X 125</t>
        </is>
      </c>
      <c r="I318" s="166" t="inlineStr">
        <is>
          <t>21.5 X 24.5</t>
        </is>
      </c>
      <c r="J318" s="166" t="n">
        <v>32</v>
      </c>
      <c r="K318" s="176" t="n"/>
      <c r="L318" s="25" t="n"/>
      <c r="M318" s="26" t="n">
        <v>0.4398148148148148</v>
      </c>
      <c r="N318" s="25" t="n"/>
      <c r="O318" s="27" t="n"/>
    </row>
    <row r="319" ht="15" customHeight="1">
      <c r="A319" s="186" t="n">
        <v>16</v>
      </c>
      <c r="B319" s="187" t="inlineStr">
        <is>
          <t>CVR 44</t>
        </is>
      </c>
      <c r="C319" s="184" t="inlineStr">
        <is>
          <t>LVP</t>
        </is>
      </c>
      <c r="D319" s="180" t="inlineStr">
        <is>
          <t>Top</t>
        </is>
      </c>
      <c r="E319" s="180" t="n">
        <v>60</v>
      </c>
      <c r="F319" s="180" t="n"/>
      <c r="G319" s="180" t="inlineStr">
        <is>
          <t>MCX 44 TOP LVP</t>
        </is>
      </c>
      <c r="H319" s="180" t="inlineStr">
        <is>
          <t>100 X 308</t>
        </is>
      </c>
      <c r="I319" s="180" t="inlineStr">
        <is>
          <t>18 X 25</t>
        </is>
      </c>
      <c r="J319" s="180" t="n">
        <v>8</v>
      </c>
      <c r="K319" s="181" t="n"/>
      <c r="L319" s="31" t="n"/>
      <c r="M319" s="32" t="n">
        <v>1.103988603988604</v>
      </c>
      <c r="N319" s="31" t="n"/>
      <c r="O319" s="33" t="n"/>
    </row>
    <row r="320" ht="15" customHeight="1">
      <c r="A320" s="232" t="n"/>
      <c r="B320" s="232" t="n"/>
      <c r="C320" s="235" t="n"/>
      <c r="D320" s="169" t="inlineStr">
        <is>
          <t>Bottom</t>
        </is>
      </c>
      <c r="E320" s="169" t="n">
        <v>40</v>
      </c>
      <c r="F320" s="169" t="n"/>
      <c r="G320" s="169" t="inlineStr">
        <is>
          <t>MCX 44 BOT LVP</t>
        </is>
      </c>
      <c r="H320" s="169" t="inlineStr">
        <is>
          <t>110 X 320</t>
        </is>
      </c>
      <c r="I320" s="169" t="inlineStr">
        <is>
          <t>24 X 26</t>
        </is>
      </c>
      <c r="J320" s="169" t="n">
        <v>10</v>
      </c>
      <c r="K320" s="171" t="n"/>
      <c r="L320" s="14" t="n"/>
      <c r="M320" s="15" t="n">
        <v>0.6977821913273751</v>
      </c>
      <c r="N320" s="14" t="n"/>
      <c r="O320" s="16" t="n"/>
    </row>
    <row r="321" ht="15.75" customHeight="1">
      <c r="A321" s="234" t="n"/>
      <c r="B321" s="234" t="n"/>
      <c r="C321" s="175" t="inlineStr">
        <is>
          <t>SVG</t>
        </is>
      </c>
      <c r="D321" s="166" t="inlineStr">
        <is>
          <t>-</t>
        </is>
      </c>
      <c r="E321" s="166" t="n">
        <v>22</v>
      </c>
      <c r="F321" s="166" t="n"/>
      <c r="G321" s="166" t="inlineStr">
        <is>
          <t>MCX 44 SVG</t>
        </is>
      </c>
      <c r="H321" s="166" t="inlineStr">
        <is>
          <t>125 X 338</t>
        </is>
      </c>
      <c r="I321" s="166" t="inlineStr">
        <is>
          <t>14 X 22</t>
        </is>
      </c>
      <c r="J321" s="166" t="n">
        <v>4</v>
      </c>
      <c r="K321" s="176" t="n"/>
      <c r="L321" s="25" t="n"/>
      <c r="M321" s="26" t="n">
        <v>0.4398148148148148</v>
      </c>
      <c r="N321" s="25" t="n"/>
      <c r="O321" s="27" t="n"/>
    </row>
    <row r="322" ht="15" customHeight="1">
      <c r="A322" s="186" t="n">
        <v>16</v>
      </c>
      <c r="B322" s="187" t="inlineStr">
        <is>
          <t>C1 / BR 1</t>
        </is>
      </c>
      <c r="C322" s="184" t="inlineStr">
        <is>
          <t>LVP</t>
        </is>
      </c>
      <c r="D322" s="180" t="inlineStr">
        <is>
          <t>Top</t>
        </is>
      </c>
      <c r="E322" s="180" t="n">
        <v>40</v>
      </c>
      <c r="F322" s="180" t="n"/>
      <c r="G322" s="180" t="inlineStr">
        <is>
          <t>PRC RSR New,
T 30 LVP,
C 1 (Sq on Fabric + LVP)</t>
        </is>
      </c>
      <c r="H322" s="180" t="n">
        <v>31</v>
      </c>
      <c r="I322" s="180" t="inlineStr">
        <is>
          <t>16.5 X 21</t>
        </is>
      </c>
      <c r="J322" s="180" t="n">
        <v>189</v>
      </c>
      <c r="K322" s="181" t="n"/>
      <c r="L322" s="31" t="n"/>
      <c r="M322" s="32" t="n">
        <v>0.6977821913273751</v>
      </c>
      <c r="N322" s="31" t="n"/>
      <c r="O322" s="33" t="n"/>
    </row>
    <row r="323" ht="15" customHeight="1">
      <c r="A323" s="232" t="n"/>
      <c r="B323" s="232" t="n"/>
      <c r="C323" s="235" t="n"/>
      <c r="D323" s="169" t="n"/>
      <c r="E323" s="169" t="n"/>
      <c r="F323" s="169" t="n"/>
      <c r="G323" s="169" t="n"/>
      <c r="H323" s="169" t="n"/>
      <c r="I323" s="169" t="n"/>
      <c r="J323" s="169" t="n"/>
      <c r="K323" s="171" t="n"/>
      <c r="L323" s="14" t="n"/>
      <c r="M323" s="15" t="e">
        <v>#N/A</v>
      </c>
      <c r="N323" s="14" t="n"/>
      <c r="O323" s="16" t="n"/>
    </row>
    <row r="324" ht="15.75" customHeight="1">
      <c r="A324" s="234" t="n"/>
      <c r="B324" s="234" t="n"/>
      <c r="C324" s="175" t="inlineStr">
        <is>
          <t>SVG</t>
        </is>
      </c>
      <c r="D324" s="166" t="inlineStr">
        <is>
          <t>-</t>
        </is>
      </c>
      <c r="E324" s="166" t="n">
        <v>22</v>
      </c>
      <c r="F324" s="166" t="n"/>
      <c r="G324" s="166" t="inlineStr">
        <is>
          <t>C 1 SVG</t>
        </is>
      </c>
      <c r="H324" s="166" t="n">
        <v>38</v>
      </c>
      <c r="I324" s="166" t="inlineStr">
        <is>
          <t>15 X 18.5</t>
        </is>
      </c>
      <c r="J324" s="166" t="n">
        <v>105</v>
      </c>
      <c r="K324" s="181" t="n"/>
      <c r="L324" s="25" t="n"/>
      <c r="M324" s="26" t="n">
        <v>0.4398148148148148</v>
      </c>
      <c r="N324" s="25" t="n"/>
      <c r="O324" s="27" t="n"/>
    </row>
    <row r="325" ht="15" customHeight="1">
      <c r="A325" s="186" t="n">
        <v>16</v>
      </c>
      <c r="B325" s="187" t="inlineStr">
        <is>
          <t>C1 / BR 2</t>
        </is>
      </c>
      <c r="C325" s="184" t="inlineStr">
        <is>
          <t>LVP</t>
        </is>
      </c>
      <c r="D325" s="180" t="inlineStr">
        <is>
          <t>Top</t>
        </is>
      </c>
      <c r="E325" s="180" t="n">
        <v>40</v>
      </c>
      <c r="F325" s="180" t="n"/>
      <c r="G325" s="180" t="inlineStr">
        <is>
          <t>PRC RMR New,
 T 31 LVP</t>
        </is>
      </c>
      <c r="H325" s="180" t="n">
        <v>44</v>
      </c>
      <c r="I325" s="180" t="inlineStr">
        <is>
          <t>16.5 X 20</t>
        </is>
      </c>
      <c r="J325" s="180" t="n">
        <v>96</v>
      </c>
      <c r="K325" s="181" t="n"/>
      <c r="L325" s="31" t="n"/>
      <c r="M325" s="32" t="n">
        <v>0.6977821913273751</v>
      </c>
      <c r="N325" s="31" t="n"/>
      <c r="O325" s="33" t="n"/>
    </row>
    <row r="326" ht="15" customHeight="1">
      <c r="A326" s="232" t="n"/>
      <c r="B326" s="232" t="n"/>
      <c r="C326" s="235" t="n"/>
      <c r="D326" s="169" t="n"/>
      <c r="E326" s="169" t="n"/>
      <c r="F326" s="169" t="n"/>
      <c r="G326" s="169" t="n"/>
      <c r="H326" s="169" t="n"/>
      <c r="I326" s="169" t="n"/>
      <c r="J326" s="169" t="n"/>
      <c r="K326" s="171" t="n"/>
      <c r="L326" s="14" t="n"/>
      <c r="M326" s="15" t="e">
        <v>#N/A</v>
      </c>
      <c r="N326" s="14" t="n"/>
      <c r="O326" s="16" t="n"/>
    </row>
    <row r="327" ht="15.75" customHeight="1">
      <c r="A327" s="234" t="n"/>
      <c r="B327" s="234" t="n"/>
      <c r="C327" s="175" t="inlineStr">
        <is>
          <t>SVG</t>
        </is>
      </c>
      <c r="D327" s="166" t="inlineStr">
        <is>
          <t>-</t>
        </is>
      </c>
      <c r="E327" s="166" t="n">
        <v>22</v>
      </c>
      <c r="F327" s="166" t="n"/>
      <c r="G327" s="166" t="inlineStr">
        <is>
          <t xml:space="preserve">C2 SVG </t>
        </is>
      </c>
      <c r="H327" s="166" t="n">
        <v>56</v>
      </c>
      <c r="I327" s="166" t="inlineStr">
        <is>
          <t>17.5 X 24</t>
        </is>
      </c>
      <c r="J327" s="166" t="n">
        <v>105</v>
      </c>
      <c r="K327" s="181" t="n"/>
      <c r="L327" s="25" t="n"/>
      <c r="M327" s="26" t="n">
        <v>0.4398148148148148</v>
      </c>
      <c r="N327" s="25" t="n"/>
      <c r="O327" s="27" t="n"/>
    </row>
    <row r="328" ht="15" customHeight="1">
      <c r="A328" s="186" t="n">
        <v>16</v>
      </c>
      <c r="B328" s="187" t="inlineStr">
        <is>
          <t>CKHD 3</t>
        </is>
      </c>
      <c r="C328" s="184" t="inlineStr">
        <is>
          <t>LVP</t>
        </is>
      </c>
      <c r="D328" s="180" t="inlineStr">
        <is>
          <t>Top</t>
        </is>
      </c>
      <c r="E328" s="180" t="n">
        <v>75</v>
      </c>
      <c r="F328" s="180" t="inlineStr">
        <is>
          <t>Single</t>
        </is>
      </c>
      <c r="G328" s="180" t="inlineStr">
        <is>
          <t>CKHD 3 LVP</t>
        </is>
      </c>
      <c r="H328" s="180" t="inlineStr">
        <is>
          <t>84 X 84</t>
        </is>
      </c>
      <c r="I328" s="180" t="inlineStr">
        <is>
          <t>23 X 23</t>
        </is>
      </c>
      <c r="J328" s="180" t="n">
        <v>36</v>
      </c>
      <c r="K328" s="181" t="n"/>
      <c r="L328" s="31" t="n"/>
      <c r="M328" s="32" t="n">
        <v>1.433962264150943</v>
      </c>
      <c r="N328" s="31" t="n"/>
      <c r="O328" s="33" t="n"/>
    </row>
    <row r="329" ht="15" customHeight="1">
      <c r="A329" s="232" t="n"/>
      <c r="B329" s="232" t="n"/>
      <c r="C329" s="235" t="n"/>
      <c r="D329" s="169" t="n"/>
      <c r="E329" s="169" t="n"/>
      <c r="F329" s="169" t="n"/>
      <c r="G329" s="169" t="n"/>
      <c r="H329" s="169" t="n"/>
      <c r="I329" s="169" t="n"/>
      <c r="J329" s="169" t="n"/>
      <c r="K329" s="171" t="n"/>
      <c r="L329" s="14" t="n"/>
      <c r="M329" s="15" t="e">
        <v>#N/A</v>
      </c>
      <c r="N329" s="14" t="n"/>
      <c r="O329" s="16" t="n"/>
    </row>
    <row r="330" ht="15.75" customHeight="1">
      <c r="A330" s="234" t="n"/>
      <c r="B330" s="234" t="n"/>
      <c r="C330" s="175" t="inlineStr">
        <is>
          <t>SVG</t>
        </is>
      </c>
      <c r="D330" s="166" t="inlineStr">
        <is>
          <t>-</t>
        </is>
      </c>
      <c r="E330" s="166" t="n">
        <v>22</v>
      </c>
      <c r="F330" s="166" t="inlineStr">
        <is>
          <t>Single</t>
        </is>
      </c>
      <c r="G330" s="166" t="inlineStr">
        <is>
          <t>CKHD 3 SVG</t>
        </is>
      </c>
      <c r="H330" s="166" t="inlineStr">
        <is>
          <t>95 X 95</t>
        </is>
      </c>
      <c r="I330" s="166" t="inlineStr">
        <is>
          <t xml:space="preserve">21 X 21 </t>
        </is>
      </c>
      <c r="J330" s="166" t="n">
        <v>25</v>
      </c>
      <c r="K330" s="181" t="n"/>
      <c r="L330" s="25" t="n"/>
      <c r="M330" s="26" t="n">
        <v>0.4398148148148148</v>
      </c>
      <c r="N330" s="25" t="n"/>
      <c r="O330" s="27" t="n"/>
    </row>
    <row r="331" ht="15" customHeight="1">
      <c r="A331" s="183" t="n">
        <v>4</v>
      </c>
      <c r="B331" s="178" t="inlineStr">
        <is>
          <t>CX 14</t>
        </is>
      </c>
      <c r="C331" s="184" t="inlineStr">
        <is>
          <t>LVP</t>
        </is>
      </c>
      <c r="D331" s="180" t="inlineStr">
        <is>
          <t>Top</t>
        </is>
      </c>
      <c r="E331" s="180" t="n">
        <v>60</v>
      </c>
      <c r="F331" s="185" t="n"/>
      <c r="G331" s="180" t="inlineStr">
        <is>
          <t>MPR 14 LVP</t>
        </is>
      </c>
      <c r="H331" s="180" t="inlineStr">
        <is>
          <t>75 X 115</t>
        </is>
      </c>
      <c r="I331" s="180" t="inlineStr">
        <is>
          <t>20 X 21</t>
        </is>
      </c>
      <c r="J331" s="180" t="n">
        <v>24</v>
      </c>
      <c r="K331" s="181" t="n"/>
      <c r="L331" s="31" t="n"/>
      <c r="M331" s="32" t="n">
        <v>1.103988603988604</v>
      </c>
      <c r="N331" s="31" t="n"/>
      <c r="O331" s="33" t="n"/>
    </row>
    <row r="332" ht="15" customHeight="1">
      <c r="A332" s="232" t="n"/>
      <c r="B332" s="232" t="n"/>
      <c r="C332" s="235" t="n"/>
      <c r="D332" s="169" t="inlineStr">
        <is>
          <t>Bottom</t>
        </is>
      </c>
      <c r="E332" s="169" t="n"/>
      <c r="F332" s="180" t="n"/>
      <c r="G332" s="169" t="n"/>
      <c r="H332" s="169" t="n"/>
      <c r="I332" s="169" t="n"/>
      <c r="J332" s="169" t="n"/>
      <c r="K332" s="171" t="n"/>
      <c r="L332" s="14" t="n"/>
      <c r="M332" s="15" t="e">
        <v>#N/A</v>
      </c>
      <c r="N332" s="14" t="n"/>
      <c r="O332" s="16" t="n"/>
    </row>
    <row r="333" ht="15.75" customHeight="1">
      <c r="A333" s="234" t="n"/>
      <c r="B333" s="234" t="n"/>
      <c r="C333" s="175" t="inlineStr">
        <is>
          <t>SVG</t>
        </is>
      </c>
      <c r="D333" s="166" t="inlineStr">
        <is>
          <t>-</t>
        </is>
      </c>
      <c r="E333" s="166" t="n">
        <v>22</v>
      </c>
      <c r="F333" s="166" t="n"/>
      <c r="G333" s="169" t="inlineStr">
        <is>
          <t>MPR 14 SVG</t>
        </is>
      </c>
      <c r="H333" s="169" t="inlineStr">
        <is>
          <t>87 X 127</t>
        </is>
      </c>
      <c r="I333" s="166" t="inlineStr">
        <is>
          <t>22 X 24</t>
        </is>
      </c>
      <c r="J333" s="166" t="n">
        <v>24</v>
      </c>
      <c r="K333" s="176" t="n"/>
      <c r="L333" s="25" t="n"/>
      <c r="M333" s="26" t="n">
        <v>0.4398148148148148</v>
      </c>
      <c r="N333" s="25" t="n"/>
      <c r="O333" s="27" t="n"/>
    </row>
    <row r="334" ht="15.75" customHeight="1">
      <c r="A334" s="183" t="n">
        <v>4</v>
      </c>
      <c r="B334" s="178" t="inlineStr">
        <is>
          <t>CKHD 6</t>
        </is>
      </c>
      <c r="C334" s="184" t="inlineStr">
        <is>
          <t>LVP</t>
        </is>
      </c>
      <c r="D334" s="180" t="inlineStr">
        <is>
          <t>Top</t>
        </is>
      </c>
      <c r="E334" s="180" t="n">
        <v>60</v>
      </c>
      <c r="F334" s="185" t="inlineStr">
        <is>
          <t>Single</t>
        </is>
      </c>
      <c r="G334" s="180" t="inlineStr">
        <is>
          <t>CKHD 6 LVP,
HK 6 LVP</t>
        </is>
      </c>
      <c r="H334" s="180" t="inlineStr">
        <is>
          <t>217 X 217</t>
        </is>
      </c>
      <c r="I334" s="180" t="inlineStr">
        <is>
          <t>18 X 18</t>
        </is>
      </c>
      <c r="J334" s="180" t="n">
        <v>4</v>
      </c>
      <c r="K334" s="181" t="n"/>
      <c r="L334" s="31" t="n"/>
      <c r="M334" s="32" t="n">
        <v>1.103988603988604</v>
      </c>
      <c r="N334" s="31" t="n"/>
      <c r="O334" s="33" t="n"/>
    </row>
    <row r="335" ht="15.75" customHeight="1">
      <c r="A335" s="232" t="n"/>
      <c r="B335" s="232" t="n"/>
      <c r="C335" s="235" t="n"/>
      <c r="D335" s="169" t="inlineStr">
        <is>
          <t>Bottom</t>
        </is>
      </c>
      <c r="E335" s="169" t="n">
        <v>40</v>
      </c>
      <c r="F335" s="185" t="inlineStr">
        <is>
          <t>Single</t>
        </is>
      </c>
      <c r="G335" s="180" t="inlineStr">
        <is>
          <t>CKHD 6 LVP,
HK 6 LVP</t>
        </is>
      </c>
      <c r="H335" s="180" t="inlineStr">
        <is>
          <t>217 X 217</t>
        </is>
      </c>
      <c r="I335" s="180" t="inlineStr">
        <is>
          <t>18 X 18</t>
        </is>
      </c>
      <c r="J335" s="180" t="n">
        <v>4</v>
      </c>
      <c r="K335" s="171" t="n"/>
      <c r="L335" s="14" t="n"/>
      <c r="M335" s="15" t="n">
        <v>0.6977821913273751</v>
      </c>
      <c r="N335" s="14" t="n"/>
      <c r="O335" s="16" t="n"/>
    </row>
    <row r="336" ht="15.75" customHeight="1">
      <c r="A336" s="234" t="n"/>
      <c r="B336" s="234" t="n"/>
      <c r="C336" s="175" t="inlineStr">
        <is>
          <t>SVG</t>
        </is>
      </c>
      <c r="D336" s="166" t="inlineStr">
        <is>
          <t>-</t>
        </is>
      </c>
      <c r="E336" s="166" t="n">
        <v>22</v>
      </c>
      <c r="F336" s="185" t="inlineStr">
        <is>
          <t>Single</t>
        </is>
      </c>
      <c r="G336" s="169" t="inlineStr">
        <is>
          <t>CKHD 6 SVG,
HK 6 SVG</t>
        </is>
      </c>
      <c r="H336" s="169" t="inlineStr">
        <is>
          <t>233 X 233</t>
        </is>
      </c>
      <c r="I336" s="166" t="inlineStr">
        <is>
          <t>19.5 X 19.5</t>
        </is>
      </c>
      <c r="J336" s="166" t="n">
        <v>4</v>
      </c>
      <c r="K336" s="176" t="n"/>
      <c r="L336" s="25" t="n"/>
      <c r="M336" s="26" t="n">
        <v>0.4398148148148148</v>
      </c>
      <c r="N336" s="25" t="n"/>
      <c r="O336" s="27" t="n"/>
    </row>
    <row r="337" ht="15.75" customHeight="1">
      <c r="A337" s="183" t="n">
        <v>4</v>
      </c>
      <c r="B337" s="178" t="inlineStr">
        <is>
          <t>CKHD 7</t>
        </is>
      </c>
      <c r="C337" s="184" t="inlineStr">
        <is>
          <t>LVP</t>
        </is>
      </c>
      <c r="D337" s="180" t="inlineStr">
        <is>
          <t>Top</t>
        </is>
      </c>
      <c r="E337" s="180" t="n">
        <v>60</v>
      </c>
      <c r="F337" s="185" t="inlineStr">
        <is>
          <t>Single</t>
        </is>
      </c>
      <c r="G337" s="180" t="inlineStr">
        <is>
          <t>CKHD 7 LVP</t>
        </is>
      </c>
      <c r="H337" s="180" t="inlineStr">
        <is>
          <t>280 X 280</t>
        </is>
      </c>
      <c r="I337" s="180" t="inlineStr">
        <is>
          <t>23 X 23</t>
        </is>
      </c>
      <c r="J337" s="180" t="n">
        <v>4</v>
      </c>
      <c r="K337" s="181" t="n"/>
      <c r="L337" s="31" t="n"/>
      <c r="M337" s="32" t="n">
        <v>1.103988603988604</v>
      </c>
      <c r="N337" s="31" t="n"/>
      <c r="O337" s="33" t="n"/>
    </row>
    <row r="338" ht="15.75" customHeight="1">
      <c r="A338" s="232" t="n"/>
      <c r="B338" s="232" t="n"/>
      <c r="C338" s="235" t="n"/>
      <c r="D338" s="169" t="inlineStr">
        <is>
          <t>Bottom</t>
        </is>
      </c>
      <c r="E338" s="169" t="n">
        <v>40</v>
      </c>
      <c r="F338" s="185" t="inlineStr">
        <is>
          <t>Single</t>
        </is>
      </c>
      <c r="G338" s="180" t="inlineStr">
        <is>
          <t>CKHD 7 LVP</t>
        </is>
      </c>
      <c r="H338" s="180" t="inlineStr">
        <is>
          <t>280 X 280</t>
        </is>
      </c>
      <c r="I338" s="180" t="inlineStr">
        <is>
          <t>23 X 23</t>
        </is>
      </c>
      <c r="J338" s="180" t="n">
        <v>4</v>
      </c>
      <c r="K338" s="171" t="n"/>
      <c r="L338" s="14" t="n"/>
      <c r="M338" s="15" t="n">
        <v>0.6977821913273751</v>
      </c>
      <c r="N338" s="14" t="n"/>
      <c r="O338" s="16" t="n"/>
    </row>
    <row r="339" ht="15.75" customHeight="1">
      <c r="A339" s="234" t="n"/>
      <c r="B339" s="234" t="n"/>
      <c r="C339" s="175" t="inlineStr">
        <is>
          <t>SVG</t>
        </is>
      </c>
      <c r="D339" s="166" t="inlineStr">
        <is>
          <t>-</t>
        </is>
      </c>
      <c r="E339" s="166" t="n">
        <v>22</v>
      </c>
      <c r="F339" s="185" t="inlineStr">
        <is>
          <t>Single</t>
        </is>
      </c>
      <c r="G339" s="180" t="inlineStr">
        <is>
          <t>CKHD 7 SVG</t>
        </is>
      </c>
      <c r="H339" s="180" t="inlineStr">
        <is>
          <t>297 X 297</t>
        </is>
      </c>
      <c r="I339" s="166" t="inlineStr">
        <is>
          <t>24.5 X 24.5</t>
        </is>
      </c>
      <c r="J339" s="166" t="n">
        <v>4</v>
      </c>
      <c r="K339" s="176" t="n"/>
      <c r="L339" s="25" t="n"/>
      <c r="M339" s="26" t="n">
        <v>0.4398148148148148</v>
      </c>
      <c r="N339" s="25" t="n"/>
      <c r="O339" s="27" t="n"/>
    </row>
    <row r="340" ht="15.75" customHeight="1">
      <c r="A340" s="183" t="n">
        <v>4</v>
      </c>
      <c r="B340" s="178" t="inlineStr">
        <is>
          <t>PR 1 Volga</t>
        </is>
      </c>
      <c r="C340" s="184" t="inlineStr">
        <is>
          <t>LVP</t>
        </is>
      </c>
      <c r="D340" s="180" t="inlineStr">
        <is>
          <t>Top</t>
        </is>
      </c>
      <c r="E340" s="180" t="n">
        <v>60</v>
      </c>
      <c r="F340" s="185" t="inlineStr">
        <is>
          <t>Passing</t>
        </is>
      </c>
      <c r="G340" s="180" t="inlineStr">
        <is>
          <t xml:space="preserve">PP 3 </t>
        </is>
      </c>
      <c r="H340" s="180" t="n">
        <v>50</v>
      </c>
      <c r="I340" s="180" t="inlineStr">
        <is>
          <t>16 X 16.5</t>
        </is>
      </c>
      <c r="J340" s="180" t="n">
        <v>56</v>
      </c>
      <c r="K340" s="181" t="n"/>
      <c r="L340" s="31" t="n"/>
      <c r="M340" s="32" t="n">
        <v>1.103988603988604</v>
      </c>
      <c r="N340" s="31" t="n"/>
      <c r="O340" s="153" t="n"/>
    </row>
    <row r="341" ht="15.75" customHeight="1">
      <c r="A341" s="232" t="n"/>
      <c r="B341" s="232" t="n"/>
      <c r="C341" s="235" t="n"/>
      <c r="D341" s="169" t="inlineStr">
        <is>
          <t>Bottom</t>
        </is>
      </c>
      <c r="E341" s="169" t="n"/>
      <c r="F341" s="185" t="n"/>
      <c r="G341" s="180" t="n"/>
      <c r="H341" s="180" t="n"/>
      <c r="I341" s="180" t="n"/>
      <c r="J341" s="180" t="n"/>
      <c r="K341" s="171" t="n"/>
      <c r="L341" s="14" t="n"/>
      <c r="M341" s="15" t="e">
        <v>#N/A</v>
      </c>
      <c r="N341" s="14" t="n"/>
      <c r="O341" s="16" t="n"/>
    </row>
    <row r="342" ht="15.75" customHeight="1">
      <c r="A342" s="234" t="n"/>
      <c r="B342" s="234" t="n"/>
      <c r="C342" s="175" t="inlineStr">
        <is>
          <t>SVG</t>
        </is>
      </c>
      <c r="D342" s="166" t="inlineStr">
        <is>
          <t>-</t>
        </is>
      </c>
      <c r="E342" s="166" t="n">
        <v>22</v>
      </c>
      <c r="F342" s="185" t="inlineStr">
        <is>
          <t>Single</t>
        </is>
      </c>
      <c r="G342" s="180" t="inlineStr">
        <is>
          <t>HK 1 SVG</t>
        </is>
      </c>
      <c r="H342" s="180" t="n">
        <v>57</v>
      </c>
      <c r="I342" s="166" t="inlineStr">
        <is>
          <t>22 X 22</t>
        </is>
      </c>
      <c r="J342" s="166" t="n">
        <v>64</v>
      </c>
      <c r="K342" s="176" t="n"/>
      <c r="L342" s="25" t="n"/>
      <c r="M342" s="26" t="n">
        <v>0.4398148148148148</v>
      </c>
      <c r="N342" s="25" t="n"/>
      <c r="O342" s="27" t="n"/>
    </row>
    <row r="343" ht="15.75" customHeight="1">
      <c r="A343" s="183" t="n">
        <v>5</v>
      </c>
      <c r="B343" s="178" t="inlineStr">
        <is>
          <t>PR 2 Volga</t>
        </is>
      </c>
      <c r="C343" s="184" t="inlineStr">
        <is>
          <t>LVP</t>
        </is>
      </c>
      <c r="D343" s="180" t="inlineStr">
        <is>
          <t>Top</t>
        </is>
      </c>
      <c r="E343" s="180" t="n">
        <v>50</v>
      </c>
      <c r="F343" s="185" t="inlineStr">
        <is>
          <t>Passing</t>
        </is>
      </c>
      <c r="G343" s="180" t="inlineStr">
        <is>
          <t>PRC CX 3 Sq FABRIC,
PRC RLR,
 T32 LVP</t>
        </is>
      </c>
      <c r="H343" s="180" t="n">
        <v>67</v>
      </c>
      <c r="I343" s="180" t="inlineStr">
        <is>
          <t>11.5 X 20.5</t>
        </is>
      </c>
      <c r="J343" s="180" t="n">
        <v>24</v>
      </c>
      <c r="K343" s="181" t="n">
        <v>9000</v>
      </c>
      <c r="L343" s="31">
        <f>K343/J343</f>
        <v/>
      </c>
      <c r="M343" s="32" t="n">
        <v>0.9182530795072789</v>
      </c>
      <c r="N343" s="31">
        <f>LEFT(I343,FIND("X",I343)-1)*RIGHT(I343,LEN(I343)-FIND("X",I343)-1)*M343</f>
        <v/>
      </c>
      <c r="O343" s="153">
        <f>(N343*L343)/1000</f>
        <v/>
      </c>
    </row>
    <row r="344" ht="15.75" customHeight="1">
      <c r="A344" s="232" t="n"/>
      <c r="B344" s="232" t="n"/>
      <c r="C344" s="235" t="n"/>
      <c r="D344" s="169" t="inlineStr">
        <is>
          <t>Bottom</t>
        </is>
      </c>
      <c r="E344" s="169" t="n"/>
      <c r="F344" s="185" t="n"/>
      <c r="G344" s="180" t="n"/>
      <c r="H344" s="180" t="n"/>
      <c r="I344" s="180" t="n"/>
      <c r="J344" s="180" t="n"/>
      <c r="K344" s="171" t="n"/>
      <c r="L344" s="14" t="n"/>
      <c r="M344" s="15" t="e">
        <v>#N/A</v>
      </c>
      <c r="N344" s="14" t="n"/>
      <c r="O344" s="16" t="n"/>
    </row>
    <row r="345" ht="15.75" customHeight="1">
      <c r="A345" s="234" t="n"/>
      <c r="B345" s="234" t="n"/>
      <c r="C345" s="175" t="inlineStr">
        <is>
          <t>SVG</t>
        </is>
      </c>
      <c r="D345" s="166" t="inlineStr">
        <is>
          <t>-</t>
        </is>
      </c>
      <c r="E345" s="166" t="n">
        <v>22</v>
      </c>
      <c r="F345" s="185" t="inlineStr">
        <is>
          <t>Single</t>
        </is>
      </c>
      <c r="G345" s="180" t="inlineStr">
        <is>
          <t>PR 2 SVG</t>
        </is>
      </c>
      <c r="H345" s="180" t="n">
        <v>76</v>
      </c>
      <c r="I345" s="166" t="inlineStr">
        <is>
          <t>21 X 21</t>
        </is>
      </c>
      <c r="J345" s="166" t="n">
        <v>36</v>
      </c>
      <c r="K345" s="176" t="n">
        <v>9000</v>
      </c>
      <c r="L345" s="25">
        <f>K345/J345</f>
        <v/>
      </c>
      <c r="M345" s="26" t="n">
        <v>0.4398148148148148</v>
      </c>
      <c r="N345" s="25">
        <f>LEFT(I345,FIND("X",I345)-1)*RIGHT(I345,LEN(I345)-FIND("X",I345)-1)*M345</f>
        <v/>
      </c>
      <c r="O345" s="27">
        <f>(N345*L345)/1000</f>
        <v/>
      </c>
    </row>
    <row r="346" ht="15.75" customHeight="1">
      <c r="A346" s="183" t="n">
        <v>6</v>
      </c>
      <c r="B346" s="178" t="inlineStr">
        <is>
          <t>Italmatic TL 120</t>
        </is>
      </c>
      <c r="C346" s="184" t="inlineStr">
        <is>
          <t>LVP</t>
        </is>
      </c>
      <c r="D346" s="180" t="inlineStr">
        <is>
          <t>Top</t>
        </is>
      </c>
      <c r="E346" s="180" t="n">
        <v>60</v>
      </c>
      <c r="F346" s="185" t="inlineStr">
        <is>
          <t>Passing</t>
        </is>
      </c>
      <c r="G346" s="180" t="inlineStr">
        <is>
          <t>Italmatic MCX 20 LVP</t>
        </is>
      </c>
      <c r="H346" s="180" t="inlineStr">
        <is>
          <t>68 X 113</t>
        </is>
      </c>
      <c r="I346" s="180" t="inlineStr">
        <is>
          <t>19 X 20</t>
        </is>
      </c>
      <c r="J346" s="180" t="n">
        <v>24</v>
      </c>
      <c r="K346" s="181" t="n"/>
      <c r="L346" s="31" t="n"/>
      <c r="M346" s="32" t="n">
        <v>1.103988603988604</v>
      </c>
      <c r="N346" s="31" t="n"/>
      <c r="O346" s="153" t="n"/>
    </row>
    <row r="347" ht="15.75" customHeight="1">
      <c r="A347" s="232" t="n"/>
      <c r="B347" s="232" t="n"/>
      <c r="C347" s="235" t="n"/>
      <c r="D347" s="169" t="inlineStr">
        <is>
          <t>Bottom</t>
        </is>
      </c>
      <c r="E347" s="169" t="n"/>
      <c r="F347" s="185" t="n"/>
      <c r="G347" s="180" t="n"/>
      <c r="H347" s="180" t="n"/>
      <c r="I347" s="180" t="n"/>
      <c r="J347" s="180" t="n"/>
      <c r="K347" s="171" t="n"/>
      <c r="L347" s="14" t="n"/>
      <c r="M347" s="15" t="e">
        <v>#N/A</v>
      </c>
      <c r="N347" s="14" t="n"/>
      <c r="O347" s="16" t="n"/>
    </row>
    <row r="348" ht="15.75" customHeight="1">
      <c r="A348" s="234" t="n"/>
      <c r="B348" s="234" t="n"/>
      <c r="C348" s="175" t="inlineStr">
        <is>
          <t>SVG</t>
        </is>
      </c>
      <c r="D348" s="166" t="inlineStr">
        <is>
          <t>-</t>
        </is>
      </c>
      <c r="E348" s="166" t="n">
        <v>22</v>
      </c>
      <c r="F348" s="185" t="inlineStr">
        <is>
          <t>Single</t>
        </is>
      </c>
      <c r="G348" s="180" t="inlineStr">
        <is>
          <t>Italmatic MCX 20 SVG</t>
        </is>
      </c>
      <c r="H348" s="180" t="inlineStr">
        <is>
          <t>78 X 123</t>
        </is>
      </c>
      <c r="I348" s="166" t="inlineStr">
        <is>
          <t>21.5 X 21.5</t>
        </is>
      </c>
      <c r="J348" s="166" t="n">
        <v>24</v>
      </c>
      <c r="K348" s="176" t="n"/>
      <c r="L348" s="25" t="n"/>
      <c r="M348" s="26" t="n">
        <v>0.4398148148148148</v>
      </c>
      <c r="N348" s="25" t="n"/>
      <c r="O348" s="27" t="n"/>
    </row>
    <row r="349" ht="15.75" customHeight="1">
      <c r="A349" s="183" t="n">
        <v>6</v>
      </c>
      <c r="B349" s="178" t="inlineStr">
        <is>
          <t>X pang 0</t>
        </is>
      </c>
      <c r="C349" s="184" t="inlineStr">
        <is>
          <t>LVP</t>
        </is>
      </c>
      <c r="D349" s="180" t="inlineStr">
        <is>
          <t>Top</t>
        </is>
      </c>
      <c r="E349" s="180" t="n">
        <v>50</v>
      </c>
      <c r="F349" s="185" t="n"/>
      <c r="G349" s="180" t="n"/>
      <c r="H349" s="180" t="n"/>
      <c r="I349" s="180" t="inlineStr">
        <is>
          <t>17 X 24</t>
        </is>
      </c>
      <c r="J349" s="180" t="n">
        <v>96</v>
      </c>
      <c r="K349" s="181" t="n"/>
      <c r="L349" s="31" t="n"/>
      <c r="M349" s="32" t="n">
        <v>0.9182530795072789</v>
      </c>
      <c r="N349" s="31" t="n"/>
      <c r="O349" s="153" t="n"/>
    </row>
    <row r="350" ht="15.75" customHeight="1">
      <c r="A350" s="232" t="n"/>
      <c r="B350" s="232" t="n"/>
      <c r="C350" s="235" t="n"/>
      <c r="D350" s="169" t="inlineStr">
        <is>
          <t>Bottom</t>
        </is>
      </c>
      <c r="E350" s="169" t="n"/>
      <c r="F350" s="185" t="n"/>
      <c r="G350" s="180" t="n"/>
      <c r="H350" s="180" t="n"/>
      <c r="I350" s="180" t="n"/>
      <c r="J350" s="180" t="n"/>
      <c r="K350" s="171" t="n"/>
      <c r="L350" s="14" t="n"/>
      <c r="M350" s="15" t="e">
        <v>#N/A</v>
      </c>
      <c r="N350" s="14" t="n"/>
      <c r="O350" s="16" t="n"/>
    </row>
    <row r="351" ht="15.75" customHeight="1">
      <c r="A351" s="234" t="n"/>
      <c r="B351" s="234" t="n"/>
      <c r="C351" s="175" t="inlineStr">
        <is>
          <t>SVG</t>
        </is>
      </c>
      <c r="D351" s="166" t="inlineStr">
        <is>
          <t>-</t>
        </is>
      </c>
      <c r="E351" s="166" t="n">
        <v>22</v>
      </c>
      <c r="F351" s="185" t="n"/>
      <c r="G351" s="180" t="n"/>
      <c r="H351" s="180" t="n"/>
      <c r="I351" s="166" t="inlineStr">
        <is>
          <t>16 X 16.5</t>
        </is>
      </c>
      <c r="J351" s="166" t="n">
        <v>56</v>
      </c>
      <c r="K351" s="176" t="n"/>
      <c r="L351" s="25" t="n"/>
      <c r="M351" s="26" t="n">
        <v>0.4398148148148148</v>
      </c>
      <c r="N351" s="25" t="n"/>
      <c r="O351" s="27" t="n"/>
    </row>
    <row r="352" ht="15.75" customHeight="1">
      <c r="A352" s="183" t="n">
        <v>6</v>
      </c>
      <c r="B352" s="178" t="inlineStr">
        <is>
          <t>Pang 1</t>
        </is>
      </c>
      <c r="C352" s="184" t="inlineStr">
        <is>
          <t>LVP</t>
        </is>
      </c>
      <c r="D352" s="180" t="inlineStr">
        <is>
          <t>Top</t>
        </is>
      </c>
      <c r="E352" s="180" t="n">
        <v>55</v>
      </c>
      <c r="F352" s="185" t="n"/>
      <c r="G352" s="180" t="inlineStr">
        <is>
          <t>Pang UP 2 LVP,
Chemblue UP 2</t>
        </is>
      </c>
      <c r="H352" s="180" t="n">
        <v>43</v>
      </c>
      <c r="I352" s="180" t="inlineStr">
        <is>
          <t>16 X 23.5</t>
        </is>
      </c>
      <c r="J352" s="180" t="n">
        <v>96</v>
      </c>
      <c r="K352" s="181" t="n"/>
      <c r="L352" s="31" t="n"/>
      <c r="M352" s="32" t="n">
        <v>1.042553191489362</v>
      </c>
      <c r="N352" s="31" t="n"/>
      <c r="O352" s="153" t="n"/>
    </row>
    <row r="353" ht="15.75" customHeight="1">
      <c r="A353" s="232" t="n"/>
      <c r="B353" s="232" t="n"/>
      <c r="C353" s="235" t="n"/>
      <c r="D353" s="169" t="inlineStr">
        <is>
          <t>Bottom</t>
        </is>
      </c>
      <c r="E353" s="169" t="n"/>
      <c r="F353" s="185" t="n"/>
      <c r="G353" s="180" t="n"/>
      <c r="H353" s="180" t="n"/>
      <c r="I353" s="180" t="n"/>
      <c r="J353" s="180" t="n"/>
      <c r="K353" s="171" t="n"/>
      <c r="L353" s="14" t="n"/>
      <c r="M353" s="15" t="e">
        <v>#N/A</v>
      </c>
      <c r="N353" s="14" t="n"/>
      <c r="O353" s="16" t="n"/>
    </row>
    <row r="354" ht="15.75" customHeight="1">
      <c r="A354" s="234" t="n"/>
      <c r="B354" s="234" t="n"/>
      <c r="C354" s="175" t="inlineStr">
        <is>
          <t>SVG</t>
        </is>
      </c>
      <c r="D354" s="166" t="inlineStr">
        <is>
          <t>-</t>
        </is>
      </c>
      <c r="E354" s="166" t="n">
        <v>25</v>
      </c>
      <c r="F354" s="185" t="n"/>
      <c r="G354" s="180" t="inlineStr">
        <is>
          <t>Pang 1 SVG,
Chemblue UP 2 SVG
Chemblue UP 3 LVP</t>
        </is>
      </c>
      <c r="H354" s="180" t="n">
        <v>53</v>
      </c>
      <c r="I354" s="166" t="inlineStr">
        <is>
          <t>17 X 23.5</t>
        </is>
      </c>
      <c r="J354" s="166" t="n">
        <v>70</v>
      </c>
      <c r="K354" s="176" t="n"/>
      <c r="L354" s="25" t="n"/>
      <c r="M354" s="26" t="n">
        <v>0.5128205128205128</v>
      </c>
      <c r="N354" s="25" t="n"/>
      <c r="O354" s="27" t="n"/>
    </row>
    <row r="355" ht="15.75" customHeight="1">
      <c r="A355" s="183" t="n">
        <v>6</v>
      </c>
      <c r="B355" s="178" t="inlineStr">
        <is>
          <t>Pang 2</t>
        </is>
      </c>
      <c r="C355" s="184" t="inlineStr">
        <is>
          <t>LVP</t>
        </is>
      </c>
      <c r="D355" s="180" t="inlineStr">
        <is>
          <t>Top</t>
        </is>
      </c>
      <c r="E355" s="180" t="n">
        <v>55</v>
      </c>
      <c r="F355" s="185" t="n"/>
      <c r="G355" s="180" t="inlineStr">
        <is>
          <t>Pang 1 SVG,
Chemblue UP 2 SVG
Chemblue UP 3 LVP</t>
        </is>
      </c>
      <c r="H355" s="180" t="n">
        <v>53</v>
      </c>
      <c r="I355" s="180" t="inlineStr">
        <is>
          <t>17 X 23.5</t>
        </is>
      </c>
      <c r="J355" s="180" t="n">
        <v>70</v>
      </c>
      <c r="K355" s="181" t="n"/>
      <c r="L355" s="31" t="n"/>
      <c r="M355" s="32" t="n">
        <v>1.042553191489362</v>
      </c>
      <c r="N355" s="31" t="n"/>
      <c r="O355" s="153" t="n"/>
    </row>
    <row r="356" ht="15.75" customHeight="1">
      <c r="A356" s="232" t="n"/>
      <c r="B356" s="232" t="n"/>
      <c r="C356" s="235" t="n"/>
      <c r="D356" s="169" t="inlineStr">
        <is>
          <t>Bottom</t>
        </is>
      </c>
      <c r="E356" s="169" t="n"/>
      <c r="F356" s="185" t="n"/>
      <c r="G356" s="180" t="n"/>
      <c r="H356" s="180" t="n"/>
      <c r="I356" s="180" t="n"/>
      <c r="J356" s="180" t="n"/>
      <c r="K356" s="171" t="n"/>
      <c r="L356" s="14" t="n"/>
      <c r="M356" s="15" t="e">
        <v>#N/A</v>
      </c>
      <c r="N356" s="14" t="n"/>
      <c r="O356" s="16" t="n"/>
    </row>
    <row r="357" ht="15.75" customHeight="1">
      <c r="A357" s="234" t="n"/>
      <c r="B357" s="234" t="n"/>
      <c r="C357" s="175" t="inlineStr">
        <is>
          <t>SVG</t>
        </is>
      </c>
      <c r="D357" s="166" t="inlineStr">
        <is>
          <t>-</t>
        </is>
      </c>
      <c r="E357" s="166" t="n">
        <v>25</v>
      </c>
      <c r="F357" s="185" t="n"/>
      <c r="G357" s="180" t="inlineStr">
        <is>
          <t>Pang 2 SVG,
Chemblue 3 SVG</t>
        </is>
      </c>
      <c r="H357" s="180" t="inlineStr">
        <is>
          <t>63 X 63</t>
        </is>
      </c>
      <c r="I357" s="166" t="inlineStr">
        <is>
          <t>19.5 X 22</t>
        </is>
      </c>
      <c r="J357" s="166" t="n">
        <v>56</v>
      </c>
      <c r="K357" s="176" t="n"/>
      <c r="L357" s="25" t="n"/>
      <c r="M357" s="26" t="n">
        <v>0.5128205128205128</v>
      </c>
      <c r="N357" s="25" t="n"/>
      <c r="O357" s="27" t="n"/>
    </row>
    <row r="358" ht="15" customHeight="1">
      <c r="A358" s="213" t="n"/>
      <c r="B358" s="214" t="n"/>
      <c r="C358" s="215" t="n"/>
      <c r="D358" s="17" t="n"/>
      <c r="E358" s="17" t="n"/>
      <c r="F358" s="17" t="n"/>
      <c r="G358" s="17" t="n"/>
      <c r="H358" s="17" t="n"/>
      <c r="I358" s="17" t="n"/>
      <c r="J358" s="17" t="n"/>
      <c r="K358" s="216" t="n"/>
      <c r="L358" s="90" t="n"/>
      <c r="M358" s="91" t="n"/>
      <c r="N358" s="90" t="n"/>
      <c r="O358" s="92" t="n"/>
    </row>
    <row r="359" ht="15" customHeight="1">
      <c r="A359" s="217" t="n"/>
      <c r="B359" s="215" t="n"/>
      <c r="C359" s="215" t="n"/>
      <c r="D359" s="17" t="n"/>
      <c r="E359" s="17" t="n"/>
      <c r="F359" s="17" t="n"/>
      <c r="G359" s="17" t="n"/>
      <c r="H359" s="17" t="n"/>
      <c r="I359" s="17" t="n"/>
      <c r="J359" s="17" t="n"/>
      <c r="K359" s="216" t="n"/>
      <c r="L359" s="90" t="n"/>
      <c r="M359" s="91" t="n"/>
      <c r="N359" s="90" t="n"/>
      <c r="O359" s="92" t="n"/>
    </row>
    <row r="360" ht="15.75" customHeight="1">
      <c r="A360" s="217" t="n"/>
      <c r="B360" s="215" t="n"/>
      <c r="C360" s="215" t="n"/>
      <c r="D360" s="17" t="n"/>
      <c r="E360" s="17" t="n"/>
      <c r="F360" s="17" t="n"/>
      <c r="G360" s="17" t="n"/>
      <c r="H360" s="17" t="n"/>
      <c r="I360" s="17" t="n"/>
      <c r="J360" s="17" t="n"/>
      <c r="K360" s="216" t="n"/>
      <c r="L360" s="90" t="n"/>
      <c r="M360" s="91" t="n"/>
      <c r="N360" s="90" t="n"/>
      <c r="O360" s="92" t="n"/>
    </row>
    <row r="361" ht="14.25" customHeight="1">
      <c r="A361" s="188" t="n"/>
      <c r="B361" s="236" t="n"/>
      <c r="C361" s="236" t="n"/>
      <c r="D361" s="236" t="n"/>
      <c r="E361" s="236" t="n"/>
      <c r="F361" s="236" t="n"/>
      <c r="G361" s="236" t="n"/>
      <c r="H361" s="236" t="n"/>
      <c r="I361" s="236" t="n"/>
      <c r="J361" s="236" t="n"/>
      <c r="K361" s="236" t="n"/>
      <c r="L361" s="236" t="n"/>
      <c r="M361" s="236" t="n"/>
      <c r="N361" s="236" t="n"/>
      <c r="O361" s="237" t="n"/>
    </row>
    <row r="362" ht="12.75" customHeight="1">
      <c r="A362" s="238" t="n"/>
      <c r="O362" s="239" t="n"/>
    </row>
    <row r="363" ht="13.5" customHeight="1">
      <c r="A363" s="240" t="n"/>
      <c r="B363" s="241" t="n"/>
      <c r="C363" s="241" t="n"/>
      <c r="D363" s="241" t="n"/>
      <c r="E363" s="241" t="n"/>
      <c r="F363" s="241" t="n"/>
      <c r="G363" s="241" t="n"/>
      <c r="H363" s="241" t="n"/>
      <c r="I363" s="241" t="n"/>
      <c r="J363" s="241" t="n"/>
      <c r="K363" s="241" t="n"/>
      <c r="L363" s="241" t="n"/>
      <c r="M363" s="241" t="n"/>
      <c r="N363" s="241" t="n"/>
      <c r="O363" s="242" t="n"/>
    </row>
    <row r="364" ht="15" customHeight="1">
      <c r="A364" s="197" t="n">
        <v>1</v>
      </c>
      <c r="B364" s="198" t="inlineStr">
        <is>
          <t>MSX 10</t>
        </is>
      </c>
      <c r="C364" s="179" t="inlineStr">
        <is>
          <t>LVP</t>
        </is>
      </c>
      <c r="D364" s="180" t="inlineStr">
        <is>
          <t>Top</t>
        </is>
      </c>
      <c r="E364" s="180" t="n">
        <v>90</v>
      </c>
      <c r="F364" s="180" t="inlineStr">
        <is>
          <t>Passing</t>
        </is>
      </c>
      <c r="G364" s="180" t="inlineStr">
        <is>
          <t>MSX 10 LVP</t>
        </is>
      </c>
      <c r="H364" s="180" t="inlineStr">
        <is>
          <t>36 X 55</t>
        </is>
      </c>
      <c r="I364" s="180" t="inlineStr">
        <is>
          <t>15 X 20.5</t>
        </is>
      </c>
      <c r="J364" s="180" t="n">
        <v>64</v>
      </c>
      <c r="K364" s="181" t="n"/>
      <c r="L364" s="31" t="n"/>
      <c r="M364" s="32" t="n">
        <v>1.605797101449275</v>
      </c>
      <c r="N364" s="31" t="n"/>
      <c r="O364" s="33" t="n"/>
    </row>
    <row r="365" ht="14.25" customHeight="1">
      <c r="A365" s="232" t="n"/>
      <c r="B365" s="232" t="n"/>
      <c r="C365" s="168" t="n"/>
      <c r="D365" s="169" t="inlineStr">
        <is>
          <t>Bottom</t>
        </is>
      </c>
      <c r="E365" s="169" t="n"/>
      <c r="F365" s="169" t="n"/>
      <c r="G365" s="169" t="n"/>
      <c r="H365" s="169" t="n"/>
      <c r="I365" s="169" t="n"/>
      <c r="J365" s="169" t="n"/>
      <c r="K365" s="181" t="n"/>
      <c r="L365" s="14" t="n"/>
      <c r="M365" s="15" t="e">
        <v>#N/A</v>
      </c>
      <c r="N365" s="14" t="n"/>
      <c r="O365" s="16" t="n"/>
    </row>
    <row r="366" ht="15.75" customHeight="1">
      <c r="A366" s="234" t="n"/>
      <c r="B366" s="234" t="n"/>
      <c r="C366" s="175" t="inlineStr">
        <is>
          <t>SCFG</t>
        </is>
      </c>
      <c r="D366" s="166" t="inlineStr">
        <is>
          <t>-</t>
        </is>
      </c>
      <c r="E366" s="166" t="n">
        <v>15</v>
      </c>
      <c r="F366" s="166" t="inlineStr">
        <is>
          <t>Single</t>
        </is>
      </c>
      <c r="G366" s="166" t="inlineStr">
        <is>
          <t>MSX 10 SCFG</t>
        </is>
      </c>
      <c r="H366" s="166" t="inlineStr">
        <is>
          <t>55 X 75</t>
        </is>
      </c>
      <c r="I366" s="166" t="inlineStr">
        <is>
          <t>22.5 X 23.5</t>
        </is>
      </c>
      <c r="J366" s="166" t="n">
        <v>48</v>
      </c>
      <c r="K366" s="181" t="n"/>
      <c r="L366" s="25" t="n"/>
      <c r="M366" s="26" t="n">
        <v>0.3381642512077295</v>
      </c>
      <c r="N366" s="25" t="n"/>
      <c r="O366" s="27" t="n"/>
    </row>
    <row r="367" ht="15" customHeight="1">
      <c r="A367" s="197" t="n">
        <v>2</v>
      </c>
      <c r="B367" s="198" t="inlineStr">
        <is>
          <t>MSX 12</t>
        </is>
      </c>
      <c r="C367" s="179" t="inlineStr">
        <is>
          <t>LVP</t>
        </is>
      </c>
      <c r="D367" s="180" t="inlineStr">
        <is>
          <t>Top</t>
        </is>
      </c>
      <c r="E367" s="180" t="n">
        <v>90</v>
      </c>
      <c r="F367" s="180" t="inlineStr">
        <is>
          <t>Passing</t>
        </is>
      </c>
      <c r="G367" s="180" t="inlineStr">
        <is>
          <t>MSX 12 LVP</t>
        </is>
      </c>
      <c r="H367" s="180" t="inlineStr">
        <is>
          <t>51 X 95</t>
        </is>
      </c>
      <c r="I367" s="180" t="inlineStr">
        <is>
          <t>20.5 X 21</t>
        </is>
      </c>
      <c r="J367" s="180" t="n">
        <v>45</v>
      </c>
      <c r="K367" s="181" t="n"/>
      <c r="L367" s="31" t="n"/>
      <c r="M367" s="32" t="n">
        <v>1.605797101449275</v>
      </c>
      <c r="N367" s="31" t="n"/>
      <c r="O367" s="33" t="n"/>
    </row>
    <row r="368" ht="15" customHeight="1">
      <c r="A368" s="232" t="n"/>
      <c r="B368" s="232" t="n"/>
      <c r="C368" s="168" t="n"/>
      <c r="D368" s="169" t="inlineStr">
        <is>
          <t>Bottom</t>
        </is>
      </c>
      <c r="E368" s="169" t="n"/>
      <c r="F368" s="169" t="n"/>
      <c r="G368" s="169" t="n"/>
      <c r="H368" s="169" t="n"/>
      <c r="I368" s="169" t="n"/>
      <c r="J368" s="169" t="n"/>
      <c r="K368" s="171" t="n"/>
      <c r="L368" s="14" t="n"/>
      <c r="M368" s="15" t="e">
        <v>#N/A</v>
      </c>
      <c r="N368" s="14" t="n"/>
      <c r="O368" s="16" t="n"/>
    </row>
    <row r="369" ht="15.75" customHeight="1">
      <c r="A369" s="234" t="n"/>
      <c r="B369" s="234" t="n"/>
      <c r="C369" s="175" t="inlineStr">
        <is>
          <t>SCFG</t>
        </is>
      </c>
      <c r="D369" s="166" t="inlineStr">
        <is>
          <t>-</t>
        </is>
      </c>
      <c r="E369" s="166" t="n">
        <v>15</v>
      </c>
      <c r="F369" s="166" t="inlineStr">
        <is>
          <t>Single</t>
        </is>
      </c>
      <c r="G369" s="166" t="inlineStr">
        <is>
          <t>MSX 12 SCFG</t>
        </is>
      </c>
      <c r="H369" s="166" t="inlineStr">
        <is>
          <t>66 X 110</t>
        </is>
      </c>
      <c r="I369" s="166" t="inlineStr">
        <is>
          <t>24 X 26</t>
        </is>
      </c>
      <c r="J369" s="166" t="n">
        <v>35</v>
      </c>
      <c r="K369" s="176" t="n"/>
      <c r="L369" s="25" t="n"/>
      <c r="M369" s="26" t="n">
        <v>0.3381642512077295</v>
      </c>
      <c r="N369" s="25" t="n"/>
      <c r="O369" s="27" t="n"/>
    </row>
    <row r="370" ht="15" customHeight="1">
      <c r="A370" s="197" t="n">
        <v>3</v>
      </c>
      <c r="B370" s="198" t="inlineStr">
        <is>
          <t>MSX 14</t>
        </is>
      </c>
      <c r="C370" s="179" t="inlineStr">
        <is>
          <t>LVP</t>
        </is>
      </c>
      <c r="D370" s="180" t="inlineStr">
        <is>
          <t>Top</t>
        </is>
      </c>
      <c r="E370" s="180" t="n">
        <v>90</v>
      </c>
      <c r="F370" s="180" t="inlineStr">
        <is>
          <t>Passing</t>
        </is>
      </c>
      <c r="G370" s="180" t="inlineStr">
        <is>
          <t>MSX 14 LVP</t>
        </is>
      </c>
      <c r="H370" s="180" t="inlineStr">
        <is>
          <t>62 X 115</t>
        </is>
      </c>
      <c r="I370" s="180" t="inlineStr">
        <is>
          <t>14 X 20</t>
        </is>
      </c>
      <c r="J370" s="180" t="n">
        <v>20</v>
      </c>
      <c r="K370" s="181" t="n"/>
      <c r="L370" s="31" t="n"/>
      <c r="M370" s="32" t="n">
        <v>1.605797101449275</v>
      </c>
      <c r="N370" s="31" t="n"/>
      <c r="O370" s="33" t="n"/>
    </row>
    <row r="371" ht="15" customHeight="1">
      <c r="A371" s="232" t="n"/>
      <c r="B371" s="232" t="n"/>
      <c r="C371" s="168" t="n"/>
      <c r="D371" s="169" t="inlineStr">
        <is>
          <t>Bottom</t>
        </is>
      </c>
      <c r="E371" s="169" t="n"/>
      <c r="F371" s="169" t="n"/>
      <c r="G371" s="169" t="n"/>
      <c r="H371" s="169" t="n"/>
      <c r="I371" s="169" t="n"/>
      <c r="J371" s="169" t="n"/>
      <c r="K371" s="171" t="n"/>
      <c r="L371" s="14" t="n"/>
      <c r="M371" s="15" t="e">
        <v>#N/A</v>
      </c>
      <c r="N371" s="14" t="n"/>
      <c r="O371" s="16" t="n"/>
    </row>
    <row r="372" ht="15.75" customHeight="1">
      <c r="A372" s="234" t="n"/>
      <c r="B372" s="234" t="n"/>
      <c r="C372" s="175" t="inlineStr">
        <is>
          <t>SCFG</t>
        </is>
      </c>
      <c r="D372" s="166" t="inlineStr">
        <is>
          <t>-</t>
        </is>
      </c>
      <c r="E372" s="166" t="n">
        <v>15</v>
      </c>
      <c r="F372" s="166" t="inlineStr">
        <is>
          <t>Single</t>
        </is>
      </c>
      <c r="G372" s="166" t="inlineStr">
        <is>
          <t>MSX 14 SCFG</t>
        </is>
      </c>
      <c r="H372" s="166" t="inlineStr">
        <is>
          <t>80 X 137</t>
        </is>
      </c>
      <c r="I372" s="166" t="inlineStr">
        <is>
          <t>24 X 25</t>
        </is>
      </c>
      <c r="J372" s="166" t="n">
        <v>24</v>
      </c>
      <c r="K372" s="176" t="n"/>
      <c r="L372" s="25" t="n"/>
      <c r="M372" s="26" t="n">
        <v>0.3381642512077295</v>
      </c>
      <c r="N372" s="25" t="n"/>
      <c r="O372" s="27" t="n"/>
    </row>
    <row r="373" ht="15" customHeight="1">
      <c r="A373" s="197" t="n">
        <v>4</v>
      </c>
      <c r="B373" s="198" t="inlineStr">
        <is>
          <t>MSX 15</t>
        </is>
      </c>
      <c r="C373" s="179" t="inlineStr">
        <is>
          <t>LVP</t>
        </is>
      </c>
      <c r="D373" s="180" t="inlineStr">
        <is>
          <t>Top</t>
        </is>
      </c>
      <c r="E373" s="180" t="n">
        <v>60</v>
      </c>
      <c r="F373" s="180" t="inlineStr">
        <is>
          <t>Passing</t>
        </is>
      </c>
      <c r="G373" s="180" t="inlineStr">
        <is>
          <t>MSX 15 LVP</t>
        </is>
      </c>
      <c r="H373" s="180" t="inlineStr">
        <is>
          <t>61 X 75</t>
        </is>
      </c>
      <c r="I373" s="180" t="inlineStr">
        <is>
          <t>19 X 23</t>
        </is>
      </c>
      <c r="J373" s="180" t="n">
        <v>49</v>
      </c>
      <c r="K373" s="181" t="n"/>
      <c r="L373" s="31" t="n"/>
      <c r="M373" s="32" t="n">
        <v>1.103988603988604</v>
      </c>
      <c r="N373" s="31" t="n"/>
      <c r="O373" s="33" t="n"/>
    </row>
    <row r="374" ht="15" customHeight="1">
      <c r="A374" s="232" t="n"/>
      <c r="B374" s="232" t="n"/>
      <c r="C374" s="168" t="n"/>
      <c r="D374" s="169" t="inlineStr">
        <is>
          <t>Bottom</t>
        </is>
      </c>
      <c r="E374" s="169" t="n"/>
      <c r="F374" s="169" t="n"/>
      <c r="G374" s="169" t="n"/>
      <c r="H374" s="169" t="n"/>
      <c r="I374" s="169" t="n"/>
      <c r="J374" s="169" t="n"/>
      <c r="K374" s="171" t="n"/>
      <c r="L374" s="14" t="n"/>
      <c r="M374" s="15" t="e">
        <v>#N/A</v>
      </c>
      <c r="N374" s="14" t="n"/>
      <c r="O374" s="16" t="n"/>
    </row>
    <row r="375" ht="15.75" customHeight="1">
      <c r="A375" s="234" t="n"/>
      <c r="B375" s="234" t="n"/>
      <c r="C375" s="175" t="inlineStr">
        <is>
          <t>SCFG</t>
        </is>
      </c>
      <c r="D375" s="166" t="inlineStr">
        <is>
          <t>-</t>
        </is>
      </c>
      <c r="E375" s="166" t="n">
        <v>15</v>
      </c>
      <c r="F375" s="166" t="inlineStr">
        <is>
          <t>Single</t>
        </is>
      </c>
      <c r="G375" s="166" t="inlineStr">
        <is>
          <t>MSX 15 SCFG</t>
        </is>
      </c>
      <c r="H375" s="166" t="inlineStr">
        <is>
          <t>75 X 89</t>
        </is>
      </c>
      <c r="I375" s="166" t="inlineStr">
        <is>
          <t>22 X 26</t>
        </is>
      </c>
      <c r="J375" s="166" t="n">
        <v>36</v>
      </c>
      <c r="K375" s="176" t="n"/>
      <c r="L375" s="25" t="n"/>
      <c r="M375" s="26" t="n">
        <v>0.3381642512077295</v>
      </c>
      <c r="N375" s="25" t="n"/>
      <c r="O375" s="27" t="n"/>
    </row>
    <row r="376" ht="15" customHeight="1">
      <c r="A376" s="197" t="n">
        <v>5</v>
      </c>
      <c r="B376" s="198" t="inlineStr">
        <is>
          <t>MSX 16</t>
        </is>
      </c>
      <c r="C376" s="179" t="inlineStr">
        <is>
          <t>LVP</t>
        </is>
      </c>
      <c r="D376" s="180" t="inlineStr">
        <is>
          <t>Top</t>
        </is>
      </c>
      <c r="E376" s="180" t="n">
        <v>90</v>
      </c>
      <c r="F376" s="180" t="inlineStr">
        <is>
          <t>Passing</t>
        </is>
      </c>
      <c r="G376" s="180" t="inlineStr">
        <is>
          <t>MSX 16 LVP</t>
        </is>
      </c>
      <c r="H376" s="180" t="inlineStr">
        <is>
          <t>51 X 95</t>
        </is>
      </c>
      <c r="I376" s="180" t="inlineStr">
        <is>
          <t>20.5 X 21</t>
        </is>
      </c>
      <c r="J376" s="180" t="n">
        <v>45</v>
      </c>
      <c r="K376" s="181" t="n"/>
      <c r="L376" s="31" t="n"/>
      <c r="M376" s="32" t="n">
        <v>1.605797101449275</v>
      </c>
      <c r="N376" s="31" t="n"/>
      <c r="O376" s="33" t="n"/>
    </row>
    <row r="377" ht="15" customHeight="1">
      <c r="A377" s="232" t="n"/>
      <c r="B377" s="232" t="n"/>
      <c r="C377" s="168" t="n"/>
      <c r="D377" s="169" t="inlineStr">
        <is>
          <t>Bottom</t>
        </is>
      </c>
      <c r="E377" s="169" t="n"/>
      <c r="F377" s="169" t="n"/>
      <c r="G377" s="169" t="n"/>
      <c r="H377" s="169" t="n"/>
      <c r="I377" s="169" t="n"/>
      <c r="J377" s="169" t="n"/>
      <c r="K377" s="171" t="n"/>
      <c r="L377" s="14" t="n"/>
      <c r="M377" s="15" t="e">
        <v>#N/A</v>
      </c>
      <c r="N377" s="14" t="n"/>
      <c r="O377" s="16" t="n"/>
    </row>
    <row r="378" ht="15.75" customHeight="1">
      <c r="A378" s="234" t="n"/>
      <c r="B378" s="234" t="n"/>
      <c r="C378" s="175" t="inlineStr">
        <is>
          <t>SCFG</t>
        </is>
      </c>
      <c r="D378" s="166" t="inlineStr">
        <is>
          <t>-</t>
        </is>
      </c>
      <c r="E378" s="166" t="n">
        <v>15</v>
      </c>
      <c r="F378" s="166" t="inlineStr">
        <is>
          <t>Single</t>
        </is>
      </c>
      <c r="G378" s="166" t="inlineStr">
        <is>
          <t>MSX 16 SCFG</t>
        </is>
      </c>
      <c r="H378" s="166" t="inlineStr">
        <is>
          <t>63 X 108</t>
        </is>
      </c>
      <c r="I378" s="166" t="inlineStr">
        <is>
          <t>23 X 25</t>
        </is>
      </c>
      <c r="J378" s="166" t="n">
        <v>35</v>
      </c>
      <c r="K378" s="176" t="n"/>
      <c r="L378" s="25" t="n"/>
      <c r="M378" s="26" t="n">
        <v>0.3381642512077295</v>
      </c>
      <c r="N378" s="25" t="n"/>
      <c r="O378" s="27" t="n"/>
    </row>
    <row r="379" ht="15" customHeight="1">
      <c r="A379" s="197" t="n">
        <v>6</v>
      </c>
      <c r="B379" s="198" t="inlineStr">
        <is>
          <t>MSX 20</t>
        </is>
      </c>
      <c r="C379" s="179" t="inlineStr">
        <is>
          <t>LVP</t>
        </is>
      </c>
      <c r="D379" s="180" t="inlineStr">
        <is>
          <t>Top</t>
        </is>
      </c>
      <c r="E379" s="180" t="n">
        <v>100</v>
      </c>
      <c r="F379" s="180" t="inlineStr">
        <is>
          <t>Passing</t>
        </is>
      </c>
      <c r="G379" s="180" t="inlineStr">
        <is>
          <t>MSX 20 LVP</t>
        </is>
      </c>
      <c r="H379" s="180" t="inlineStr">
        <is>
          <t>53 X 99</t>
        </is>
      </c>
      <c r="I379" s="180" t="inlineStr">
        <is>
          <t>14.5 X 21.5</t>
        </is>
      </c>
      <c r="J379" s="180" t="n">
        <v>30</v>
      </c>
      <c r="K379" s="181" t="n"/>
      <c r="L379" s="31" t="n"/>
      <c r="M379" s="32" t="n">
        <v>1.906191369606004</v>
      </c>
      <c r="N379" s="31" t="n"/>
      <c r="O379" s="33" t="n"/>
    </row>
    <row r="380" ht="15" customHeight="1">
      <c r="A380" s="232" t="n"/>
      <c r="B380" s="232" t="n"/>
      <c r="C380" s="168" t="n"/>
      <c r="D380" s="169" t="inlineStr">
        <is>
          <t>Bottom</t>
        </is>
      </c>
      <c r="E380" s="169" t="n"/>
      <c r="F380" s="169" t="n"/>
      <c r="G380" s="169" t="n"/>
      <c r="H380" s="169" t="n"/>
      <c r="I380" s="169" t="n"/>
      <c r="J380" s="169" t="n"/>
      <c r="K380" s="171" t="n"/>
      <c r="L380" s="14" t="n"/>
      <c r="M380" s="15" t="e">
        <v>#N/A</v>
      </c>
      <c r="N380" s="14" t="n"/>
      <c r="O380" s="16" t="n"/>
    </row>
    <row r="381" ht="15.75" customHeight="1">
      <c r="A381" s="234" t="n"/>
      <c r="B381" s="234" t="n"/>
      <c r="C381" s="175" t="inlineStr">
        <is>
          <t>SCFG</t>
        </is>
      </c>
      <c r="D381" s="166" t="inlineStr">
        <is>
          <t>-</t>
        </is>
      </c>
      <c r="E381" s="166" t="n">
        <v>15</v>
      </c>
      <c r="F381" s="166" t="inlineStr">
        <is>
          <t>Single</t>
        </is>
      </c>
      <c r="G381" s="166" t="inlineStr">
        <is>
          <t>MSX 20 SCFG</t>
        </is>
      </c>
      <c r="H381" s="166" t="inlineStr">
        <is>
          <t>71 X 117</t>
        </is>
      </c>
      <c r="I381" s="166" t="inlineStr">
        <is>
          <t>22 X 25</t>
        </is>
      </c>
      <c r="J381" s="166" t="n">
        <v>28</v>
      </c>
      <c r="K381" s="176" t="n"/>
      <c r="L381" s="25" t="n"/>
      <c r="M381" s="26" t="n">
        <v>0.3381642512077295</v>
      </c>
      <c r="N381" s="25" t="n"/>
      <c r="O381" s="27" t="n"/>
    </row>
    <row r="382" ht="15" customHeight="1">
      <c r="A382" s="197" t="n">
        <v>7</v>
      </c>
      <c r="B382" s="198" t="inlineStr">
        <is>
          <t>MSX 22</t>
        </is>
      </c>
      <c r="C382" s="184" t="inlineStr">
        <is>
          <t>LVP</t>
        </is>
      </c>
      <c r="D382" s="180" t="inlineStr">
        <is>
          <t>Top</t>
        </is>
      </c>
      <c r="E382" s="180" t="n">
        <v>40</v>
      </c>
      <c r="F382" s="180" t="inlineStr">
        <is>
          <t>Single</t>
        </is>
      </c>
      <c r="G382" s="180" t="inlineStr">
        <is>
          <t>MSX 22 LVP</t>
        </is>
      </c>
      <c r="H382" s="180" t="inlineStr">
        <is>
          <t>60 X 140</t>
        </is>
      </c>
      <c r="I382" s="180" t="inlineStr">
        <is>
          <t>20 X 24</t>
        </is>
      </c>
      <c r="J382" s="180" t="n">
        <v>28</v>
      </c>
      <c r="K382" s="181" t="n"/>
      <c r="L382" s="31" t="n"/>
      <c r="M382" s="32" t="n">
        <v>0.6977821913273751</v>
      </c>
      <c r="N382" s="31" t="n"/>
      <c r="O382" s="33" t="n"/>
    </row>
    <row r="383" ht="15" customHeight="1">
      <c r="A383" s="232" t="n"/>
      <c r="B383" s="232" t="n"/>
      <c r="C383" s="235" t="n"/>
      <c r="D383" s="169" t="inlineStr">
        <is>
          <t>Bottom</t>
        </is>
      </c>
      <c r="E383" s="169" t="n">
        <v>40</v>
      </c>
      <c r="F383" s="180" t="inlineStr">
        <is>
          <t>Single</t>
        </is>
      </c>
      <c r="G383" s="180" t="inlineStr">
        <is>
          <t>MSX 22 LVP</t>
        </is>
      </c>
      <c r="H383" s="180" t="inlineStr">
        <is>
          <t>60 X 140</t>
        </is>
      </c>
      <c r="I383" s="180" t="inlineStr">
        <is>
          <t>20 X 24</t>
        </is>
      </c>
      <c r="J383" s="180" t="n">
        <v>28</v>
      </c>
      <c r="K383" s="171" t="n"/>
      <c r="L383" s="14" t="n"/>
      <c r="M383" s="15" t="n">
        <v>0.6977821913273751</v>
      </c>
      <c r="N383" s="14" t="n"/>
      <c r="O383" s="16" t="n"/>
    </row>
    <row r="384" ht="15.75" customHeight="1">
      <c r="A384" s="234" t="n"/>
      <c r="B384" s="234" t="n"/>
      <c r="C384" s="175" t="inlineStr">
        <is>
          <t>SCFG</t>
        </is>
      </c>
      <c r="D384" s="166" t="inlineStr">
        <is>
          <t>-</t>
        </is>
      </c>
      <c r="E384" s="166" t="n">
        <v>15</v>
      </c>
      <c r="F384" s="166" t="inlineStr">
        <is>
          <t>Single</t>
        </is>
      </c>
      <c r="G384" s="166" t="inlineStr">
        <is>
          <t>MSX 22 SCFG</t>
        </is>
      </c>
      <c r="H384" s="166" t="inlineStr">
        <is>
          <t>80 X 160</t>
        </is>
      </c>
      <c r="I384" s="166" t="inlineStr">
        <is>
          <t>21 X 23.5</t>
        </is>
      </c>
      <c r="J384" s="166" t="n">
        <v>18</v>
      </c>
      <c r="K384" s="176" t="n"/>
      <c r="L384" s="25" t="n"/>
      <c r="M384" s="26" t="n">
        <v>0.3381642512077295</v>
      </c>
      <c r="N384" s="25" t="n"/>
      <c r="O384" s="27" t="n"/>
    </row>
    <row r="385" ht="15" customHeight="1">
      <c r="A385" s="197" t="n">
        <v>8</v>
      </c>
      <c r="B385" s="198" t="inlineStr">
        <is>
          <t>MSX 24</t>
        </is>
      </c>
      <c r="C385" s="184" t="inlineStr">
        <is>
          <t>LVP</t>
        </is>
      </c>
      <c r="D385" s="180" t="inlineStr">
        <is>
          <t>Top</t>
        </is>
      </c>
      <c r="E385" s="180" t="n">
        <v>40</v>
      </c>
      <c r="F385" s="180" t="inlineStr">
        <is>
          <t>Single</t>
        </is>
      </c>
      <c r="G385" s="180" t="inlineStr">
        <is>
          <t>MSX 24 LVP</t>
        </is>
      </c>
      <c r="H385" s="180" t="inlineStr">
        <is>
          <t>61 X 198</t>
        </is>
      </c>
      <c r="I385" s="180" t="inlineStr">
        <is>
          <t>20 X 25</t>
        </is>
      </c>
      <c r="J385" s="180" t="n">
        <v>21</v>
      </c>
      <c r="K385" s="181" t="n"/>
      <c r="L385" s="31" t="n"/>
      <c r="M385" s="32" t="n">
        <v>0.6977821913273751</v>
      </c>
      <c r="N385" s="31" t="n"/>
      <c r="O385" s="33" t="n"/>
    </row>
    <row r="386" ht="15" customHeight="1">
      <c r="A386" s="232" t="n"/>
      <c r="B386" s="232" t="n"/>
      <c r="C386" s="235" t="n"/>
      <c r="D386" s="169" t="inlineStr">
        <is>
          <t>Bottom</t>
        </is>
      </c>
      <c r="E386" s="169" t="n">
        <v>40</v>
      </c>
      <c r="F386" s="180" t="inlineStr">
        <is>
          <t>Single</t>
        </is>
      </c>
      <c r="G386" s="180" t="inlineStr">
        <is>
          <t>MSX 24 LVP</t>
        </is>
      </c>
      <c r="H386" s="180" t="inlineStr">
        <is>
          <t>61 X 198</t>
        </is>
      </c>
      <c r="I386" s="180" t="inlineStr">
        <is>
          <t>23 X 25</t>
        </is>
      </c>
      <c r="J386" s="180" t="n">
        <v>24</v>
      </c>
      <c r="K386" s="171" t="n"/>
      <c r="L386" s="14" t="n"/>
      <c r="M386" s="15" t="n">
        <v>0.6977821913273751</v>
      </c>
      <c r="N386" s="14" t="n"/>
      <c r="O386" s="16" t="n"/>
    </row>
    <row r="387" ht="15.75" customHeight="1">
      <c r="A387" s="234" t="n"/>
      <c r="B387" s="234" t="n"/>
      <c r="C387" s="175" t="inlineStr">
        <is>
          <t>SCFG</t>
        </is>
      </c>
      <c r="D387" s="166" t="inlineStr">
        <is>
          <t>-</t>
        </is>
      </c>
      <c r="E387" s="166" t="n">
        <v>15</v>
      </c>
      <c r="F387" s="166" t="inlineStr">
        <is>
          <t>Single</t>
        </is>
      </c>
      <c r="G387" s="166" t="inlineStr">
        <is>
          <t>MSX 24 SCFG</t>
        </is>
      </c>
      <c r="H387" s="166" t="inlineStr">
        <is>
          <t>78 X 221</t>
        </is>
      </c>
      <c r="I387" s="166" t="inlineStr">
        <is>
          <t>19 X 23</t>
        </is>
      </c>
      <c r="J387" s="166" t="n">
        <v>12</v>
      </c>
      <c r="K387" s="176" t="n"/>
      <c r="L387" s="25" t="n"/>
      <c r="M387" s="26" t="n">
        <v>0.3381642512077295</v>
      </c>
      <c r="N387" s="25" t="n"/>
      <c r="O387" s="27" t="n"/>
    </row>
    <row r="388" ht="15" customHeight="1">
      <c r="A388" s="197" t="n">
        <v>9</v>
      </c>
      <c r="B388" s="198" t="inlineStr">
        <is>
          <t>MSX 25</t>
        </is>
      </c>
      <c r="C388" s="184" t="inlineStr">
        <is>
          <t>LVP</t>
        </is>
      </c>
      <c r="D388" s="180" t="inlineStr">
        <is>
          <t>Top</t>
        </is>
      </c>
      <c r="E388" s="180" t="n">
        <v>40</v>
      </c>
      <c r="F388" s="180" t="inlineStr">
        <is>
          <t>Single</t>
        </is>
      </c>
      <c r="G388" s="180" t="inlineStr">
        <is>
          <t>MSX 25 TOP LVP</t>
        </is>
      </c>
      <c r="H388" s="180" t="inlineStr">
        <is>
          <t>90 X 108</t>
        </is>
      </c>
      <c r="I388" s="180" t="inlineStr">
        <is>
          <t>24 X 24</t>
        </is>
      </c>
      <c r="J388" s="180" t="n">
        <v>30</v>
      </c>
      <c r="K388" s="181" t="n"/>
      <c r="L388" s="31" t="n"/>
      <c r="M388" s="32" t="n">
        <v>0.6977821913273751</v>
      </c>
      <c r="N388" s="31" t="n"/>
      <c r="O388" s="33" t="n"/>
    </row>
    <row r="389" ht="15" customHeight="1">
      <c r="A389" s="232" t="n"/>
      <c r="B389" s="232" t="n"/>
      <c r="C389" s="235" t="n"/>
      <c r="D389" s="169" t="inlineStr">
        <is>
          <t>Bottom</t>
        </is>
      </c>
      <c r="E389" s="169" t="n">
        <v>40</v>
      </c>
      <c r="F389" s="180" t="inlineStr">
        <is>
          <t>Single</t>
        </is>
      </c>
      <c r="G389" s="169" t="inlineStr">
        <is>
          <t>MSX 25 BOT LVP</t>
        </is>
      </c>
      <c r="H389" s="169" t="inlineStr">
        <is>
          <t>100 X 118</t>
        </is>
      </c>
      <c r="I389" s="169" t="inlineStr">
        <is>
          <t>20.5 X 22</t>
        </is>
      </c>
      <c r="J389" s="169" t="n">
        <v>20</v>
      </c>
      <c r="K389" s="171" t="n"/>
      <c r="L389" s="14" t="n"/>
      <c r="M389" s="15" t="n">
        <v>0.6977821913273751</v>
      </c>
      <c r="N389" s="14" t="n"/>
      <c r="O389" s="16" t="n"/>
    </row>
    <row r="390" ht="15.75" customHeight="1">
      <c r="A390" s="234" t="n"/>
      <c r="B390" s="234" t="n"/>
      <c r="C390" s="175" t="inlineStr">
        <is>
          <t>SCFG</t>
        </is>
      </c>
      <c r="D390" s="166" t="inlineStr">
        <is>
          <t>-</t>
        </is>
      </c>
      <c r="E390" s="166" t="n">
        <v>15</v>
      </c>
      <c r="F390" s="166" t="inlineStr">
        <is>
          <t>Single</t>
        </is>
      </c>
      <c r="G390" s="166" t="inlineStr">
        <is>
          <t>MSX 25 SCFG</t>
        </is>
      </c>
      <c r="H390" s="166" t="inlineStr">
        <is>
          <t>116 X 136</t>
        </is>
      </c>
      <c r="I390" s="166" t="inlineStr">
        <is>
          <t>21.5 X 24.5</t>
        </is>
      </c>
      <c r="J390" s="166" t="n">
        <v>16</v>
      </c>
      <c r="K390" s="176" t="n"/>
      <c r="L390" s="25" t="n"/>
      <c r="M390" s="26" t="n">
        <v>0.3381642512077295</v>
      </c>
      <c r="N390" s="25" t="n"/>
      <c r="O390" s="27" t="n"/>
    </row>
    <row r="391" ht="15" customHeight="1">
      <c r="A391" s="197" t="n">
        <v>10</v>
      </c>
      <c r="B391" s="198" t="inlineStr">
        <is>
          <t>MSX 26</t>
        </is>
      </c>
      <c r="C391" s="184" t="inlineStr">
        <is>
          <t>LVP</t>
        </is>
      </c>
      <c r="D391" s="180" t="inlineStr">
        <is>
          <t>Top</t>
        </is>
      </c>
      <c r="E391" s="180" t="n">
        <v>40</v>
      </c>
      <c r="F391" s="180" t="inlineStr">
        <is>
          <t>Single</t>
        </is>
      </c>
      <c r="G391" s="180" t="inlineStr">
        <is>
          <t>MSX 26 LVP</t>
        </is>
      </c>
      <c r="H391" s="180" t="inlineStr">
        <is>
          <t>64 X 248</t>
        </is>
      </c>
      <c r="I391" s="180" t="inlineStr">
        <is>
          <t>21 X 24</t>
        </is>
      </c>
      <c r="J391" s="180" t="n">
        <v>16</v>
      </c>
      <c r="K391" s="181" t="n"/>
      <c r="L391" s="31" t="n"/>
      <c r="M391" s="32" t="n">
        <v>0.6977821913273751</v>
      </c>
      <c r="N391" s="31" t="n"/>
      <c r="O391" s="33" t="n"/>
    </row>
    <row r="392" ht="15" customHeight="1">
      <c r="A392" s="232" t="n"/>
      <c r="B392" s="232" t="n"/>
      <c r="C392" s="235" t="n"/>
      <c r="D392" s="169" t="inlineStr">
        <is>
          <t>Bottom</t>
        </is>
      </c>
      <c r="E392" s="169" t="n">
        <v>40</v>
      </c>
      <c r="F392" s="180" t="inlineStr">
        <is>
          <t>Single</t>
        </is>
      </c>
      <c r="G392" s="180" t="inlineStr">
        <is>
          <t>MSX 26 LVP</t>
        </is>
      </c>
      <c r="H392" s="180" t="inlineStr">
        <is>
          <t>64 X 248</t>
        </is>
      </c>
      <c r="I392" s="180" t="inlineStr">
        <is>
          <t>21 X 24</t>
        </is>
      </c>
      <c r="J392" s="180" t="n">
        <v>16</v>
      </c>
      <c r="K392" s="171" t="n"/>
      <c r="L392" s="14" t="n"/>
      <c r="M392" s="15" t="n">
        <v>0.6977821913273751</v>
      </c>
      <c r="N392" s="14" t="n"/>
      <c r="O392" s="16" t="n"/>
    </row>
    <row r="393" ht="15.75" customHeight="1">
      <c r="A393" s="234" t="n"/>
      <c r="B393" s="234" t="n"/>
      <c r="C393" s="175" t="inlineStr">
        <is>
          <t>SCFG</t>
        </is>
      </c>
      <c r="D393" s="166" t="inlineStr">
        <is>
          <t>-</t>
        </is>
      </c>
      <c r="E393" s="166" t="n">
        <v>15</v>
      </c>
      <c r="F393" s="166" t="inlineStr">
        <is>
          <t>Single</t>
        </is>
      </c>
      <c r="G393" s="166" t="inlineStr">
        <is>
          <t>MSX 26 SCFG</t>
        </is>
      </c>
      <c r="H393" s="166" t="inlineStr">
        <is>
          <t>85 X 270</t>
        </is>
      </c>
      <c r="I393" s="166" t="inlineStr">
        <is>
          <t>23 X 25</t>
        </is>
      </c>
      <c r="J393" s="166" t="n">
        <v>12</v>
      </c>
      <c r="K393" s="176" t="n"/>
      <c r="L393" s="25" t="n"/>
      <c r="M393" s="26" t="n">
        <v>0.3381642512077295</v>
      </c>
      <c r="N393" s="25" t="n"/>
      <c r="O393" s="27" t="n"/>
    </row>
    <row r="394" ht="15" customHeight="1">
      <c r="A394" s="197" t="n">
        <v>11</v>
      </c>
      <c r="B394" s="198" t="inlineStr">
        <is>
          <t>MSX 28</t>
        </is>
      </c>
      <c r="C394" s="184" t="inlineStr">
        <is>
          <t>LVP</t>
        </is>
      </c>
      <c r="D394" s="180" t="inlineStr">
        <is>
          <t>Top</t>
        </is>
      </c>
      <c r="E394" s="180" t="n">
        <v>40</v>
      </c>
      <c r="F394" s="180" t="inlineStr">
        <is>
          <t>Single</t>
        </is>
      </c>
      <c r="G394" s="180" t="inlineStr">
        <is>
          <t>MSX 28 LVP</t>
        </is>
      </c>
      <c r="H394" s="180" t="inlineStr">
        <is>
          <t>58 X 311</t>
        </is>
      </c>
      <c r="I394" s="180" t="inlineStr">
        <is>
          <t>22.5 X 25.5</t>
        </is>
      </c>
      <c r="J394" s="180" t="n">
        <v>16</v>
      </c>
      <c r="K394" s="181" t="n"/>
      <c r="L394" s="31" t="n"/>
      <c r="M394" s="32" t="n">
        <v>0.6977821913273751</v>
      </c>
      <c r="N394" s="31" t="n"/>
      <c r="O394" s="33" t="n"/>
    </row>
    <row r="395" ht="15" customHeight="1">
      <c r="A395" s="232" t="n"/>
      <c r="B395" s="232" t="n"/>
      <c r="C395" s="235" t="n"/>
      <c r="D395" s="169" t="inlineStr">
        <is>
          <t>Bottom</t>
        </is>
      </c>
      <c r="E395" s="169" t="n">
        <v>40</v>
      </c>
      <c r="F395" s="180" t="inlineStr">
        <is>
          <t>Single</t>
        </is>
      </c>
      <c r="G395" s="180" t="inlineStr">
        <is>
          <t>MSX 28 LVP</t>
        </is>
      </c>
      <c r="H395" s="180" t="inlineStr">
        <is>
          <t>58 X 311</t>
        </is>
      </c>
      <c r="I395" s="180" t="inlineStr">
        <is>
          <t>22.5 X 25.5</t>
        </is>
      </c>
      <c r="J395" s="180" t="n">
        <v>16</v>
      </c>
      <c r="K395" s="171" t="n"/>
      <c r="L395" s="14" t="n"/>
      <c r="M395" s="15" t="n">
        <v>0.6977821913273751</v>
      </c>
      <c r="N395" s="14" t="n"/>
      <c r="O395" s="16" t="n"/>
    </row>
    <row r="396" ht="15.75" customHeight="1">
      <c r="A396" s="234" t="n"/>
      <c r="B396" s="234" t="n"/>
      <c r="C396" s="175" t="inlineStr">
        <is>
          <t>SCFG</t>
        </is>
      </c>
      <c r="D396" s="166" t="inlineStr">
        <is>
          <t>-</t>
        </is>
      </c>
      <c r="E396" s="166" t="n">
        <v>15</v>
      </c>
      <c r="F396" s="166" t="inlineStr">
        <is>
          <t>Single</t>
        </is>
      </c>
      <c r="G396" s="166" t="inlineStr">
        <is>
          <t>MSX 28 SCFG</t>
        </is>
      </c>
      <c r="H396" s="166" t="inlineStr">
        <is>
          <t>74 X 333</t>
        </is>
      </c>
      <c r="I396" s="166" t="inlineStr">
        <is>
          <t>18.5 X 69.5</t>
        </is>
      </c>
      <c r="J396" s="166" t="n">
        <v>25</v>
      </c>
      <c r="K396" s="176" t="n"/>
      <c r="L396" s="25" t="n"/>
      <c r="M396" s="26" t="n">
        <v>0.3381642512077295</v>
      </c>
      <c r="N396" s="25" t="n"/>
      <c r="O396" s="27" t="n"/>
    </row>
    <row r="397" ht="15" customHeight="1">
      <c r="A397" s="197" t="n">
        <v>12</v>
      </c>
      <c r="B397" s="198" t="inlineStr">
        <is>
          <t>MSX 33</t>
        </is>
      </c>
      <c r="C397" s="184" t="inlineStr">
        <is>
          <t>LVP</t>
        </is>
      </c>
      <c r="D397" s="180" t="inlineStr">
        <is>
          <t>Top</t>
        </is>
      </c>
      <c r="E397" s="180" t="n">
        <v>40</v>
      </c>
      <c r="F397" s="180" t="inlineStr">
        <is>
          <t>Single</t>
        </is>
      </c>
      <c r="G397" s="180" t="inlineStr">
        <is>
          <t>MSX 33 LVP</t>
        </is>
      </c>
      <c r="H397" s="180" t="inlineStr">
        <is>
          <t>80 X 110</t>
        </is>
      </c>
      <c r="I397" s="180" t="inlineStr">
        <is>
          <t>22 X 24</t>
        </is>
      </c>
      <c r="J397" s="180" t="n">
        <v>30</v>
      </c>
      <c r="K397" s="181" t="n"/>
      <c r="L397" s="31" t="n"/>
      <c r="M397" s="32" t="n">
        <v>0.6977821913273751</v>
      </c>
      <c r="N397" s="31" t="n"/>
      <c r="O397" s="33" t="n"/>
    </row>
    <row r="398" ht="15" customHeight="1">
      <c r="A398" s="232" t="n"/>
      <c r="B398" s="232" t="n"/>
      <c r="C398" s="235" t="n"/>
      <c r="D398" s="169" t="inlineStr">
        <is>
          <t>Bottom</t>
        </is>
      </c>
      <c r="E398" s="169" t="n">
        <v>40</v>
      </c>
      <c r="F398" s="180" t="inlineStr">
        <is>
          <t>Single</t>
        </is>
      </c>
      <c r="G398" s="180" t="inlineStr">
        <is>
          <t>MSX 33 LVP</t>
        </is>
      </c>
      <c r="H398" s="180" t="inlineStr">
        <is>
          <t>80 X 110</t>
        </is>
      </c>
      <c r="I398" s="180" t="inlineStr">
        <is>
          <t>22 X 24</t>
        </is>
      </c>
      <c r="J398" s="180" t="n">
        <v>30</v>
      </c>
      <c r="K398" s="171" t="n"/>
      <c r="L398" s="14" t="n"/>
      <c r="M398" s="15" t="n">
        <v>0.6977821913273751</v>
      </c>
      <c r="N398" s="14" t="n"/>
      <c r="O398" s="16" t="n"/>
    </row>
    <row r="399" ht="15.75" customHeight="1">
      <c r="A399" s="234" t="n"/>
      <c r="B399" s="234" t="n"/>
      <c r="C399" s="175" t="inlineStr">
        <is>
          <t>SCFG</t>
        </is>
      </c>
      <c r="D399" s="166" t="inlineStr">
        <is>
          <t>-</t>
        </is>
      </c>
      <c r="E399" s="166" t="n">
        <v>15</v>
      </c>
      <c r="F399" s="166" t="inlineStr">
        <is>
          <t>Single</t>
        </is>
      </c>
      <c r="G399" s="166" t="inlineStr">
        <is>
          <t>MSX 33 SCFG</t>
        </is>
      </c>
      <c r="H399" s="166" t="inlineStr">
        <is>
          <t>100 X 130</t>
        </is>
      </c>
      <c r="I399" s="166" t="inlineStr">
        <is>
          <t>23.5 X 29.5</t>
        </is>
      </c>
      <c r="J399" s="166" t="n">
        <v>25</v>
      </c>
      <c r="K399" s="176" t="n"/>
      <c r="L399" s="25" t="n"/>
      <c r="M399" s="26" t="n">
        <v>0.3381642512077295</v>
      </c>
      <c r="N399" s="25" t="n"/>
      <c r="O399" s="27" t="n"/>
    </row>
    <row r="400" ht="15" customHeight="1">
      <c r="A400" s="197" t="n">
        <v>13</v>
      </c>
      <c r="B400" s="198" t="inlineStr">
        <is>
          <t>MSX 35</t>
        </is>
      </c>
      <c r="C400" s="184" t="inlineStr">
        <is>
          <t>LVP</t>
        </is>
      </c>
      <c r="D400" s="180" t="inlineStr">
        <is>
          <t>Top</t>
        </is>
      </c>
      <c r="E400" s="180" t="n">
        <v>40</v>
      </c>
      <c r="F400" s="180" t="inlineStr">
        <is>
          <t>Single</t>
        </is>
      </c>
      <c r="G400" s="180" t="inlineStr">
        <is>
          <t>MSX 35 TOP LVP</t>
        </is>
      </c>
      <c r="H400" s="180" t="inlineStr">
        <is>
          <t>94 X 145</t>
        </is>
      </c>
      <c r="I400" s="180" t="inlineStr">
        <is>
          <t>21 X 25</t>
        </is>
      </c>
      <c r="J400" s="180" t="n">
        <v>20</v>
      </c>
      <c r="K400" s="181" t="n"/>
      <c r="L400" s="31" t="n"/>
      <c r="M400" s="32" t="n">
        <v>0.6977821913273751</v>
      </c>
      <c r="N400" s="31" t="n"/>
      <c r="O400" s="33" t="n"/>
    </row>
    <row r="401" ht="15" customHeight="1">
      <c r="A401" s="232" t="n"/>
      <c r="B401" s="232" t="n"/>
      <c r="C401" s="235" t="n"/>
      <c r="D401" s="169" t="inlineStr">
        <is>
          <t>Bottom</t>
        </is>
      </c>
      <c r="E401" s="169" t="n">
        <v>40</v>
      </c>
      <c r="F401" s="180" t="inlineStr">
        <is>
          <t>Single</t>
        </is>
      </c>
      <c r="G401" s="169" t="inlineStr">
        <is>
          <t>MSX 35 BOT LVP</t>
        </is>
      </c>
      <c r="H401" s="169" t="inlineStr">
        <is>
          <t>104 X 154</t>
        </is>
      </c>
      <c r="I401" s="169" t="inlineStr">
        <is>
          <t>20 X 23</t>
        </is>
      </c>
      <c r="J401" s="169" t="n">
        <v>15</v>
      </c>
      <c r="K401" s="171" t="n"/>
      <c r="L401" s="14" t="n"/>
      <c r="M401" s="15" t="n">
        <v>0.6977821913273751</v>
      </c>
      <c r="N401" s="14" t="n"/>
      <c r="O401" s="16" t="n"/>
    </row>
    <row r="402" ht="15.75" customHeight="1">
      <c r="A402" s="234" t="n"/>
      <c r="B402" s="234" t="n"/>
      <c r="C402" s="175" t="inlineStr">
        <is>
          <t>SCFG</t>
        </is>
      </c>
      <c r="D402" s="166" t="inlineStr">
        <is>
          <t>-</t>
        </is>
      </c>
      <c r="E402" s="166" t="n">
        <v>15</v>
      </c>
      <c r="F402" s="166" t="inlineStr">
        <is>
          <t>Single</t>
        </is>
      </c>
      <c r="G402" s="166" t="inlineStr">
        <is>
          <t>MSX 35 SCFG</t>
        </is>
      </c>
      <c r="H402" s="166" t="inlineStr">
        <is>
          <t>122 X 175</t>
        </is>
      </c>
      <c r="I402" s="166" t="inlineStr">
        <is>
          <t>28 X 38.5</t>
        </is>
      </c>
      <c r="J402" s="166" t="n">
        <v>25</v>
      </c>
      <c r="K402" s="176" t="n"/>
      <c r="L402" s="25" t="n"/>
      <c r="M402" s="26" t="n">
        <v>0.3381642512077295</v>
      </c>
      <c r="N402" s="25" t="n"/>
      <c r="O402" s="27" t="n"/>
    </row>
    <row r="403" ht="15" customHeight="1">
      <c r="A403" s="197" t="n">
        <v>14</v>
      </c>
      <c r="B403" s="198" t="inlineStr">
        <is>
          <t>MSX 40</t>
        </is>
      </c>
      <c r="C403" s="184" t="inlineStr">
        <is>
          <t>LVP</t>
        </is>
      </c>
      <c r="D403" s="180" t="inlineStr">
        <is>
          <t>Top</t>
        </is>
      </c>
      <c r="E403" s="180" t="n">
        <v>60</v>
      </c>
      <c r="F403" s="180" t="inlineStr">
        <is>
          <t>Single</t>
        </is>
      </c>
      <c r="G403" s="180" t="inlineStr">
        <is>
          <t>MSX 40 TOP LVP</t>
        </is>
      </c>
      <c r="H403" s="180" t="inlineStr">
        <is>
          <t>76 X 168</t>
        </is>
      </c>
      <c r="I403" s="180" t="inlineStr">
        <is>
          <t>21 X 24</t>
        </is>
      </c>
      <c r="J403" s="180" t="n">
        <v>21</v>
      </c>
      <c r="K403" s="181" t="n"/>
      <c r="L403" s="31" t="n"/>
      <c r="M403" s="32" t="n">
        <v>1.103988603988604</v>
      </c>
      <c r="N403" s="31" t="n"/>
      <c r="O403" s="33" t="n"/>
    </row>
    <row r="404" ht="15" customHeight="1">
      <c r="A404" s="232" t="n"/>
      <c r="B404" s="232" t="n"/>
      <c r="C404" s="235" t="n"/>
      <c r="D404" s="169" t="inlineStr">
        <is>
          <t>Bottom</t>
        </is>
      </c>
      <c r="E404" s="169" t="n">
        <v>40</v>
      </c>
      <c r="F404" s="180" t="inlineStr">
        <is>
          <t>Single</t>
        </is>
      </c>
      <c r="G404" s="169" t="inlineStr">
        <is>
          <t>MSX 40 BOT LVP</t>
        </is>
      </c>
      <c r="H404" s="169" t="inlineStr">
        <is>
          <t>88 X 178</t>
        </is>
      </c>
      <c r="I404" s="169" t="inlineStr">
        <is>
          <t>20 X 23</t>
        </is>
      </c>
      <c r="J404" s="169" t="n">
        <v>15</v>
      </c>
      <c r="K404" s="171" t="n"/>
      <c r="L404" s="14" t="n"/>
      <c r="M404" s="15" t="n">
        <v>0.6977821913273751</v>
      </c>
      <c r="N404" s="14" t="n"/>
      <c r="O404" s="16" t="n"/>
    </row>
    <row r="405" ht="15.75" customHeight="1">
      <c r="A405" s="234" t="n"/>
      <c r="B405" s="234" t="n"/>
      <c r="C405" s="175" t="inlineStr">
        <is>
          <t>SCFG</t>
        </is>
      </c>
      <c r="D405" s="166" t="inlineStr">
        <is>
          <t>-</t>
        </is>
      </c>
      <c r="E405" s="166" t="n">
        <v>15</v>
      </c>
      <c r="F405" s="166" t="inlineStr">
        <is>
          <t>Single</t>
        </is>
      </c>
      <c r="G405" s="166" t="inlineStr">
        <is>
          <t>MSX 40 SCFG</t>
        </is>
      </c>
      <c r="H405" s="166" t="inlineStr">
        <is>
          <t>110 X 198</t>
        </is>
      </c>
      <c r="I405" s="166" t="inlineStr">
        <is>
          <t>25.5 X 43</t>
        </is>
      </c>
      <c r="J405" s="166" t="n">
        <v>25</v>
      </c>
      <c r="K405" s="176" t="n"/>
      <c r="L405" s="25" t="n"/>
      <c r="M405" s="26" t="n">
        <v>0.3381642512077295</v>
      </c>
      <c r="N405" s="25" t="n"/>
      <c r="O405" s="27" t="n"/>
    </row>
    <row r="406" ht="15" customHeight="1">
      <c r="A406" s="197" t="n">
        <v>15</v>
      </c>
      <c r="B406" s="198" t="inlineStr">
        <is>
          <t>MSX 42</t>
        </is>
      </c>
      <c r="C406" s="184" t="inlineStr">
        <is>
          <t>LVP</t>
        </is>
      </c>
      <c r="D406" s="180" t="inlineStr">
        <is>
          <t>Top</t>
        </is>
      </c>
      <c r="E406" s="180" t="n">
        <v>60</v>
      </c>
      <c r="F406" s="180" t="inlineStr">
        <is>
          <t>Single</t>
        </is>
      </c>
      <c r="G406" s="180" t="inlineStr">
        <is>
          <t>MSX 42 TOP LVP</t>
        </is>
      </c>
      <c r="H406" s="180" t="inlineStr">
        <is>
          <t>100 X 230</t>
        </is>
      </c>
      <c r="I406" s="180" t="inlineStr">
        <is>
          <t>19 X 22</t>
        </is>
      </c>
      <c r="J406" s="180" t="n">
        <v>10</v>
      </c>
      <c r="K406" s="181" t="n"/>
      <c r="L406" s="31" t="n"/>
      <c r="M406" s="32" t="n">
        <v>1.103988603988604</v>
      </c>
      <c r="N406" s="31" t="n"/>
      <c r="O406" s="33" t="n"/>
    </row>
    <row r="407" ht="15" customHeight="1">
      <c r="A407" s="232" t="n"/>
      <c r="B407" s="232" t="n"/>
      <c r="C407" s="235" t="n"/>
      <c r="D407" s="169" t="inlineStr">
        <is>
          <t>Bottom</t>
        </is>
      </c>
      <c r="E407" s="169" t="n">
        <v>40</v>
      </c>
      <c r="F407" s="180" t="inlineStr">
        <is>
          <t>Single</t>
        </is>
      </c>
      <c r="G407" s="169" t="inlineStr">
        <is>
          <t>MSX 42 BOT LVP</t>
        </is>
      </c>
      <c r="H407" s="169" t="inlineStr">
        <is>
          <t>108 X 240</t>
        </is>
      </c>
      <c r="I407" s="169" t="inlineStr">
        <is>
          <t>20 X 24</t>
        </is>
      </c>
      <c r="J407" s="169" t="n">
        <v>10</v>
      </c>
      <c r="K407" s="171" t="n"/>
      <c r="L407" s="14" t="n"/>
      <c r="M407" s="15" t="n">
        <v>0.6977821913273751</v>
      </c>
      <c r="N407" s="14" t="n"/>
      <c r="O407" s="16" t="n"/>
    </row>
    <row r="408" ht="15.75" customHeight="1">
      <c r="A408" s="234" t="n"/>
      <c r="B408" s="234" t="n"/>
      <c r="C408" s="175" t="inlineStr">
        <is>
          <t>SCFG</t>
        </is>
      </c>
      <c r="D408" s="166" t="inlineStr">
        <is>
          <t>-</t>
        </is>
      </c>
      <c r="E408" s="166" t="n">
        <v>15</v>
      </c>
      <c r="F408" s="166" t="inlineStr">
        <is>
          <t>Single</t>
        </is>
      </c>
      <c r="G408" s="166" t="inlineStr">
        <is>
          <t>MSX 42 SCFG</t>
        </is>
      </c>
      <c r="H408" s="166" t="inlineStr">
        <is>
          <t>126 X 260</t>
        </is>
      </c>
      <c r="I408" s="166" t="inlineStr">
        <is>
          <t>29 X 55</t>
        </is>
      </c>
      <c r="J408" s="166" t="n">
        <v>25</v>
      </c>
      <c r="K408" s="176" t="n"/>
      <c r="L408" s="25" t="n"/>
      <c r="M408" s="26" t="n">
        <v>0.3381642512077295</v>
      </c>
      <c r="N408" s="25" t="n"/>
      <c r="O408" s="27" t="n"/>
    </row>
    <row r="409" ht="15" customHeight="1">
      <c r="A409" s="197" t="n">
        <v>16</v>
      </c>
      <c r="B409" s="198" t="inlineStr">
        <is>
          <t>MSX 44</t>
        </is>
      </c>
      <c r="C409" s="184" t="inlineStr">
        <is>
          <t>LVP</t>
        </is>
      </c>
      <c r="D409" s="180" t="inlineStr">
        <is>
          <t>Top</t>
        </is>
      </c>
      <c r="E409" s="180" t="n">
        <v>60</v>
      </c>
      <c r="F409" s="180" t="inlineStr">
        <is>
          <t>Single</t>
        </is>
      </c>
      <c r="G409" s="180" t="inlineStr">
        <is>
          <t>MSX 44 TOP LVP</t>
        </is>
      </c>
      <c r="H409" s="180" t="inlineStr">
        <is>
          <t>100 X 108</t>
        </is>
      </c>
      <c r="I409" s="180" t="inlineStr">
        <is>
          <t>18 X 24</t>
        </is>
      </c>
      <c r="J409" s="180" t="n">
        <v>20</v>
      </c>
      <c r="K409" s="181" t="n"/>
      <c r="L409" s="31" t="n"/>
      <c r="M409" s="32" t="n">
        <v>1.103988603988604</v>
      </c>
      <c r="N409" s="31" t="n"/>
      <c r="O409" s="33" t="n"/>
    </row>
    <row r="410" ht="15" customHeight="1">
      <c r="A410" s="232" t="n"/>
      <c r="B410" s="232" t="n"/>
      <c r="C410" s="235" t="n"/>
      <c r="D410" s="169" t="inlineStr">
        <is>
          <t>Bottom</t>
        </is>
      </c>
      <c r="E410" s="169" t="n">
        <v>40</v>
      </c>
      <c r="F410" s="180" t="inlineStr">
        <is>
          <t>Single</t>
        </is>
      </c>
      <c r="G410" s="169" t="inlineStr">
        <is>
          <t>MSX 44 BOT LVP</t>
        </is>
      </c>
      <c r="H410" s="169" t="inlineStr">
        <is>
          <t>110 X 320</t>
        </is>
      </c>
      <c r="I410" s="169" t="inlineStr">
        <is>
          <t>24 X 26</t>
        </is>
      </c>
      <c r="J410" s="169" t="n">
        <v>10</v>
      </c>
      <c r="K410" s="171" t="n"/>
      <c r="L410" s="14" t="n"/>
      <c r="M410" s="15" t="n">
        <v>0.6977821913273751</v>
      </c>
      <c r="N410" s="14" t="n"/>
      <c r="O410" s="16" t="n"/>
    </row>
    <row r="411" ht="15.75" customHeight="1">
      <c r="A411" s="234" t="n"/>
      <c r="B411" s="234" t="n"/>
      <c r="C411" s="175" t="inlineStr">
        <is>
          <t>SCFG</t>
        </is>
      </c>
      <c r="D411" s="166" t="inlineStr">
        <is>
          <t>-</t>
        </is>
      </c>
      <c r="E411" s="166" t="n">
        <v>15</v>
      </c>
      <c r="F411" s="166" t="inlineStr">
        <is>
          <t>Single</t>
        </is>
      </c>
      <c r="G411" s="166" t="inlineStr">
        <is>
          <t>MSX 44 SCFG</t>
        </is>
      </c>
      <c r="H411" s="166" t="inlineStr">
        <is>
          <t>135 X 346</t>
        </is>
      </c>
      <c r="I411" s="166" t="inlineStr">
        <is>
          <t>30.5 X 72</t>
        </is>
      </c>
      <c r="J411" s="166" t="n">
        <v>25</v>
      </c>
      <c r="K411" s="176" t="n"/>
      <c r="L411" s="25" t="n"/>
      <c r="M411" s="26" t="n">
        <v>0.3381642512077295</v>
      </c>
      <c r="N411" s="25" t="n"/>
      <c r="O411" s="27" t="n"/>
    </row>
    <row r="412" ht="15" customHeight="1">
      <c r="A412" s="197" t="n">
        <v>17</v>
      </c>
      <c r="B412" s="198" t="inlineStr">
        <is>
          <t>MSX 45</t>
        </is>
      </c>
      <c r="C412" s="184" t="inlineStr">
        <is>
          <t>LVP</t>
        </is>
      </c>
      <c r="D412" s="180" t="inlineStr">
        <is>
          <t>Top</t>
        </is>
      </c>
      <c r="E412" s="180" t="n">
        <v>40</v>
      </c>
      <c r="F412" s="180" t="inlineStr">
        <is>
          <t>Single</t>
        </is>
      </c>
      <c r="G412" s="180" t="inlineStr">
        <is>
          <t>MSX 45 LVP</t>
        </is>
      </c>
      <c r="H412" s="180" t="inlineStr">
        <is>
          <t>158 X 209</t>
        </is>
      </c>
      <c r="I412" s="180" t="inlineStr">
        <is>
          <t>18 X 20</t>
        </is>
      </c>
      <c r="J412" s="180" t="n">
        <v>6</v>
      </c>
      <c r="K412" s="181" t="n"/>
      <c r="L412" s="31" t="n"/>
      <c r="M412" s="32" t="n">
        <v>0.6977821913273751</v>
      </c>
      <c r="N412" s="31" t="n"/>
      <c r="O412" s="33" t="n"/>
    </row>
    <row r="413" ht="15" customHeight="1">
      <c r="A413" s="232" t="n"/>
      <c r="B413" s="232" t="n"/>
      <c r="C413" s="235" t="n"/>
      <c r="D413" s="169" t="inlineStr">
        <is>
          <t>Bottom</t>
        </is>
      </c>
      <c r="E413" s="169" t="n">
        <v>40</v>
      </c>
      <c r="F413" s="180" t="inlineStr">
        <is>
          <t>Single</t>
        </is>
      </c>
      <c r="G413" s="180" t="inlineStr">
        <is>
          <t>MSX 45 LVP</t>
        </is>
      </c>
      <c r="H413" s="180" t="inlineStr">
        <is>
          <t>158 X 209</t>
        </is>
      </c>
      <c r="I413" s="169" t="inlineStr">
        <is>
          <t>18 X 20</t>
        </is>
      </c>
      <c r="J413" s="169" t="n">
        <v>6</v>
      </c>
      <c r="K413" s="171" t="n"/>
      <c r="L413" s="14" t="n"/>
      <c r="M413" s="15" t="n">
        <v>0.6977821913273751</v>
      </c>
      <c r="N413" s="14" t="n"/>
      <c r="O413" s="16" t="n"/>
    </row>
    <row r="414" ht="15.75" customHeight="1">
      <c r="A414" s="234" t="n"/>
      <c r="B414" s="234" t="n"/>
      <c r="C414" s="175" t="inlineStr">
        <is>
          <t>SCFG</t>
        </is>
      </c>
      <c r="D414" s="166" t="inlineStr">
        <is>
          <t>-</t>
        </is>
      </c>
      <c r="E414" s="166" t="n">
        <v>15</v>
      </c>
      <c r="F414" s="166" t="inlineStr">
        <is>
          <t>Single</t>
        </is>
      </c>
      <c r="G414" s="166" t="inlineStr">
        <is>
          <t>MSX 45 SCFG</t>
        </is>
      </c>
      <c r="H414" s="166" t="inlineStr">
        <is>
          <t>175 X 226</t>
        </is>
      </c>
      <c r="I414" s="166" t="inlineStr">
        <is>
          <t>38.5 X 48.5</t>
        </is>
      </c>
      <c r="J414" s="166" t="n">
        <v>25</v>
      </c>
      <c r="K414" s="176" t="n"/>
      <c r="L414" s="25" t="n"/>
      <c r="M414" s="26" t="n">
        <v>0.3381642512077295</v>
      </c>
      <c r="N414" s="25" t="n"/>
      <c r="O414" s="27" t="n"/>
    </row>
    <row r="415" ht="15" customHeight="1">
      <c r="A415" s="197" t="n">
        <v>18</v>
      </c>
      <c r="B415" s="198" t="inlineStr">
        <is>
          <t>MSX 46</t>
        </is>
      </c>
      <c r="C415" s="184" t="inlineStr">
        <is>
          <t>LVP</t>
        </is>
      </c>
      <c r="D415" s="180" t="inlineStr">
        <is>
          <t>Top</t>
        </is>
      </c>
      <c r="E415" s="180" t="n">
        <v>40</v>
      </c>
      <c r="F415" s="180" t="inlineStr">
        <is>
          <t>Single</t>
        </is>
      </c>
      <c r="G415" s="180" t="inlineStr">
        <is>
          <t>MSX 46 LVP</t>
        </is>
      </c>
      <c r="H415" s="180" t="inlineStr">
        <is>
          <t>128 X 389</t>
        </is>
      </c>
      <c r="I415" s="180" t="inlineStr">
        <is>
          <t>16 X 23</t>
        </is>
      </c>
      <c r="J415" s="180" t="n">
        <v>4</v>
      </c>
      <c r="K415" s="181" t="n"/>
      <c r="L415" s="31" t="n"/>
      <c r="M415" s="32" t="n">
        <v>0.6977821913273751</v>
      </c>
      <c r="N415" s="31" t="n"/>
      <c r="O415" s="33" t="n"/>
    </row>
    <row r="416" ht="15" customHeight="1">
      <c r="A416" s="232" t="n"/>
      <c r="B416" s="232" t="n"/>
      <c r="C416" s="235" t="n"/>
      <c r="D416" s="169" t="inlineStr">
        <is>
          <t>Bottom</t>
        </is>
      </c>
      <c r="E416" s="169" t="n">
        <v>40</v>
      </c>
      <c r="F416" s="180" t="inlineStr">
        <is>
          <t>Single</t>
        </is>
      </c>
      <c r="G416" s="180" t="inlineStr">
        <is>
          <t>MSX 46 LVP</t>
        </is>
      </c>
      <c r="H416" s="180" t="inlineStr">
        <is>
          <t>128 X 389</t>
        </is>
      </c>
      <c r="I416" s="169" t="inlineStr">
        <is>
          <t>16 X 23</t>
        </is>
      </c>
      <c r="J416" s="169" t="n">
        <v>4</v>
      </c>
      <c r="K416" s="171" t="n"/>
      <c r="L416" s="14" t="n"/>
      <c r="M416" s="15" t="n">
        <v>0.6977821913273751</v>
      </c>
      <c r="N416" s="14" t="n"/>
      <c r="O416" s="16" t="n"/>
    </row>
    <row r="417" ht="15.75" customHeight="1">
      <c r="A417" s="234" t="n"/>
      <c r="B417" s="234" t="n"/>
      <c r="C417" s="175" t="inlineStr">
        <is>
          <t>SCFG</t>
        </is>
      </c>
      <c r="D417" s="166" t="inlineStr">
        <is>
          <t>-</t>
        </is>
      </c>
      <c r="E417" s="166" t="n">
        <v>15</v>
      </c>
      <c r="F417" s="166" t="inlineStr">
        <is>
          <t>Single</t>
        </is>
      </c>
      <c r="G417" s="166" t="inlineStr">
        <is>
          <t>MSX 46 SCFG</t>
        </is>
      </c>
      <c r="H417" s="166" t="inlineStr">
        <is>
          <t>148 X 409</t>
        </is>
      </c>
      <c r="I417" s="166" t="inlineStr">
        <is>
          <t>33 X 84.5</t>
        </is>
      </c>
      <c r="J417" s="166" t="n">
        <v>25</v>
      </c>
      <c r="K417" s="176" t="n"/>
      <c r="L417" s="25" t="n"/>
      <c r="M417" s="26" t="n">
        <v>0.3381642512077295</v>
      </c>
      <c r="N417" s="25" t="n"/>
      <c r="O417" s="27" t="n"/>
    </row>
    <row r="418" ht="15" customHeight="1">
      <c r="A418" s="197" t="n">
        <v>19</v>
      </c>
      <c r="B418" s="198" t="inlineStr">
        <is>
          <t>MSX 50</t>
        </is>
      </c>
      <c r="C418" s="184" t="inlineStr">
        <is>
          <t>LVP</t>
        </is>
      </c>
      <c r="D418" s="180" t="inlineStr">
        <is>
          <t>Top</t>
        </is>
      </c>
      <c r="E418" s="180" t="n">
        <v>60</v>
      </c>
      <c r="F418" s="180" t="inlineStr">
        <is>
          <t>Single</t>
        </is>
      </c>
      <c r="G418" s="180" t="inlineStr">
        <is>
          <t>MSX 50 LVP</t>
        </is>
      </c>
      <c r="H418" s="180" t="inlineStr">
        <is>
          <t>178 X 539</t>
        </is>
      </c>
      <c r="I418" s="180" t="inlineStr">
        <is>
          <t>22 X 23</t>
        </is>
      </c>
      <c r="J418" s="180" t="n">
        <v>3</v>
      </c>
      <c r="K418" s="181" t="n"/>
      <c r="L418" s="31" t="n"/>
      <c r="M418" s="32" t="n">
        <v>1.103988603988604</v>
      </c>
      <c r="N418" s="31" t="n"/>
      <c r="O418" s="33" t="n"/>
    </row>
    <row r="419" ht="15" customHeight="1">
      <c r="A419" s="232" t="n"/>
      <c r="B419" s="232" t="n"/>
      <c r="C419" s="235" t="n"/>
      <c r="D419" s="169" t="inlineStr">
        <is>
          <t>Bottom</t>
        </is>
      </c>
      <c r="E419" s="169" t="n">
        <v>40</v>
      </c>
      <c r="F419" s="180" t="inlineStr">
        <is>
          <t>Single</t>
        </is>
      </c>
      <c r="G419" s="180" t="inlineStr">
        <is>
          <t>MSX 50 LVP</t>
        </is>
      </c>
      <c r="H419" s="180" t="inlineStr">
        <is>
          <t>178 X 539</t>
        </is>
      </c>
      <c r="I419" s="169" t="inlineStr">
        <is>
          <t>22 X 23</t>
        </is>
      </c>
      <c r="J419" s="169" t="n">
        <v>3</v>
      </c>
      <c r="K419" s="171" t="n"/>
      <c r="L419" s="14" t="n"/>
      <c r="M419" s="15" t="n">
        <v>0.6977821913273751</v>
      </c>
      <c r="N419" s="14" t="n"/>
      <c r="O419" s="16" t="n"/>
    </row>
    <row r="420" ht="15.75" customHeight="1">
      <c r="A420" s="234" t="n"/>
      <c r="B420" s="234" t="n"/>
      <c r="C420" s="175" t="inlineStr">
        <is>
          <t>SCFG</t>
        </is>
      </c>
      <c r="D420" s="166" t="inlineStr">
        <is>
          <t>-</t>
        </is>
      </c>
      <c r="E420" s="166" t="n">
        <v>15</v>
      </c>
      <c r="F420" s="166" t="inlineStr">
        <is>
          <t>H.C.</t>
        </is>
      </c>
      <c r="G420" s="166" t="inlineStr">
        <is>
          <t>Hand Cutting</t>
        </is>
      </c>
      <c r="H420" s="166" t="inlineStr">
        <is>
          <t>201 X 565</t>
        </is>
      </c>
      <c r="I420" s="166" t="inlineStr">
        <is>
          <t>43.5 X 46</t>
        </is>
      </c>
      <c r="J420" s="166" t="n">
        <v>10</v>
      </c>
      <c r="K420" s="176" t="n"/>
      <c r="L420" s="25" t="n"/>
      <c r="M420" s="26" t="n">
        <v>0.3381642512077295</v>
      </c>
      <c r="N420" s="25" t="n"/>
      <c r="O420" s="27" t="n"/>
    </row>
    <row r="421" ht="15" customHeight="1">
      <c r="A421" s="197" t="n">
        <v>20</v>
      </c>
      <c r="B421" s="198" t="inlineStr">
        <is>
          <t>MSX 52</t>
        </is>
      </c>
      <c r="C421" s="184" t="inlineStr">
        <is>
          <t>LVP</t>
        </is>
      </c>
      <c r="D421" s="180" t="inlineStr">
        <is>
          <t>Top</t>
        </is>
      </c>
      <c r="E421" s="180" t="n">
        <v>60</v>
      </c>
      <c r="F421" s="180" t="inlineStr">
        <is>
          <t>Single</t>
        </is>
      </c>
      <c r="G421" s="180" t="inlineStr">
        <is>
          <t>MSX 52/54 LVP</t>
        </is>
      </c>
      <c r="H421" s="180" t="inlineStr">
        <is>
          <t>240 X 559</t>
        </is>
      </c>
      <c r="I421" s="180" t="inlineStr">
        <is>
          <t>22 X 23</t>
        </is>
      </c>
      <c r="J421" s="180" t="n">
        <v>2</v>
      </c>
      <c r="K421" s="181" t="n"/>
      <c r="L421" s="31" t="n"/>
      <c r="M421" s="32" t="n">
        <v>1.103988603988604</v>
      </c>
      <c r="N421" s="31" t="n"/>
      <c r="O421" s="33" t="n"/>
    </row>
    <row r="422" ht="15" customHeight="1">
      <c r="A422" s="232" t="n"/>
      <c r="B422" s="232" t="n"/>
      <c r="C422" s="235" t="n"/>
      <c r="D422" s="169" t="inlineStr">
        <is>
          <t>Bottom</t>
        </is>
      </c>
      <c r="E422" s="169" t="n">
        <v>40</v>
      </c>
      <c r="F422" s="180" t="inlineStr">
        <is>
          <t>Single</t>
        </is>
      </c>
      <c r="G422" s="180" t="inlineStr">
        <is>
          <t>MSX 52/54 LVP</t>
        </is>
      </c>
      <c r="H422" s="180" t="inlineStr">
        <is>
          <t>240 X 559</t>
        </is>
      </c>
      <c r="I422" s="169" t="inlineStr">
        <is>
          <t>22 X 23</t>
        </is>
      </c>
      <c r="J422" s="169" t="n">
        <v>2</v>
      </c>
      <c r="K422" s="171" t="n"/>
      <c r="L422" s="14" t="n"/>
      <c r="M422" s="15" t="n">
        <v>0.6977821913273751</v>
      </c>
      <c r="N422" s="14" t="n"/>
      <c r="O422" s="16" t="n"/>
    </row>
    <row r="423" ht="15.75" customHeight="1">
      <c r="A423" s="234" t="n"/>
      <c r="B423" s="234" t="n"/>
      <c r="C423" s="175" t="inlineStr">
        <is>
          <t>SCFG</t>
        </is>
      </c>
      <c r="D423" s="166" t="inlineStr">
        <is>
          <t>-</t>
        </is>
      </c>
      <c r="E423" s="166" t="n">
        <v>15</v>
      </c>
      <c r="F423" s="166" t="inlineStr">
        <is>
          <t>H.C.</t>
        </is>
      </c>
      <c r="G423" s="166" t="inlineStr">
        <is>
          <t>Hand Cutting</t>
        </is>
      </c>
      <c r="H423" s="166" t="inlineStr">
        <is>
          <t>256 X 575</t>
        </is>
      </c>
      <c r="I423" s="166" t="inlineStr">
        <is>
          <t>54 X 47</t>
        </is>
      </c>
      <c r="J423" s="166" t="n">
        <v>10</v>
      </c>
      <c r="K423" s="176" t="n"/>
      <c r="L423" s="25" t="n"/>
      <c r="M423" s="26" t="n">
        <v>0.3381642512077295</v>
      </c>
      <c r="N423" s="25" t="n"/>
      <c r="O423" s="27" t="n"/>
    </row>
    <row r="424" ht="15" customHeight="1">
      <c r="A424" s="197" t="n">
        <v>21</v>
      </c>
      <c r="B424" s="198" t="inlineStr">
        <is>
          <t>MSX 54</t>
        </is>
      </c>
      <c r="C424" s="184" t="inlineStr">
        <is>
          <t>LVP</t>
        </is>
      </c>
      <c r="D424" s="180" t="inlineStr">
        <is>
          <t>Top</t>
        </is>
      </c>
      <c r="E424" s="180" t="n">
        <v>60</v>
      </c>
      <c r="F424" s="180" t="inlineStr">
        <is>
          <t>Single</t>
        </is>
      </c>
      <c r="G424" s="180" t="inlineStr">
        <is>
          <t>MSX 52/54 LVP</t>
        </is>
      </c>
      <c r="H424" s="180" t="inlineStr">
        <is>
          <t>240 X 559</t>
        </is>
      </c>
      <c r="I424" s="180" t="inlineStr">
        <is>
          <t>22 X 23</t>
        </is>
      </c>
      <c r="J424" s="180" t="n">
        <v>2</v>
      </c>
      <c r="K424" s="181" t="n"/>
      <c r="L424" s="31" t="n"/>
      <c r="M424" s="32" t="n">
        <v>1.103988603988604</v>
      </c>
      <c r="N424" s="31" t="n"/>
      <c r="O424" s="33" t="n"/>
    </row>
    <row r="425" ht="15" customHeight="1">
      <c r="A425" s="232" t="n"/>
      <c r="B425" s="232" t="n"/>
      <c r="C425" s="235" t="n"/>
      <c r="D425" s="169" t="inlineStr">
        <is>
          <t>Bottom</t>
        </is>
      </c>
      <c r="E425" s="169" t="n">
        <v>40</v>
      </c>
      <c r="F425" s="180" t="inlineStr">
        <is>
          <t>Single</t>
        </is>
      </c>
      <c r="G425" s="180" t="inlineStr">
        <is>
          <t>MSX 52/54 LVP</t>
        </is>
      </c>
      <c r="H425" s="180" t="inlineStr">
        <is>
          <t>240 X 559</t>
        </is>
      </c>
      <c r="I425" s="169" t="inlineStr">
        <is>
          <t>22 X 23</t>
        </is>
      </c>
      <c r="J425" s="169" t="n">
        <v>2</v>
      </c>
      <c r="K425" s="171" t="n"/>
      <c r="L425" s="14" t="n"/>
      <c r="M425" s="15" t="n">
        <v>0.6977821913273751</v>
      </c>
      <c r="N425" s="14" t="n"/>
      <c r="O425" s="16" t="n"/>
    </row>
    <row r="426" ht="15.75" customHeight="1">
      <c r="A426" s="234" t="n"/>
      <c r="B426" s="234" t="n"/>
      <c r="C426" s="175" t="inlineStr">
        <is>
          <t>SCFG</t>
        </is>
      </c>
      <c r="D426" s="166" t="inlineStr">
        <is>
          <t>-</t>
        </is>
      </c>
      <c r="E426" s="166" t="n">
        <v>15</v>
      </c>
      <c r="F426" s="166" t="inlineStr">
        <is>
          <t>H.C.</t>
        </is>
      </c>
      <c r="G426" s="166" t="inlineStr">
        <is>
          <t>Hand Cutting</t>
        </is>
      </c>
      <c r="H426" s="166" t="inlineStr">
        <is>
          <t>256 X 575</t>
        </is>
      </c>
      <c r="I426" s="166" t="inlineStr">
        <is>
          <t>54 X 47</t>
        </is>
      </c>
      <c r="J426" s="166" t="n">
        <v>10</v>
      </c>
      <c r="K426" s="176" t="n"/>
      <c r="L426" s="25" t="n"/>
      <c r="M426" s="26" t="n">
        <v>0.3381642512077295</v>
      </c>
      <c r="N426" s="25" t="n"/>
      <c r="O426" s="27" t="n"/>
    </row>
    <row r="427" ht="15" customHeight="1">
      <c r="A427" s="197" t="n">
        <v>22</v>
      </c>
      <c r="B427" s="198" t="inlineStr">
        <is>
          <t>MSX 55</t>
        </is>
      </c>
      <c r="C427" s="184" t="inlineStr">
        <is>
          <t>LVP</t>
        </is>
      </c>
      <c r="D427" s="180" t="inlineStr">
        <is>
          <t>Top</t>
        </is>
      </c>
      <c r="E427" s="180" t="n">
        <v>60</v>
      </c>
      <c r="F427" s="180" t="inlineStr">
        <is>
          <t>Single</t>
        </is>
      </c>
      <c r="G427" s="180" t="inlineStr">
        <is>
          <t>MSX 55 LVP</t>
        </is>
      </c>
      <c r="H427" s="180" t="inlineStr">
        <is>
          <t>237 X 308</t>
        </is>
      </c>
      <c r="I427" s="180" t="inlineStr">
        <is>
          <t>20 X 25</t>
        </is>
      </c>
      <c r="J427" s="180" t="n">
        <v>4</v>
      </c>
      <c r="K427" s="181" t="n"/>
      <c r="L427" s="31" t="n"/>
      <c r="M427" s="32" t="n">
        <v>1.103988603988604</v>
      </c>
      <c r="N427" s="31" t="n"/>
      <c r="O427" s="33" t="n"/>
    </row>
    <row r="428" ht="15" customHeight="1">
      <c r="A428" s="232" t="n"/>
      <c r="B428" s="232" t="n"/>
      <c r="C428" s="235" t="n"/>
      <c r="D428" s="169" t="inlineStr">
        <is>
          <t>Bottom</t>
        </is>
      </c>
      <c r="E428" s="169" t="n">
        <v>40</v>
      </c>
      <c r="F428" s="180" t="inlineStr">
        <is>
          <t>Single</t>
        </is>
      </c>
      <c r="G428" s="180" t="inlineStr">
        <is>
          <t>MSX 55 LVP</t>
        </is>
      </c>
      <c r="H428" s="180" t="inlineStr">
        <is>
          <t>237 X 308</t>
        </is>
      </c>
      <c r="I428" s="169" t="inlineStr">
        <is>
          <t>20 X 25</t>
        </is>
      </c>
      <c r="J428" s="169" t="n">
        <v>4</v>
      </c>
      <c r="K428" s="171" t="n"/>
      <c r="L428" s="14" t="n"/>
      <c r="M428" s="15" t="n">
        <v>0.6977821913273751</v>
      </c>
      <c r="N428" s="14" t="n"/>
      <c r="O428" s="16" t="n"/>
    </row>
    <row r="429" ht="15.75" customHeight="1">
      <c r="A429" s="234" t="n"/>
      <c r="B429" s="234" t="n"/>
      <c r="C429" s="175" t="inlineStr">
        <is>
          <t>SCFG</t>
        </is>
      </c>
      <c r="D429" s="166" t="inlineStr">
        <is>
          <t>-</t>
        </is>
      </c>
      <c r="E429" s="166" t="n">
        <v>15</v>
      </c>
      <c r="F429" s="166" t="inlineStr">
        <is>
          <t>H.C.</t>
        </is>
      </c>
      <c r="G429" s="166" t="inlineStr">
        <is>
          <t>Hand Cutting</t>
        </is>
      </c>
      <c r="H429" s="166" t="inlineStr">
        <is>
          <t>253 X 324</t>
        </is>
      </c>
      <c r="I429" s="166" t="inlineStr">
        <is>
          <t>27 X 54</t>
        </is>
      </c>
      <c r="J429" s="166" t="n">
        <v>10</v>
      </c>
      <c r="K429" s="176" t="n"/>
      <c r="L429" s="25" t="n"/>
      <c r="M429" s="26" t="n">
        <v>0.3381642512077295</v>
      </c>
      <c r="N429" s="25" t="n"/>
      <c r="O429" s="27" t="n"/>
    </row>
    <row r="430" ht="15" customHeight="1">
      <c r="A430" s="197" t="n">
        <v>23</v>
      </c>
      <c r="B430" s="198" t="inlineStr">
        <is>
          <t>MSX 56</t>
        </is>
      </c>
      <c r="C430" s="184" t="inlineStr">
        <is>
          <t>LVP</t>
        </is>
      </c>
      <c r="D430" s="180" t="inlineStr">
        <is>
          <t>Top</t>
        </is>
      </c>
      <c r="E430" s="180" t="n">
        <v>60</v>
      </c>
      <c r="F430" s="180" t="inlineStr">
        <is>
          <t>Single</t>
        </is>
      </c>
      <c r="G430" s="180" t="inlineStr">
        <is>
          <t>MSX 56 LVP</t>
        </is>
      </c>
      <c r="H430" s="180" t="inlineStr">
        <is>
          <t>254 X 725</t>
        </is>
      </c>
      <c r="I430" s="180" t="inlineStr">
        <is>
          <t>21 X 29</t>
        </is>
      </c>
      <c r="J430" s="180" t="n">
        <v>2</v>
      </c>
      <c r="K430" s="181" t="n"/>
      <c r="L430" s="31" t="n"/>
      <c r="M430" s="32" t="n">
        <v>1.103988603988604</v>
      </c>
      <c r="N430" s="31" t="n"/>
      <c r="O430" s="33" t="n"/>
    </row>
    <row r="431" ht="15" customHeight="1">
      <c r="A431" s="232" t="n"/>
      <c r="B431" s="232" t="n"/>
      <c r="C431" s="235" t="n"/>
      <c r="D431" s="169" t="inlineStr">
        <is>
          <t>Bottom</t>
        </is>
      </c>
      <c r="E431" s="169" t="n">
        <v>40</v>
      </c>
      <c r="F431" s="180" t="inlineStr">
        <is>
          <t>Single</t>
        </is>
      </c>
      <c r="G431" s="180" t="inlineStr">
        <is>
          <t>MSX 56 LVP</t>
        </is>
      </c>
      <c r="H431" s="180" t="inlineStr">
        <is>
          <t>254 X 725</t>
        </is>
      </c>
      <c r="I431" s="169" t="inlineStr">
        <is>
          <t>21 X 29</t>
        </is>
      </c>
      <c r="J431" s="169" t="n">
        <v>2</v>
      </c>
      <c r="K431" s="171" t="n"/>
      <c r="L431" s="14" t="n"/>
      <c r="M431" s="15" t="n">
        <v>0.6977821913273751</v>
      </c>
      <c r="N431" s="14" t="n"/>
      <c r="O431" s="16" t="n"/>
    </row>
    <row r="432" ht="15.75" customHeight="1">
      <c r="A432" s="234" t="n"/>
      <c r="B432" s="234" t="n"/>
      <c r="C432" s="175" t="inlineStr">
        <is>
          <t>SCFG</t>
        </is>
      </c>
      <c r="D432" s="166" t="inlineStr">
        <is>
          <t>-</t>
        </is>
      </c>
      <c r="E432" s="166" t="n">
        <v>15</v>
      </c>
      <c r="F432" s="166" t="inlineStr">
        <is>
          <t>H.C.</t>
        </is>
      </c>
      <c r="G432" s="166" t="inlineStr">
        <is>
          <t>Hand Cutting</t>
        </is>
      </c>
      <c r="H432" s="166" t="inlineStr">
        <is>
          <t>270 X 739</t>
        </is>
      </c>
      <c r="I432" s="166" t="inlineStr">
        <is>
          <t>57 X 60</t>
        </is>
      </c>
      <c r="J432" s="166" t="n">
        <v>10</v>
      </c>
      <c r="K432" s="176" t="n"/>
      <c r="L432" s="25" t="n"/>
      <c r="M432" s="26" t="n">
        <v>0.3381642512077295</v>
      </c>
      <c r="N432" s="25" t="n"/>
      <c r="O432" s="27" t="n"/>
    </row>
    <row r="433" ht="15" customHeight="1">
      <c r="A433" s="197" t="n">
        <v>24</v>
      </c>
      <c r="B433" s="198" t="inlineStr">
        <is>
          <t>MSX 60</t>
        </is>
      </c>
      <c r="C433" s="184" t="inlineStr">
        <is>
          <t>LVP</t>
        </is>
      </c>
      <c r="D433" s="180" t="inlineStr">
        <is>
          <t>Top</t>
        </is>
      </c>
      <c r="E433" s="180" t="n">
        <v>60</v>
      </c>
      <c r="F433" s="180" t="inlineStr">
        <is>
          <t>H.C.</t>
        </is>
      </c>
      <c r="G433" s="180" t="inlineStr">
        <is>
          <t>Hand Cutting</t>
        </is>
      </c>
      <c r="H433" s="180" t="inlineStr">
        <is>
          <t>243 X 998</t>
        </is>
      </c>
      <c r="I433" s="180" t="inlineStr">
        <is>
          <t>20 X 40</t>
        </is>
      </c>
      <c r="J433" s="180" t="n">
        <v>2</v>
      </c>
      <c r="K433" s="181" t="n"/>
      <c r="L433" s="31" t="n"/>
      <c r="M433" s="32" t="n">
        <v>1.103988603988604</v>
      </c>
      <c r="N433" s="31" t="n"/>
      <c r="O433" s="33" t="n"/>
    </row>
    <row r="434" ht="15" customHeight="1">
      <c r="A434" s="232" t="n"/>
      <c r="B434" s="232" t="n"/>
      <c r="C434" s="235" t="n"/>
      <c r="D434" s="169" t="inlineStr">
        <is>
          <t>Bottom</t>
        </is>
      </c>
      <c r="E434" s="169" t="n">
        <v>40</v>
      </c>
      <c r="F434" s="169" t="inlineStr">
        <is>
          <t>H.C.</t>
        </is>
      </c>
      <c r="G434" s="169" t="inlineStr">
        <is>
          <t>Hand Cutting</t>
        </is>
      </c>
      <c r="H434" s="180" t="inlineStr">
        <is>
          <t>243 X 998</t>
        </is>
      </c>
      <c r="I434" s="180" t="inlineStr">
        <is>
          <t>20 X 40</t>
        </is>
      </c>
      <c r="J434" s="180" t="n">
        <v>2</v>
      </c>
      <c r="K434" s="171" t="n"/>
      <c r="L434" s="14" t="n"/>
      <c r="M434" s="15" t="n">
        <v>0.6977821913273751</v>
      </c>
      <c r="N434" s="14" t="n"/>
      <c r="O434" s="16" t="n"/>
    </row>
    <row r="435" ht="15.75" customHeight="1">
      <c r="A435" s="234" t="n"/>
      <c r="B435" s="234" t="n"/>
      <c r="C435" s="175" t="inlineStr">
        <is>
          <t>SCFG</t>
        </is>
      </c>
      <c r="D435" s="166" t="inlineStr">
        <is>
          <t>-</t>
        </is>
      </c>
      <c r="E435" s="166" t="n">
        <v>15</v>
      </c>
      <c r="F435" s="166" t="inlineStr">
        <is>
          <t>H.C.</t>
        </is>
      </c>
      <c r="G435" s="166" t="inlineStr">
        <is>
          <t>Hand Cutting</t>
        </is>
      </c>
      <c r="H435" s="166" t="inlineStr">
        <is>
          <t>266 X 1015</t>
        </is>
      </c>
      <c r="I435" s="166" t="inlineStr">
        <is>
          <t>56 X 81.5</t>
        </is>
      </c>
      <c r="J435" s="166" t="n">
        <v>10</v>
      </c>
      <c r="K435" s="176" t="n"/>
      <c r="L435" s="25" t="n"/>
      <c r="M435" s="26" t="n">
        <v>0.3381642512077295</v>
      </c>
      <c r="N435" s="25" t="n"/>
      <c r="O435" s="27" t="n"/>
    </row>
    <row r="436" ht="15" customHeight="1">
      <c r="A436" s="197" t="n">
        <v>25</v>
      </c>
      <c r="B436" s="198" t="inlineStr">
        <is>
          <t>MSX 62</t>
        </is>
      </c>
      <c r="C436" s="184" t="inlineStr">
        <is>
          <t>LVP</t>
        </is>
      </c>
      <c r="D436" s="180" t="inlineStr">
        <is>
          <t>Top</t>
        </is>
      </c>
      <c r="E436" s="180" t="n">
        <v>60</v>
      </c>
      <c r="F436" s="180" t="inlineStr">
        <is>
          <t>H.C.</t>
        </is>
      </c>
      <c r="G436" s="180" t="inlineStr">
        <is>
          <t>Hand Cutting</t>
        </is>
      </c>
      <c r="H436" s="180" t="inlineStr">
        <is>
          <t>302 X 1027</t>
        </is>
      </c>
      <c r="I436" s="180" t="inlineStr">
        <is>
          <t>25 X 41</t>
        </is>
      </c>
      <c r="J436" s="180" t="n">
        <v>2</v>
      </c>
      <c r="K436" s="181" t="n"/>
      <c r="L436" s="31" t="n"/>
      <c r="M436" s="32" t="n">
        <v>1.103988603988604</v>
      </c>
      <c r="N436" s="31" t="n"/>
      <c r="O436" s="33" t="n"/>
    </row>
    <row r="437" ht="15" customHeight="1">
      <c r="A437" s="232" t="n"/>
      <c r="B437" s="232" t="n"/>
      <c r="C437" s="235" t="n"/>
      <c r="D437" s="169" t="inlineStr">
        <is>
          <t>Bottom</t>
        </is>
      </c>
      <c r="E437" s="169" t="n">
        <v>40</v>
      </c>
      <c r="F437" s="169" t="inlineStr">
        <is>
          <t>H.C.</t>
        </is>
      </c>
      <c r="G437" s="169" t="inlineStr">
        <is>
          <t>Hand Cutting</t>
        </is>
      </c>
      <c r="H437" s="180" t="inlineStr">
        <is>
          <t>302 X 1027</t>
        </is>
      </c>
      <c r="I437" s="180" t="inlineStr">
        <is>
          <t>25 X 41</t>
        </is>
      </c>
      <c r="J437" s="180" t="n">
        <v>2</v>
      </c>
      <c r="K437" s="171" t="n"/>
      <c r="L437" s="14" t="n"/>
      <c r="M437" s="15" t="n">
        <v>0.6977821913273751</v>
      </c>
      <c r="N437" s="14" t="n"/>
      <c r="O437" s="16" t="n"/>
    </row>
    <row r="438" ht="15.75" customHeight="1">
      <c r="A438" s="234" t="n"/>
      <c r="B438" s="234" t="n"/>
      <c r="C438" s="175" t="inlineStr">
        <is>
          <t>SCFG</t>
        </is>
      </c>
      <c r="D438" s="166" t="inlineStr">
        <is>
          <t>-</t>
        </is>
      </c>
      <c r="E438" s="166" t="n">
        <v>15</v>
      </c>
      <c r="F438" s="166" t="inlineStr">
        <is>
          <t>H.C.</t>
        </is>
      </c>
      <c r="G438" s="166" t="inlineStr">
        <is>
          <t>Hand Cutting</t>
        </is>
      </c>
      <c r="H438" s="166" t="inlineStr">
        <is>
          <t>322 X 1047</t>
        </is>
      </c>
      <c r="I438" s="166" t="inlineStr">
        <is>
          <t>67 X 84</t>
        </is>
      </c>
      <c r="J438" s="166" t="n">
        <v>10</v>
      </c>
      <c r="K438" s="176" t="n"/>
      <c r="L438" s="25" t="n"/>
      <c r="M438" s="26" t="n">
        <v>0.3381642512077295</v>
      </c>
      <c r="N438" s="25" t="n"/>
      <c r="O438" s="27" t="n"/>
    </row>
    <row r="439" ht="15" customHeight="1">
      <c r="A439" s="197" t="n">
        <v>26</v>
      </c>
      <c r="B439" s="198" t="inlineStr">
        <is>
          <t>MSX 65</t>
        </is>
      </c>
      <c r="C439" s="184" t="inlineStr">
        <is>
          <t>LVP</t>
        </is>
      </c>
      <c r="D439" s="180" t="inlineStr">
        <is>
          <t>Top</t>
        </is>
      </c>
      <c r="E439" s="180" t="n">
        <v>60</v>
      </c>
      <c r="F439" s="180" t="inlineStr">
        <is>
          <t>Single</t>
        </is>
      </c>
      <c r="G439" s="180" t="inlineStr">
        <is>
          <t>MSX 65 LVP</t>
        </is>
      </c>
      <c r="H439" s="180" t="inlineStr">
        <is>
          <t>307 X 398</t>
        </is>
      </c>
      <c r="I439" s="180" t="inlineStr">
        <is>
          <t>16 X 25</t>
        </is>
      </c>
      <c r="J439" s="180" t="n">
        <v>2</v>
      </c>
      <c r="K439" s="181" t="n"/>
      <c r="L439" s="31" t="n"/>
      <c r="M439" s="32" t="n">
        <v>1.103988603988604</v>
      </c>
      <c r="N439" s="31" t="n"/>
      <c r="O439" s="33" t="n"/>
    </row>
    <row r="440" ht="15" customHeight="1">
      <c r="A440" s="232" t="n"/>
      <c r="B440" s="232" t="n"/>
      <c r="C440" s="235" t="n"/>
      <c r="D440" s="169" t="inlineStr">
        <is>
          <t>Bottom</t>
        </is>
      </c>
      <c r="E440" s="169" t="n">
        <v>40</v>
      </c>
      <c r="F440" s="180" t="inlineStr">
        <is>
          <t>Single</t>
        </is>
      </c>
      <c r="G440" s="180" t="inlineStr">
        <is>
          <t>MSX 65 LVP</t>
        </is>
      </c>
      <c r="H440" s="180" t="inlineStr">
        <is>
          <t>307 X 398</t>
        </is>
      </c>
      <c r="I440" s="169" t="inlineStr">
        <is>
          <t>16 X 25</t>
        </is>
      </c>
      <c r="J440" s="169" t="n">
        <v>2</v>
      </c>
      <c r="K440" s="171" t="n"/>
      <c r="L440" s="14" t="n"/>
      <c r="M440" s="15" t="n">
        <v>0.6977821913273751</v>
      </c>
      <c r="N440" s="14" t="n"/>
      <c r="O440" s="16" t="n"/>
    </row>
    <row r="441" ht="15.75" customHeight="1">
      <c r="A441" s="234" t="n"/>
      <c r="B441" s="234" t="n"/>
      <c r="C441" s="175" t="inlineStr">
        <is>
          <t>SCFG</t>
        </is>
      </c>
      <c r="D441" s="166" t="inlineStr">
        <is>
          <t>-</t>
        </is>
      </c>
      <c r="E441" s="166" t="n">
        <v>15</v>
      </c>
      <c r="F441" s="166" t="inlineStr">
        <is>
          <t>H.C.</t>
        </is>
      </c>
      <c r="G441" s="166" t="inlineStr">
        <is>
          <t>Hand Cutting</t>
        </is>
      </c>
      <c r="H441" s="166" t="inlineStr">
        <is>
          <t>418 X 328</t>
        </is>
      </c>
      <c r="I441" s="166" t="inlineStr">
        <is>
          <t>27 X 86</t>
        </is>
      </c>
      <c r="J441" s="166" t="n">
        <v>10</v>
      </c>
      <c r="K441" s="176" t="n"/>
      <c r="L441" s="25" t="n"/>
      <c r="M441" s="26" t="n">
        <v>0.3381642512077295</v>
      </c>
      <c r="N441" s="25" t="n"/>
      <c r="O441" s="27" t="n"/>
    </row>
    <row r="442" ht="15" customHeight="1">
      <c r="A442" s="197" t="n">
        <v>27</v>
      </c>
      <c r="B442" s="198" t="inlineStr">
        <is>
          <t>MSX 68</t>
        </is>
      </c>
      <c r="C442" s="184" t="inlineStr">
        <is>
          <t>LVP</t>
        </is>
      </c>
      <c r="D442" s="180" t="inlineStr">
        <is>
          <t>Top</t>
        </is>
      </c>
      <c r="E442" s="180" t="n">
        <v>60</v>
      </c>
      <c r="F442" s="180" t="inlineStr">
        <is>
          <t>H.C.</t>
        </is>
      </c>
      <c r="G442" s="180" t="inlineStr">
        <is>
          <t>Hand Cutting</t>
        </is>
      </c>
      <c r="H442" s="180" t="inlineStr">
        <is>
          <t>327 X 732</t>
        </is>
      </c>
      <c r="I442" s="180" t="inlineStr">
        <is>
          <t>27 X 29</t>
        </is>
      </c>
      <c r="J442" s="180" t="n">
        <v>2</v>
      </c>
      <c r="K442" s="181" t="n"/>
      <c r="L442" s="31" t="n"/>
      <c r="M442" s="32" t="n">
        <v>1.103988603988604</v>
      </c>
      <c r="N442" s="31" t="n"/>
      <c r="O442" s="33" t="n"/>
    </row>
    <row r="443" ht="15" customHeight="1">
      <c r="A443" s="232" t="n"/>
      <c r="B443" s="232" t="n"/>
      <c r="C443" s="235" t="n"/>
      <c r="D443" s="169" t="inlineStr">
        <is>
          <t>Bottom</t>
        </is>
      </c>
      <c r="E443" s="169" t="n">
        <v>40</v>
      </c>
      <c r="F443" s="180" t="inlineStr">
        <is>
          <t>H.C.</t>
        </is>
      </c>
      <c r="G443" s="169" t="inlineStr">
        <is>
          <t>Hand Cutting</t>
        </is>
      </c>
      <c r="H443" s="180" t="inlineStr">
        <is>
          <t>327 X 732</t>
        </is>
      </c>
      <c r="I443" s="180" t="inlineStr">
        <is>
          <t>27 X 29</t>
        </is>
      </c>
      <c r="J443" s="180" t="n">
        <v>2</v>
      </c>
      <c r="K443" s="171" t="n"/>
      <c r="L443" s="14" t="n"/>
      <c r="M443" s="15" t="n">
        <v>0.6977821913273751</v>
      </c>
      <c r="N443" s="14" t="n"/>
      <c r="O443" s="16" t="n"/>
    </row>
    <row r="444" ht="15.75" customHeight="1">
      <c r="A444" s="234" t="n"/>
      <c r="B444" s="234" t="n"/>
      <c r="C444" s="175" t="inlineStr">
        <is>
          <t>SCFG</t>
        </is>
      </c>
      <c r="D444" s="166" t="inlineStr">
        <is>
          <t>-</t>
        </is>
      </c>
      <c r="E444" s="166" t="n">
        <v>15</v>
      </c>
      <c r="F444" s="166" t="inlineStr">
        <is>
          <t>H.C.</t>
        </is>
      </c>
      <c r="G444" s="166" t="inlineStr">
        <is>
          <t>Hand Cutting</t>
        </is>
      </c>
      <c r="H444" s="166" t="inlineStr">
        <is>
          <t>343 X 753</t>
        </is>
      </c>
      <c r="I444" s="166" t="inlineStr">
        <is>
          <t>61 X 71.5</t>
        </is>
      </c>
      <c r="J444" s="166" t="n">
        <v>10</v>
      </c>
      <c r="K444" s="176" t="n"/>
      <c r="L444" s="25" t="n"/>
      <c r="M444" s="26" t="n">
        <v>0.3381642512077295</v>
      </c>
      <c r="N444" s="25" t="n"/>
      <c r="O444" s="27" t="n"/>
    </row>
    <row r="445" ht="15" customHeight="1">
      <c r="A445" s="197" t="n">
        <v>28</v>
      </c>
      <c r="B445" s="198" t="inlineStr">
        <is>
          <t>MSX 75</t>
        </is>
      </c>
      <c r="C445" s="184" t="inlineStr">
        <is>
          <t>LVP</t>
        </is>
      </c>
      <c r="D445" s="180" t="inlineStr">
        <is>
          <t>Top</t>
        </is>
      </c>
      <c r="E445" s="180" t="n">
        <v>60</v>
      </c>
      <c r="F445" s="180" t="inlineStr">
        <is>
          <t>Single</t>
        </is>
      </c>
      <c r="G445" s="180" t="inlineStr">
        <is>
          <t>MSX 75 LVP</t>
        </is>
      </c>
      <c r="H445" s="180" t="inlineStr">
        <is>
          <t>427 X 508</t>
        </is>
      </c>
      <c r="I445" s="180" t="inlineStr">
        <is>
          <t>20.5 X 34.5</t>
        </is>
      </c>
      <c r="J445" s="180" t="n">
        <v>2</v>
      </c>
      <c r="K445" s="181" t="n"/>
      <c r="L445" s="31" t="n"/>
      <c r="M445" s="32" t="n">
        <v>1.103988603988604</v>
      </c>
      <c r="N445" s="31" t="n"/>
      <c r="O445" s="33" t="n"/>
    </row>
    <row r="446" ht="15" customHeight="1">
      <c r="A446" s="232" t="n"/>
      <c r="B446" s="232" t="n"/>
      <c r="C446" s="235" t="n"/>
      <c r="D446" s="169" t="inlineStr">
        <is>
          <t>Bottom</t>
        </is>
      </c>
      <c r="E446" s="169" t="n">
        <v>40</v>
      </c>
      <c r="F446" s="180" t="inlineStr">
        <is>
          <t>Single</t>
        </is>
      </c>
      <c r="G446" s="180" t="inlineStr">
        <is>
          <t>MSX 75 LVP</t>
        </is>
      </c>
      <c r="H446" s="180" t="inlineStr">
        <is>
          <t>427 X 508</t>
        </is>
      </c>
      <c r="I446" s="169" t="inlineStr">
        <is>
          <t>20.5 X 34.5</t>
        </is>
      </c>
      <c r="J446" s="169" t="n">
        <v>2</v>
      </c>
      <c r="K446" s="171" t="n"/>
      <c r="L446" s="14" t="n"/>
      <c r="M446" s="15" t="n">
        <v>0.6977821913273751</v>
      </c>
      <c r="N446" s="14" t="n"/>
      <c r="O446" s="16" t="n"/>
    </row>
    <row r="447" ht="15.75" customHeight="1">
      <c r="A447" s="234" t="n"/>
      <c r="B447" s="234" t="n"/>
      <c r="C447" s="175" t="inlineStr">
        <is>
          <t>SCFG</t>
        </is>
      </c>
      <c r="D447" s="166" t="inlineStr">
        <is>
          <t>-</t>
        </is>
      </c>
      <c r="E447" s="166" t="n">
        <v>15</v>
      </c>
      <c r="F447" s="166" t="inlineStr">
        <is>
          <t>H.C.</t>
        </is>
      </c>
      <c r="G447" s="166" t="inlineStr">
        <is>
          <t>Hand Cutting</t>
        </is>
      </c>
      <c r="H447" s="166" t="inlineStr">
        <is>
          <t>443 X 524</t>
        </is>
      </c>
      <c r="I447" s="166" t="inlineStr">
        <is>
          <t>43 X 91</t>
        </is>
      </c>
      <c r="J447" s="166" t="n">
        <v>10</v>
      </c>
      <c r="K447" s="176" t="n"/>
      <c r="L447" s="25" t="n"/>
      <c r="M447" s="26" t="n">
        <v>0.3381642512077295</v>
      </c>
      <c r="N447" s="25" t="n"/>
      <c r="O447" s="27" t="n"/>
    </row>
    <row r="448" ht="15" customHeight="1">
      <c r="A448" s="197" t="n">
        <v>29</v>
      </c>
      <c r="B448" s="198" t="inlineStr">
        <is>
          <t>MSX 80</t>
        </is>
      </c>
      <c r="C448" s="184" t="inlineStr">
        <is>
          <t>LVP</t>
        </is>
      </c>
      <c r="D448" s="180" t="inlineStr">
        <is>
          <t>Top</t>
        </is>
      </c>
      <c r="E448" s="180" t="n">
        <v>60</v>
      </c>
      <c r="F448" s="180" t="inlineStr">
        <is>
          <t>Single</t>
        </is>
      </c>
      <c r="G448" s="180" t="inlineStr">
        <is>
          <t>MSX 80 LVP</t>
        </is>
      </c>
      <c r="H448" s="180" t="inlineStr">
        <is>
          <t>127 X 192</t>
        </is>
      </c>
      <c r="I448" s="180" t="inlineStr">
        <is>
          <t>22 X 24</t>
        </is>
      </c>
      <c r="J448" s="180" t="n">
        <v>9</v>
      </c>
      <c r="K448" s="181" t="n"/>
      <c r="L448" s="31" t="n"/>
      <c r="M448" s="32" t="n">
        <v>1.103988603988604</v>
      </c>
      <c r="N448" s="31" t="n"/>
      <c r="O448" s="33" t="n"/>
    </row>
    <row r="449" ht="15" customHeight="1">
      <c r="A449" s="232" t="n"/>
      <c r="B449" s="232" t="n"/>
      <c r="C449" s="235" t="n"/>
      <c r="D449" s="169" t="inlineStr">
        <is>
          <t>Bottom</t>
        </is>
      </c>
      <c r="E449" s="169" t="n">
        <v>40</v>
      </c>
      <c r="F449" s="180" t="inlineStr">
        <is>
          <t>Single</t>
        </is>
      </c>
      <c r="G449" s="180" t="inlineStr">
        <is>
          <t>MSX 80 LVP</t>
        </is>
      </c>
      <c r="H449" s="180" t="inlineStr">
        <is>
          <t>127 X 192</t>
        </is>
      </c>
      <c r="I449" s="169" t="inlineStr">
        <is>
          <t>22 X 24</t>
        </is>
      </c>
      <c r="J449" s="169" t="n">
        <v>9</v>
      </c>
      <c r="K449" s="171" t="n"/>
      <c r="L449" s="14" t="n"/>
      <c r="M449" s="15" t="n">
        <v>0.6977821913273751</v>
      </c>
      <c r="N449" s="14" t="n"/>
      <c r="O449" s="16" t="n"/>
    </row>
    <row r="450" ht="15.75" customHeight="1">
      <c r="A450" s="234" t="n"/>
      <c r="B450" s="234" t="n"/>
      <c r="C450" s="175" t="inlineStr">
        <is>
          <t>SCFG</t>
        </is>
      </c>
      <c r="D450" s="166" t="inlineStr">
        <is>
          <t>-</t>
        </is>
      </c>
      <c r="E450" s="166" t="n">
        <v>15</v>
      </c>
      <c r="F450" s="180" t="inlineStr">
        <is>
          <t>Single</t>
        </is>
      </c>
      <c r="G450" s="166" t="inlineStr">
        <is>
          <t>MSX 80 SCFG</t>
        </is>
      </c>
      <c r="H450" s="166" t="inlineStr">
        <is>
          <t>147 X 211</t>
        </is>
      </c>
      <c r="I450" s="166" t="inlineStr">
        <is>
          <t>18 X 33</t>
        </is>
      </c>
      <c r="J450" s="166" t="n">
        <v>10</v>
      </c>
      <c r="K450" s="176" t="n"/>
      <c r="L450" s="25" t="n"/>
      <c r="M450" s="26" t="n">
        <v>0.3381642512077295</v>
      </c>
      <c r="N450" s="25" t="n"/>
      <c r="O450" s="27" t="n"/>
    </row>
    <row r="451" ht="15" customHeight="1">
      <c r="A451" s="197" t="n">
        <v>30</v>
      </c>
      <c r="B451" s="198" t="inlineStr">
        <is>
          <t>MSX 82</t>
        </is>
      </c>
      <c r="C451" s="184" t="inlineStr">
        <is>
          <t>LVP</t>
        </is>
      </c>
      <c r="D451" s="180" t="inlineStr">
        <is>
          <t>Top</t>
        </is>
      </c>
      <c r="E451" s="180" t="n">
        <v>60</v>
      </c>
      <c r="F451" s="180" t="inlineStr">
        <is>
          <t>Single</t>
        </is>
      </c>
      <c r="G451" s="180" t="inlineStr">
        <is>
          <t>MSX 82 LVP</t>
        </is>
      </c>
      <c r="H451" s="180" t="inlineStr">
        <is>
          <t>178 X 254</t>
        </is>
      </c>
      <c r="I451" s="180" t="inlineStr">
        <is>
          <t>21 X 23</t>
        </is>
      </c>
      <c r="J451" s="180" t="n">
        <v>6</v>
      </c>
      <c r="K451" s="181" t="n"/>
      <c r="L451" s="31" t="n"/>
      <c r="M451" s="32" t="n">
        <v>1.103988603988604</v>
      </c>
      <c r="N451" s="31" t="n"/>
      <c r="O451" s="33" t="n"/>
    </row>
    <row r="452" ht="15" customHeight="1">
      <c r="A452" s="232" t="n"/>
      <c r="B452" s="232" t="n"/>
      <c r="C452" s="235" t="n"/>
      <c r="D452" s="169" t="inlineStr">
        <is>
          <t>Bottom</t>
        </is>
      </c>
      <c r="E452" s="169" t="n">
        <v>40</v>
      </c>
      <c r="F452" s="180" t="inlineStr">
        <is>
          <t>Single</t>
        </is>
      </c>
      <c r="G452" s="180" t="inlineStr">
        <is>
          <t>MSX 82 LVP</t>
        </is>
      </c>
      <c r="H452" s="180" t="inlineStr">
        <is>
          <t>178 X 254</t>
        </is>
      </c>
      <c r="I452" s="169" t="inlineStr">
        <is>
          <t>21 X 23</t>
        </is>
      </c>
      <c r="J452" s="169" t="n">
        <v>6</v>
      </c>
      <c r="K452" s="171" t="n"/>
      <c r="L452" s="14" t="n"/>
      <c r="M452" s="15" t="n">
        <v>0.6977821913273751</v>
      </c>
      <c r="N452" s="14" t="n"/>
      <c r="O452" s="16" t="n"/>
    </row>
    <row r="453" ht="15.75" customHeight="1">
      <c r="A453" s="234" t="n"/>
      <c r="B453" s="234" t="n"/>
      <c r="C453" s="175" t="inlineStr">
        <is>
          <t>SCFG</t>
        </is>
      </c>
      <c r="D453" s="166" t="inlineStr">
        <is>
          <t>-</t>
        </is>
      </c>
      <c r="E453" s="166" t="n">
        <v>15</v>
      </c>
      <c r="F453" s="166" t="inlineStr">
        <is>
          <t>Single</t>
        </is>
      </c>
      <c r="G453" s="166" t="inlineStr">
        <is>
          <t>MSX 82 SCFG</t>
        </is>
      </c>
      <c r="H453" s="166" t="inlineStr">
        <is>
          <t>198 X 275</t>
        </is>
      </c>
      <c r="I453" s="166" t="inlineStr">
        <is>
          <t>23 X 43</t>
        </is>
      </c>
      <c r="J453" s="166" t="n">
        <v>10</v>
      </c>
      <c r="K453" s="176" t="n"/>
      <c r="L453" s="25" t="n"/>
      <c r="M453" s="26" t="n">
        <v>0.3381642512077295</v>
      </c>
      <c r="N453" s="25" t="n"/>
      <c r="O453" s="27" t="n"/>
    </row>
    <row r="454" ht="15" customHeight="1">
      <c r="A454" s="197" t="n">
        <v>31</v>
      </c>
      <c r="B454" s="198" t="inlineStr">
        <is>
          <t>MSX 84</t>
        </is>
      </c>
      <c r="C454" s="184" t="inlineStr">
        <is>
          <t>LVP</t>
        </is>
      </c>
      <c r="D454" s="180" t="inlineStr">
        <is>
          <t>Top</t>
        </is>
      </c>
      <c r="E454" s="180" t="n">
        <v>60</v>
      </c>
      <c r="F454" s="180" t="inlineStr">
        <is>
          <t>Single</t>
        </is>
      </c>
      <c r="G454" s="180" t="inlineStr">
        <is>
          <t>MCX 84 LVP</t>
        </is>
      </c>
      <c r="H454" s="180" t="inlineStr">
        <is>
          <t>204 X 273</t>
        </is>
      </c>
      <c r="I454" s="180" t="inlineStr">
        <is>
          <t>17 X 23</t>
        </is>
      </c>
      <c r="J454" s="180" t="n">
        <v>4</v>
      </c>
      <c r="K454" s="181" t="n"/>
      <c r="L454" s="31" t="n"/>
      <c r="M454" s="32" t="n">
        <v>1.103988603988604</v>
      </c>
      <c r="N454" s="31" t="n"/>
      <c r="O454" s="33" t="n"/>
    </row>
    <row r="455" ht="15" customHeight="1">
      <c r="A455" s="232" t="n"/>
      <c r="B455" s="232" t="n"/>
      <c r="C455" s="235" t="n"/>
      <c r="D455" s="169" t="inlineStr">
        <is>
          <t>Bottom</t>
        </is>
      </c>
      <c r="E455" s="169" t="n">
        <v>40</v>
      </c>
      <c r="F455" s="180" t="inlineStr">
        <is>
          <t>Single</t>
        </is>
      </c>
      <c r="G455" s="169" t="inlineStr">
        <is>
          <t>MCX 84 LVP</t>
        </is>
      </c>
      <c r="H455" s="169" t="inlineStr">
        <is>
          <t>204 X 273</t>
        </is>
      </c>
      <c r="I455" s="169" t="inlineStr">
        <is>
          <t>17 X 23</t>
        </is>
      </c>
      <c r="J455" s="169" t="n">
        <v>4</v>
      </c>
      <c r="K455" s="171" t="n"/>
      <c r="L455" s="14" t="n"/>
      <c r="M455" s="15" t="n">
        <v>0.6977821913273751</v>
      </c>
      <c r="N455" s="14" t="n"/>
      <c r="O455" s="16" t="n"/>
    </row>
    <row r="456" ht="15.75" customHeight="1">
      <c r="A456" s="234" t="n"/>
      <c r="B456" s="234" t="n"/>
      <c r="C456" s="175" t="inlineStr">
        <is>
          <t>SCFG</t>
        </is>
      </c>
      <c r="D456" s="166" t="inlineStr">
        <is>
          <t>-</t>
        </is>
      </c>
      <c r="E456" s="166" t="n">
        <v>15</v>
      </c>
      <c r="F456" s="166" t="inlineStr">
        <is>
          <t>Single</t>
        </is>
      </c>
      <c r="G456" s="166" t="inlineStr">
        <is>
          <t>MSX 84 SCFG</t>
        </is>
      </c>
      <c r="H456" s="166" t="inlineStr">
        <is>
          <t>223 X 294</t>
        </is>
      </c>
      <c r="I456" s="166" t="inlineStr">
        <is>
          <t>25 X 48</t>
        </is>
      </c>
      <c r="J456" s="166" t="n">
        <v>10</v>
      </c>
      <c r="K456" s="176" t="n"/>
      <c r="L456" s="25" t="n"/>
      <c r="M456" s="26" t="n">
        <v>0.3381642512077295</v>
      </c>
      <c r="N456" s="25" t="n"/>
      <c r="O456" s="27" t="n"/>
    </row>
    <row r="457" ht="15" customHeight="1">
      <c r="A457" s="197" t="n">
        <v>32</v>
      </c>
      <c r="B457" s="198" t="inlineStr">
        <is>
          <t>MSX 86</t>
        </is>
      </c>
      <c r="C457" s="184" t="inlineStr">
        <is>
          <t>LVP</t>
        </is>
      </c>
      <c r="D457" s="180" t="inlineStr">
        <is>
          <t>Top</t>
        </is>
      </c>
      <c r="E457" s="180" t="n">
        <v>60</v>
      </c>
      <c r="F457" s="180" t="inlineStr">
        <is>
          <t>Single</t>
        </is>
      </c>
      <c r="G457" s="180" t="inlineStr">
        <is>
          <t>MCX 86 LVP</t>
        </is>
      </c>
      <c r="H457" s="180" t="inlineStr">
        <is>
          <t>235 X 330</t>
        </is>
      </c>
      <c r="I457" s="180" t="inlineStr">
        <is>
          <t>14 X 20</t>
        </is>
      </c>
      <c r="J457" s="180" t="n">
        <v>2</v>
      </c>
      <c r="K457" s="181" t="n"/>
      <c r="L457" s="31" t="n"/>
      <c r="M457" s="32" t="n">
        <v>1.103988603988604</v>
      </c>
      <c r="N457" s="31" t="n"/>
      <c r="O457" s="33" t="n"/>
    </row>
    <row r="458" ht="15" customHeight="1">
      <c r="A458" s="232" t="n"/>
      <c r="B458" s="232" t="n"/>
      <c r="C458" s="235" t="n"/>
      <c r="D458" s="169" t="inlineStr">
        <is>
          <t>Bottom</t>
        </is>
      </c>
      <c r="E458" s="169" t="n">
        <v>40</v>
      </c>
      <c r="F458" s="180" t="inlineStr">
        <is>
          <t>Single</t>
        </is>
      </c>
      <c r="G458" s="169" t="inlineStr">
        <is>
          <t>MCX 86 LVP</t>
        </is>
      </c>
      <c r="H458" s="169" t="inlineStr">
        <is>
          <t>235 X 330</t>
        </is>
      </c>
      <c r="I458" s="169" t="inlineStr">
        <is>
          <t>14 X 20</t>
        </is>
      </c>
      <c r="J458" s="169" t="n">
        <v>2</v>
      </c>
      <c r="K458" s="171" t="n"/>
      <c r="L458" s="14" t="n"/>
      <c r="M458" s="15" t="n">
        <v>0.6977821913273751</v>
      </c>
      <c r="N458" s="14" t="n"/>
      <c r="O458" s="16" t="n"/>
    </row>
    <row r="459" ht="15.75" customHeight="1">
      <c r="A459" s="234" t="n"/>
      <c r="B459" s="234" t="n"/>
      <c r="C459" s="175" t="inlineStr">
        <is>
          <t>SCFG</t>
        </is>
      </c>
      <c r="D459" s="166" t="inlineStr">
        <is>
          <t>-</t>
        </is>
      </c>
      <c r="E459" s="166" t="n">
        <v>15</v>
      </c>
      <c r="F459" s="166" t="inlineStr">
        <is>
          <t>Single</t>
        </is>
      </c>
      <c r="G459" s="166" t="inlineStr">
        <is>
          <t>MSX 86 SCFG</t>
        </is>
      </c>
      <c r="H459" s="166" t="inlineStr">
        <is>
          <t>255 X 351</t>
        </is>
      </c>
      <c r="I459" s="166" t="inlineStr">
        <is>
          <t>29 X 54</t>
        </is>
      </c>
      <c r="J459" s="166" t="n">
        <v>10</v>
      </c>
      <c r="K459" s="176" t="n"/>
      <c r="L459" s="25" t="n"/>
      <c r="M459" s="26" t="n">
        <v>0.3381642512077295</v>
      </c>
      <c r="N459" s="25" t="n"/>
      <c r="O459" s="27" t="n"/>
    </row>
    <row r="460">
      <c r="A460" s="188" t="n"/>
      <c r="B460" s="236" t="n"/>
      <c r="C460" s="236" t="n"/>
      <c r="D460" s="236" t="n"/>
      <c r="E460" s="236" t="n"/>
      <c r="F460" s="236" t="n"/>
      <c r="G460" s="236" t="n"/>
      <c r="H460" s="236" t="n"/>
      <c r="I460" s="236" t="n"/>
      <c r="J460" s="236" t="n"/>
      <c r="K460" s="236" t="n"/>
      <c r="L460" s="236" t="n"/>
      <c r="M460" s="236" t="n"/>
      <c r="N460" s="236" t="n"/>
      <c r="O460" s="237" t="n"/>
    </row>
    <row r="461">
      <c r="A461" s="238" t="n"/>
      <c r="O461" s="239" t="n"/>
    </row>
    <row r="462" ht="13.5" customHeight="1">
      <c r="A462" s="240" t="n"/>
      <c r="B462" s="241" t="n"/>
      <c r="C462" s="241" t="n"/>
      <c r="D462" s="241" t="n"/>
      <c r="E462" s="241" t="n"/>
      <c r="F462" s="241" t="n"/>
      <c r="G462" s="241" t="n"/>
      <c r="H462" s="241" t="n"/>
      <c r="I462" s="241" t="n"/>
      <c r="J462" s="241" t="n"/>
      <c r="K462" s="241" t="n"/>
      <c r="L462" s="241" t="n"/>
      <c r="M462" s="241" t="n"/>
      <c r="N462" s="241" t="n"/>
      <c r="O462" s="242" t="n"/>
    </row>
    <row r="463" ht="15" customHeight="1">
      <c r="A463" s="218" t="n"/>
      <c r="B463" s="219" t="n"/>
      <c r="C463" s="219" t="n"/>
      <c r="D463" s="219" t="n"/>
      <c r="E463" s="219" t="n"/>
      <c r="F463" s="219" t="n"/>
      <c r="G463" s="219" t="n"/>
      <c r="H463" s="219" t="n"/>
      <c r="I463" s="219" t="n"/>
      <c r="J463" s="219" t="n"/>
      <c r="K463" s="219" t="n"/>
      <c r="L463" s="219" t="n"/>
      <c r="M463" s="219" t="n"/>
      <c r="N463" s="219" t="n"/>
      <c r="O463" s="220" t="n"/>
    </row>
    <row r="464" ht="15" customHeight="1">
      <c r="A464" s="197" t="n">
        <v>1</v>
      </c>
      <c r="B464" s="198" t="inlineStr">
        <is>
          <t>Kwik 0</t>
        </is>
      </c>
      <c r="C464" s="221" t="inlineStr">
        <is>
          <t>Fabric</t>
        </is>
      </c>
      <c r="D464" s="180" t="n"/>
      <c r="E464" s="180" t="n"/>
      <c r="F464" s="180" t="n"/>
      <c r="G464" s="180" t="n"/>
      <c r="H464" s="180" t="n"/>
      <c r="I464" s="180" t="n"/>
      <c r="J464" s="180" t="n"/>
      <c r="K464" s="181" t="n"/>
      <c r="L464" s="31" t="n"/>
      <c r="M464" s="32" t="e">
        <v>#N/A</v>
      </c>
      <c r="N464" s="31" t="n"/>
      <c r="O464" s="33" t="n"/>
    </row>
    <row r="465" ht="15.75" customHeight="1">
      <c r="A465" s="234" t="n"/>
      <c r="B465" s="234" t="n"/>
      <c r="C465" s="175" t="inlineStr">
        <is>
          <t>SCFG</t>
        </is>
      </c>
      <c r="D465" s="166" t="inlineStr">
        <is>
          <t>-</t>
        </is>
      </c>
      <c r="E465" s="166" t="n">
        <v>15</v>
      </c>
      <c r="F465" s="166" t="inlineStr">
        <is>
          <t>Single</t>
        </is>
      </c>
      <c r="G465" s="166" t="inlineStr">
        <is>
          <t>KWIK 0 SCFG</t>
        </is>
      </c>
      <c r="H465" s="166" t="n">
        <v>60</v>
      </c>
      <c r="I465" s="166" t="inlineStr">
        <is>
          <t>22 X 22</t>
        </is>
      </c>
      <c r="J465" s="166" t="n">
        <v>49</v>
      </c>
      <c r="K465" s="176" t="n"/>
      <c r="L465" s="25" t="n"/>
      <c r="M465" s="26" t="n">
        <v>0.3381642512077295</v>
      </c>
      <c r="N465" s="25" t="n"/>
      <c r="O465" s="27" t="n"/>
    </row>
    <row r="466" ht="15" customHeight="1">
      <c r="A466" s="197" t="n">
        <v>2</v>
      </c>
      <c r="B466" s="198" t="inlineStr">
        <is>
          <t>Kwik 1</t>
        </is>
      </c>
      <c r="C466" s="221" t="inlineStr">
        <is>
          <t>Fabric</t>
        </is>
      </c>
      <c r="D466" s="180" t="n"/>
      <c r="E466" s="180" t="n"/>
      <c r="F466" s="180" t="n"/>
      <c r="G466" s="180" t="n"/>
      <c r="H466" s="180" t="n"/>
      <c r="I466" s="180" t="n"/>
      <c r="J466" s="180" t="n"/>
      <c r="K466" s="181" t="n"/>
      <c r="L466" s="31" t="n"/>
      <c r="M466" s="32" t="e">
        <v>#N/A</v>
      </c>
      <c r="N466" s="31" t="n"/>
      <c r="O466" s="33" t="n"/>
    </row>
    <row r="467" ht="15.75" customHeight="1">
      <c r="A467" s="234" t="n"/>
      <c r="B467" s="234" t="n"/>
      <c r="C467" s="175" t="inlineStr">
        <is>
          <t>SCFG</t>
        </is>
      </c>
      <c r="D467" s="166" t="inlineStr">
        <is>
          <t>-</t>
        </is>
      </c>
      <c r="E467" s="166" t="n">
        <v>15</v>
      </c>
      <c r="F467" s="166" t="inlineStr">
        <is>
          <t>Single</t>
        </is>
      </c>
      <c r="G467" s="166" t="inlineStr">
        <is>
          <t>KWIK 1 SCFG</t>
        </is>
      </c>
      <c r="H467" s="166" t="n">
        <v>75</v>
      </c>
      <c r="I467" s="166" t="inlineStr">
        <is>
          <t>22.5 X 22.5</t>
        </is>
      </c>
      <c r="J467" s="166" t="n">
        <v>36</v>
      </c>
      <c r="K467" s="176" t="n"/>
      <c r="L467" s="25" t="n"/>
      <c r="M467" s="26" t="n">
        <v>0.3381642512077295</v>
      </c>
      <c r="N467" s="25" t="n"/>
      <c r="O467" s="27" t="n"/>
    </row>
    <row r="468" ht="15" customHeight="1">
      <c r="A468" s="197" t="n">
        <v>3</v>
      </c>
      <c r="B468" s="198" t="inlineStr">
        <is>
          <t>Kwik 2</t>
        </is>
      </c>
      <c r="C468" s="184" t="inlineStr">
        <is>
          <t>LVP</t>
        </is>
      </c>
      <c r="D468" s="180" t="inlineStr">
        <is>
          <t>Top</t>
        </is>
      </c>
      <c r="E468" s="180" t="n">
        <v>75</v>
      </c>
      <c r="F468" s="180" t="inlineStr">
        <is>
          <t>Passing</t>
        </is>
      </c>
      <c r="G468" s="180" t="inlineStr">
        <is>
          <t>KWIK 2 LVP</t>
        </is>
      </c>
      <c r="H468" s="180" t="n">
        <v>70</v>
      </c>
      <c r="I468" s="180" t="inlineStr">
        <is>
          <t>23 X 23</t>
        </is>
      </c>
      <c r="J468" s="180" t="n">
        <v>49</v>
      </c>
      <c r="K468" s="181" t="n"/>
      <c r="L468" s="31" t="n"/>
      <c r="M468" s="32" t="n">
        <v>1.433962264150943</v>
      </c>
      <c r="N468" s="31" t="n"/>
      <c r="O468" s="33" t="n"/>
    </row>
    <row r="469" ht="15" customHeight="1">
      <c r="A469" s="232" t="n"/>
      <c r="B469" s="232" t="n"/>
      <c r="C469" s="235" t="n"/>
      <c r="D469" s="169" t="inlineStr">
        <is>
          <t>Bottom</t>
        </is>
      </c>
      <c r="E469" s="169" t="n"/>
      <c r="F469" s="169" t="n"/>
      <c r="G469" s="169" t="n"/>
      <c r="H469" s="169" t="n"/>
      <c r="I469" s="169" t="n"/>
      <c r="J469" s="169" t="n"/>
      <c r="K469" s="171" t="n"/>
      <c r="L469" s="14" t="n"/>
      <c r="M469" s="15" t="e">
        <v>#N/A</v>
      </c>
      <c r="N469" s="14" t="n"/>
      <c r="O469" s="16" t="n"/>
    </row>
    <row r="470" ht="15.75" customHeight="1">
      <c r="A470" s="234" t="n"/>
      <c r="B470" s="234" t="n"/>
      <c r="C470" s="175" t="inlineStr">
        <is>
          <t>SCFG</t>
        </is>
      </c>
      <c r="D470" s="166" t="inlineStr">
        <is>
          <t>-</t>
        </is>
      </c>
      <c r="E470" s="166" t="n">
        <v>15</v>
      </c>
      <c r="F470" s="166" t="inlineStr">
        <is>
          <t>Single</t>
        </is>
      </c>
      <c r="G470" s="166" t="inlineStr">
        <is>
          <t>KWIK 2 SCFG</t>
        </is>
      </c>
      <c r="H470" s="166" t="n">
        <v>89</v>
      </c>
      <c r="I470" s="166" t="inlineStr">
        <is>
          <t>21.5 X 21.5</t>
        </is>
      </c>
      <c r="J470" s="166" t="n">
        <v>25</v>
      </c>
      <c r="K470" s="176" t="n"/>
      <c r="L470" s="25" t="n"/>
      <c r="M470" s="26" t="n">
        <v>0.3381642512077295</v>
      </c>
      <c r="N470" s="25" t="n"/>
      <c r="O470" s="154" t="n"/>
    </row>
    <row r="471" ht="15" customHeight="1">
      <c r="A471" s="197" t="n">
        <v>4</v>
      </c>
      <c r="B471" s="198" t="inlineStr">
        <is>
          <t>Kwik 3</t>
        </is>
      </c>
      <c r="C471" s="184" t="inlineStr">
        <is>
          <t>LVP</t>
        </is>
      </c>
      <c r="D471" s="180" t="inlineStr">
        <is>
          <t>Top</t>
        </is>
      </c>
      <c r="E471" s="180" t="n">
        <v>40</v>
      </c>
      <c r="F471" s="180" t="inlineStr">
        <is>
          <t>Single</t>
        </is>
      </c>
      <c r="G471" s="180" t="inlineStr">
        <is>
          <t>KWIK 3 LVP</t>
        </is>
      </c>
      <c r="H471" s="180" t="inlineStr">
        <is>
          <t>89 x 89</t>
        </is>
      </c>
      <c r="I471" s="180" t="inlineStr">
        <is>
          <t>24 X 24</t>
        </is>
      </c>
      <c r="J471" s="180" t="n">
        <v>36</v>
      </c>
      <c r="K471" s="181" t="n"/>
      <c r="L471" s="31" t="n"/>
      <c r="M471" s="32" t="n">
        <v>0.6977821913273751</v>
      </c>
      <c r="N471" s="31" t="n"/>
      <c r="O471" s="155" t="n"/>
    </row>
    <row r="472" ht="15" customHeight="1">
      <c r="A472" s="232" t="n"/>
      <c r="B472" s="232" t="n"/>
      <c r="C472" s="235" t="n"/>
      <c r="D472" s="169" t="inlineStr">
        <is>
          <t>Bottom</t>
        </is>
      </c>
      <c r="E472" s="169" t="n">
        <v>40</v>
      </c>
      <c r="F472" s="169" t="inlineStr">
        <is>
          <t>Single</t>
        </is>
      </c>
      <c r="G472" s="180" t="inlineStr">
        <is>
          <t>KWIK 3 LVP</t>
        </is>
      </c>
      <c r="H472" s="180" t="inlineStr">
        <is>
          <t>89 x 89</t>
        </is>
      </c>
      <c r="I472" s="180" t="inlineStr">
        <is>
          <t>24 X 24</t>
        </is>
      </c>
      <c r="J472" s="180" t="n">
        <v>36</v>
      </c>
      <c r="K472" s="171" t="n"/>
      <c r="L472" s="14" t="n"/>
      <c r="M472" s="15" t="n">
        <v>0.6977821913273751</v>
      </c>
      <c r="N472" s="14" t="n"/>
      <c r="O472" s="156" t="n"/>
    </row>
    <row r="473" ht="15.75" customHeight="1">
      <c r="A473" s="234" t="n"/>
      <c r="B473" s="234" t="n"/>
      <c r="C473" s="175" t="inlineStr">
        <is>
          <t>SCFG</t>
        </is>
      </c>
      <c r="D473" s="166" t="inlineStr">
        <is>
          <t>-</t>
        </is>
      </c>
      <c r="E473" s="166" t="n">
        <v>15</v>
      </c>
      <c r="F473" s="166" t="inlineStr">
        <is>
          <t>Single</t>
        </is>
      </c>
      <c r="G473" s="166" t="inlineStr">
        <is>
          <t>KWIK 3 SCFG</t>
        </is>
      </c>
      <c r="H473" s="166" t="inlineStr">
        <is>
          <t>108 x 108</t>
        </is>
      </c>
      <c r="I473" s="166" t="inlineStr">
        <is>
          <t>25 X 25</t>
        </is>
      </c>
      <c r="J473" s="166" t="n">
        <v>25</v>
      </c>
      <c r="K473" s="176" t="n"/>
      <c r="L473" s="25" t="n"/>
      <c r="M473" s="26" t="n">
        <v>0.3381642512077295</v>
      </c>
      <c r="N473" s="25" t="n"/>
      <c r="O473" s="157" t="n"/>
    </row>
    <row r="474" ht="15" customHeight="1">
      <c r="A474" s="197" t="n">
        <v>5</v>
      </c>
      <c r="B474" s="198" t="inlineStr">
        <is>
          <t>Kwik 4</t>
        </is>
      </c>
      <c r="C474" s="184" t="inlineStr">
        <is>
          <t>LVP</t>
        </is>
      </c>
      <c r="D474" s="180" t="inlineStr">
        <is>
          <t>Top</t>
        </is>
      </c>
      <c r="E474" s="180" t="n">
        <v>60</v>
      </c>
      <c r="F474" s="180" t="inlineStr">
        <is>
          <t>Single</t>
        </is>
      </c>
      <c r="G474" s="180" t="inlineStr">
        <is>
          <t>KWIK 4 LVP</t>
        </is>
      </c>
      <c r="H474" s="180" t="inlineStr">
        <is>
          <t>136 x 136</t>
        </is>
      </c>
      <c r="I474" s="180" t="inlineStr">
        <is>
          <t>23.5 X 23.5</t>
        </is>
      </c>
      <c r="J474" s="180" t="n">
        <v>16</v>
      </c>
      <c r="K474" s="181" t="n"/>
      <c r="L474" s="31" t="n"/>
      <c r="M474" s="32" t="n">
        <v>1.103988603988604</v>
      </c>
      <c r="N474" s="31" t="n"/>
      <c r="O474" s="153" t="n"/>
    </row>
    <row r="475" ht="15" customHeight="1">
      <c r="A475" s="232" t="n"/>
      <c r="B475" s="232" t="n"/>
      <c r="C475" s="235" t="n"/>
      <c r="D475" s="169" t="inlineStr">
        <is>
          <t>Bottom</t>
        </is>
      </c>
      <c r="E475" s="169" t="n">
        <v>40</v>
      </c>
      <c r="F475" s="169" t="inlineStr">
        <is>
          <t>Single</t>
        </is>
      </c>
      <c r="G475" s="180" t="inlineStr">
        <is>
          <t>KWIK 4 LVP</t>
        </is>
      </c>
      <c r="H475" s="180" t="inlineStr">
        <is>
          <t>136 x 136</t>
        </is>
      </c>
      <c r="I475" s="180" t="inlineStr">
        <is>
          <t>23.5 X 23.5</t>
        </is>
      </c>
      <c r="J475" s="180" t="n">
        <v>16</v>
      </c>
      <c r="K475" s="171" t="n"/>
      <c r="L475" s="14" t="n"/>
      <c r="M475" s="15" t="n">
        <v>0.6977821913273751</v>
      </c>
      <c r="N475" s="14" t="n"/>
      <c r="O475" s="158" t="n"/>
    </row>
    <row r="476" ht="15.75" customHeight="1">
      <c r="A476" s="234" t="n"/>
      <c r="B476" s="234" t="n"/>
      <c r="C476" s="175" t="inlineStr">
        <is>
          <t>SCFG</t>
        </is>
      </c>
      <c r="D476" s="166" t="inlineStr">
        <is>
          <t>-</t>
        </is>
      </c>
      <c r="E476" s="166" t="n">
        <v>15</v>
      </c>
      <c r="F476" s="166" t="inlineStr">
        <is>
          <t>Single</t>
        </is>
      </c>
      <c r="G476" s="166" t="inlineStr">
        <is>
          <t>KWIK 4 SCFG</t>
        </is>
      </c>
      <c r="H476" s="166" t="inlineStr">
        <is>
          <t>161 x 161</t>
        </is>
      </c>
      <c r="I476" s="166" t="inlineStr">
        <is>
          <t>21.5 X 21.5</t>
        </is>
      </c>
      <c r="J476" s="166" t="n">
        <v>9</v>
      </c>
      <c r="K476" s="176" t="n"/>
      <c r="L476" s="25" t="n"/>
      <c r="M476" s="26" t="n">
        <v>0.3381642512077295</v>
      </c>
      <c r="N476" s="25" t="n"/>
      <c r="O476" s="27" t="n"/>
    </row>
    <row r="477" ht="15" customHeight="1">
      <c r="A477" s="197" t="n">
        <v>6</v>
      </c>
      <c r="B477" s="198" t="inlineStr">
        <is>
          <t>Kwik 5</t>
        </is>
      </c>
      <c r="C477" s="184" t="inlineStr">
        <is>
          <t>LVP</t>
        </is>
      </c>
      <c r="D477" s="180" t="inlineStr">
        <is>
          <t>Top</t>
        </is>
      </c>
      <c r="E477" s="180" t="n">
        <v>60</v>
      </c>
      <c r="F477" s="180" t="inlineStr">
        <is>
          <t>Single</t>
        </is>
      </c>
      <c r="G477" s="180" t="inlineStr">
        <is>
          <t>KWIK 5 LVP</t>
        </is>
      </c>
      <c r="H477" s="180" t="inlineStr">
        <is>
          <t>165 X 165</t>
        </is>
      </c>
      <c r="I477" s="180" t="inlineStr">
        <is>
          <t>21 X 21</t>
        </is>
      </c>
      <c r="J477" s="180" t="n">
        <v>9</v>
      </c>
      <c r="K477" s="181" t="n"/>
      <c r="L477" s="31" t="n"/>
      <c r="M477" s="32" t="n">
        <v>1.103988603988604</v>
      </c>
      <c r="N477" s="31" t="n"/>
      <c r="O477" s="153" t="n"/>
    </row>
    <row r="478" ht="15" customHeight="1">
      <c r="A478" s="232" t="n"/>
      <c r="B478" s="232" t="n"/>
      <c r="C478" s="235" t="n"/>
      <c r="D478" s="169" t="inlineStr">
        <is>
          <t>Bottom</t>
        </is>
      </c>
      <c r="E478" s="169" t="n">
        <v>40</v>
      </c>
      <c r="F478" s="169" t="inlineStr">
        <is>
          <t>Single</t>
        </is>
      </c>
      <c r="G478" s="180" t="inlineStr">
        <is>
          <t>KWIK 5 LVP</t>
        </is>
      </c>
      <c r="H478" s="180" t="inlineStr">
        <is>
          <t>165 X 165</t>
        </is>
      </c>
      <c r="I478" s="180" t="inlineStr">
        <is>
          <t>21 X 21</t>
        </is>
      </c>
      <c r="J478" s="180" t="n">
        <v>9</v>
      </c>
      <c r="K478" s="171" t="n"/>
      <c r="L478" s="14" t="n"/>
      <c r="M478" s="15" t="n">
        <v>0.6977821913273751</v>
      </c>
      <c r="N478" s="14" t="n"/>
      <c r="O478" s="158" t="n"/>
    </row>
    <row r="479" ht="15.75" customHeight="1">
      <c r="A479" s="234" t="n"/>
      <c r="B479" s="234" t="n"/>
      <c r="C479" s="175" t="inlineStr">
        <is>
          <t>SCFG</t>
        </is>
      </c>
      <c r="D479" s="166" t="inlineStr">
        <is>
          <t>-</t>
        </is>
      </c>
      <c r="E479" s="166" t="n">
        <v>15</v>
      </c>
      <c r="F479" s="166" t="inlineStr">
        <is>
          <t>Single</t>
        </is>
      </c>
      <c r="G479" s="166" t="inlineStr">
        <is>
          <t>KWIK 5 SCFG</t>
        </is>
      </c>
      <c r="H479" s="166" t="inlineStr">
        <is>
          <t>188 x 188</t>
        </is>
      </c>
      <c r="I479" s="166" t="inlineStr">
        <is>
          <t>24.5 X 24.5</t>
        </is>
      </c>
      <c r="J479" s="166" t="n">
        <v>9</v>
      </c>
      <c r="K479" s="176" t="n"/>
      <c r="L479" s="25" t="n"/>
      <c r="M479" s="26" t="n">
        <v>0.3381642512077295</v>
      </c>
      <c r="N479" s="25" t="n"/>
      <c r="O479" s="154" t="n"/>
    </row>
    <row r="480" ht="15" customHeight="1">
      <c r="A480" s="197" t="n">
        <v>7</v>
      </c>
      <c r="B480" s="198" t="inlineStr">
        <is>
          <t>Kwik 5.5</t>
        </is>
      </c>
      <c r="C480" s="184" t="inlineStr">
        <is>
          <t>LVP</t>
        </is>
      </c>
      <c r="D480" s="180" t="inlineStr">
        <is>
          <t>Top</t>
        </is>
      </c>
      <c r="E480" s="180" t="n">
        <v>60</v>
      </c>
      <c r="F480" s="180" t="inlineStr">
        <is>
          <t>Single</t>
        </is>
      </c>
      <c r="G480" s="180" t="inlineStr">
        <is>
          <t>KWIK 5.5 LVP</t>
        </is>
      </c>
      <c r="H480" s="180" t="inlineStr">
        <is>
          <t>185 X 185</t>
        </is>
      </c>
      <c r="I480" s="180" t="inlineStr">
        <is>
          <t>23.5 X 23.5</t>
        </is>
      </c>
      <c r="J480" s="180" t="n">
        <v>9</v>
      </c>
      <c r="K480" s="181" t="n"/>
      <c r="L480" s="31" t="n"/>
      <c r="M480" s="32" t="n">
        <v>1.103988603988604</v>
      </c>
      <c r="N480" s="31" t="n"/>
      <c r="O480" s="153" t="n"/>
    </row>
    <row r="481" ht="15" customHeight="1">
      <c r="A481" s="232" t="n"/>
      <c r="B481" s="232" t="n"/>
      <c r="C481" s="235" t="n"/>
      <c r="D481" s="169" t="inlineStr">
        <is>
          <t>Bottom</t>
        </is>
      </c>
      <c r="E481" s="169" t="n">
        <v>40</v>
      </c>
      <c r="F481" s="169" t="inlineStr">
        <is>
          <t>Single</t>
        </is>
      </c>
      <c r="G481" s="180" t="inlineStr">
        <is>
          <t>KWIK 5.5 LVP</t>
        </is>
      </c>
      <c r="H481" s="180" t="inlineStr">
        <is>
          <t>185 X 185</t>
        </is>
      </c>
      <c r="I481" s="180" t="inlineStr">
        <is>
          <t>23.5 X 23.5</t>
        </is>
      </c>
      <c r="J481" s="180" t="n">
        <v>9</v>
      </c>
      <c r="K481" s="171" t="n"/>
      <c r="L481" s="14" t="n"/>
      <c r="M481" s="15" t="n">
        <v>0.6977821913273751</v>
      </c>
      <c r="N481" s="14" t="n"/>
      <c r="O481" s="158" t="n"/>
    </row>
    <row r="482" ht="15.75" customHeight="1">
      <c r="A482" s="234" t="n"/>
      <c r="B482" s="234" t="n"/>
      <c r="C482" s="175" t="inlineStr">
        <is>
          <t>SCFG</t>
        </is>
      </c>
      <c r="D482" s="166" t="inlineStr">
        <is>
          <t>-</t>
        </is>
      </c>
      <c r="E482" s="166" t="n">
        <v>15</v>
      </c>
      <c r="F482" s="166" t="inlineStr">
        <is>
          <t>Single</t>
        </is>
      </c>
      <c r="G482" s="169" t="inlineStr">
        <is>
          <t>KWIK 5.5 SCFG</t>
        </is>
      </c>
      <c r="H482" s="169" t="inlineStr">
        <is>
          <t>207 X 207</t>
        </is>
      </c>
      <c r="I482" s="166" t="inlineStr">
        <is>
          <t>27 X 27</t>
        </is>
      </c>
      <c r="J482" s="166" t="n">
        <v>9</v>
      </c>
      <c r="K482" s="176" t="n"/>
      <c r="L482" s="25" t="n"/>
      <c r="M482" s="26" t="n">
        <v>0.3381642512077295</v>
      </c>
      <c r="N482" s="25" t="n"/>
      <c r="O482" s="154" t="n"/>
    </row>
    <row r="483" ht="15" customHeight="1">
      <c r="A483" s="197" t="n">
        <v>8</v>
      </c>
      <c r="B483" s="198" t="inlineStr">
        <is>
          <t>Kwik 6</t>
        </is>
      </c>
      <c r="C483" s="184" t="inlineStr">
        <is>
          <t>LVP</t>
        </is>
      </c>
      <c r="D483" s="180" t="inlineStr">
        <is>
          <t>Top</t>
        </is>
      </c>
      <c r="E483" s="180" t="n">
        <v>60</v>
      </c>
      <c r="F483" s="180" t="inlineStr">
        <is>
          <t>Single</t>
        </is>
      </c>
      <c r="G483" s="180" t="inlineStr">
        <is>
          <t>KWIK 6 LVP</t>
        </is>
      </c>
      <c r="H483" s="180" t="inlineStr">
        <is>
          <t>236 X 236</t>
        </is>
      </c>
      <c r="I483" s="180" t="inlineStr">
        <is>
          <t>20 X 20</t>
        </is>
      </c>
      <c r="J483" s="180" t="n">
        <v>4</v>
      </c>
      <c r="K483" s="181" t="n"/>
      <c r="L483" s="31" t="n"/>
      <c r="M483" s="32" t="n">
        <v>1.103988603988604</v>
      </c>
      <c r="N483" s="31" t="n"/>
      <c r="O483" s="153" t="n"/>
    </row>
    <row r="484" ht="15" customHeight="1">
      <c r="A484" s="232" t="n"/>
      <c r="B484" s="232" t="n"/>
      <c r="C484" s="235" t="n"/>
      <c r="D484" s="169" t="inlineStr">
        <is>
          <t>Bottom</t>
        </is>
      </c>
      <c r="E484" s="169" t="n">
        <v>40</v>
      </c>
      <c r="F484" s="169" t="inlineStr">
        <is>
          <t>Single</t>
        </is>
      </c>
      <c r="G484" s="180" t="inlineStr">
        <is>
          <t>KWIK 6 LVP</t>
        </is>
      </c>
      <c r="H484" s="180" t="inlineStr">
        <is>
          <t>236 X 236</t>
        </is>
      </c>
      <c r="I484" s="180" t="inlineStr">
        <is>
          <t>20 X 20</t>
        </is>
      </c>
      <c r="J484" s="180" t="n">
        <v>4</v>
      </c>
      <c r="K484" s="171" t="n"/>
      <c r="L484" s="14" t="n"/>
      <c r="M484" s="15" t="n">
        <v>0.6977821913273751</v>
      </c>
      <c r="N484" s="14" t="n"/>
      <c r="O484" s="158" t="n"/>
    </row>
    <row r="485" ht="15.75" customHeight="1">
      <c r="A485" s="234" t="n"/>
      <c r="B485" s="234" t="n"/>
      <c r="C485" s="175" t="inlineStr">
        <is>
          <t>SCFG</t>
        </is>
      </c>
      <c r="D485" s="166" t="inlineStr">
        <is>
          <t>-</t>
        </is>
      </c>
      <c r="E485" s="166" t="n">
        <v>15</v>
      </c>
      <c r="F485" s="166" t="inlineStr">
        <is>
          <t>Single</t>
        </is>
      </c>
      <c r="G485" s="166" t="inlineStr">
        <is>
          <t>KWIK 6 SCFG</t>
        </is>
      </c>
      <c r="H485" s="166" t="inlineStr">
        <is>
          <t>262 X 262</t>
        </is>
      </c>
      <c r="I485" s="166" t="inlineStr">
        <is>
          <t>22 X 22</t>
        </is>
      </c>
      <c r="J485" s="166" t="n">
        <v>4</v>
      </c>
      <c r="K485" s="176" t="n"/>
      <c r="L485" s="25" t="n"/>
      <c r="M485" s="26" t="n">
        <v>0.3381642512077295</v>
      </c>
      <c r="N485" s="25" t="n"/>
      <c r="O485" s="154" t="n"/>
    </row>
    <row r="486" ht="15" customHeight="1">
      <c r="A486" s="197" t="n">
        <v>9</v>
      </c>
      <c r="B486" s="198" t="inlineStr">
        <is>
          <t>Kwik 7</t>
        </is>
      </c>
      <c r="C486" s="184" t="inlineStr">
        <is>
          <t>LVP</t>
        </is>
      </c>
      <c r="D486" s="180" t="inlineStr">
        <is>
          <t>Top</t>
        </is>
      </c>
      <c r="E486" s="180" t="n">
        <v>60</v>
      </c>
      <c r="F486" s="180" t="inlineStr">
        <is>
          <t>Single</t>
        </is>
      </c>
      <c r="G486" s="180" t="inlineStr">
        <is>
          <t>KWIK 7 LVP</t>
        </is>
      </c>
      <c r="H486" s="180" t="inlineStr">
        <is>
          <t>290 X 290</t>
        </is>
      </c>
      <c r="I486" s="180" t="inlineStr">
        <is>
          <t>24 X 24</t>
        </is>
      </c>
      <c r="J486" s="180" t="n">
        <v>4</v>
      </c>
      <c r="K486" s="181" t="n"/>
      <c r="L486" s="31" t="n"/>
      <c r="M486" s="32" t="n">
        <v>1.103988603988604</v>
      </c>
      <c r="N486" s="31" t="n"/>
      <c r="O486" s="103" t="n"/>
    </row>
    <row r="487" ht="15" customHeight="1">
      <c r="A487" s="232" t="n"/>
      <c r="B487" s="232" t="n"/>
      <c r="C487" s="235" t="n"/>
      <c r="D487" s="169" t="inlineStr">
        <is>
          <t>Bottom</t>
        </is>
      </c>
      <c r="E487" s="169" t="n">
        <v>40</v>
      </c>
      <c r="F487" s="169" t="inlineStr">
        <is>
          <t>Single</t>
        </is>
      </c>
      <c r="G487" s="180" t="inlineStr">
        <is>
          <t>KWIK 7 LVP</t>
        </is>
      </c>
      <c r="H487" s="180" t="inlineStr">
        <is>
          <t>290 X 290</t>
        </is>
      </c>
      <c r="I487" s="180" t="inlineStr">
        <is>
          <t>24 X 24</t>
        </is>
      </c>
      <c r="J487" s="180" t="n">
        <v>4</v>
      </c>
      <c r="K487" s="171" t="n"/>
      <c r="L487" s="14" t="n"/>
      <c r="M487" s="15" t="n">
        <v>0.6977821913273751</v>
      </c>
      <c r="N487" s="14" t="n"/>
      <c r="O487" s="104" t="n"/>
    </row>
    <row r="488" ht="15.75" customHeight="1">
      <c r="A488" s="234" t="n"/>
      <c r="B488" s="234" t="n"/>
      <c r="C488" s="175" t="inlineStr">
        <is>
          <t>SCFG</t>
        </is>
      </c>
      <c r="D488" s="166" t="inlineStr">
        <is>
          <t>-</t>
        </is>
      </c>
      <c r="E488" s="166" t="n">
        <v>15</v>
      </c>
      <c r="F488" s="166" t="inlineStr">
        <is>
          <t>Single</t>
        </is>
      </c>
      <c r="G488" s="166" t="inlineStr">
        <is>
          <t>KWIK 7 SCFG</t>
        </is>
      </c>
      <c r="H488" s="166" t="inlineStr">
        <is>
          <t>311 X 311</t>
        </is>
      </c>
      <c r="I488" s="166" t="inlineStr">
        <is>
          <t>26 X 26</t>
        </is>
      </c>
      <c r="J488" s="166" t="n">
        <v>4</v>
      </c>
      <c r="K488" s="176" t="n"/>
      <c r="L488" s="25" t="n"/>
      <c r="M488" s="26" t="n">
        <v>0.3381642512077295</v>
      </c>
      <c r="N488" s="25" t="n"/>
      <c r="O488" s="27" t="n"/>
    </row>
    <row r="489" ht="15" customHeight="1">
      <c r="A489" s="197" t="n">
        <v>10</v>
      </c>
      <c r="B489" s="198" t="inlineStr">
        <is>
          <t>Kwik 8</t>
        </is>
      </c>
      <c r="C489" s="184" t="inlineStr">
        <is>
          <t>LVP</t>
        </is>
      </c>
      <c r="D489" s="180" t="inlineStr">
        <is>
          <t>Top</t>
        </is>
      </c>
      <c r="E489" s="180" t="n">
        <v>60</v>
      </c>
      <c r="F489" s="180" t="inlineStr">
        <is>
          <t>Single</t>
        </is>
      </c>
      <c r="G489" s="180" t="inlineStr">
        <is>
          <t>KWIK 8 LVP</t>
        </is>
      </c>
      <c r="H489" s="180" t="inlineStr">
        <is>
          <t>340 X 340</t>
        </is>
      </c>
      <c r="I489" s="180" t="inlineStr">
        <is>
          <t>28 X 28</t>
        </is>
      </c>
      <c r="J489" s="180" t="n">
        <v>4</v>
      </c>
      <c r="K489" s="181" t="n"/>
      <c r="L489" s="31" t="n"/>
      <c r="M489" s="32" t="n">
        <v>1.103988603988604</v>
      </c>
      <c r="N489" s="31" t="n"/>
      <c r="O489" s="153" t="n"/>
    </row>
    <row r="490" ht="15" customHeight="1">
      <c r="A490" s="232" t="n"/>
      <c r="B490" s="232" t="n"/>
      <c r="C490" s="235" t="n"/>
      <c r="D490" s="169" t="inlineStr">
        <is>
          <t>Bottom</t>
        </is>
      </c>
      <c r="E490" s="169" t="n">
        <v>40</v>
      </c>
      <c r="F490" s="169" t="inlineStr">
        <is>
          <t>Single</t>
        </is>
      </c>
      <c r="G490" s="180" t="inlineStr">
        <is>
          <t>KWIK 8 LVP</t>
        </is>
      </c>
      <c r="H490" s="180" t="inlineStr">
        <is>
          <t>340 X 340</t>
        </is>
      </c>
      <c r="I490" s="180" t="inlineStr">
        <is>
          <t>28 X 28</t>
        </is>
      </c>
      <c r="J490" s="180" t="n">
        <v>4</v>
      </c>
      <c r="K490" s="171" t="n"/>
      <c r="L490" s="14" t="n"/>
      <c r="M490" s="15" t="n">
        <v>0.6977821913273751</v>
      </c>
      <c r="N490" s="14" t="n"/>
      <c r="O490" s="158" t="n"/>
    </row>
    <row r="491" ht="15.75" customHeight="1">
      <c r="A491" s="234" t="n"/>
      <c r="B491" s="234" t="n"/>
      <c r="C491" s="175" t="inlineStr">
        <is>
          <t>SCFG</t>
        </is>
      </c>
      <c r="D491" s="166" t="inlineStr">
        <is>
          <t>-</t>
        </is>
      </c>
      <c r="E491" s="166" t="n">
        <v>15</v>
      </c>
      <c r="F491" s="166" t="inlineStr">
        <is>
          <t>Single</t>
        </is>
      </c>
      <c r="G491" s="166" t="inlineStr">
        <is>
          <t>KWIK 8 SCFG</t>
        </is>
      </c>
      <c r="H491" s="166" t="inlineStr">
        <is>
          <t>363 X 363</t>
        </is>
      </c>
      <c r="I491" s="166" t="inlineStr">
        <is>
          <t>30 X 30</t>
        </is>
      </c>
      <c r="J491" s="166" t="n">
        <v>4</v>
      </c>
      <c r="K491" s="176" t="n"/>
      <c r="L491" s="25" t="n"/>
      <c r="M491" s="26" t="n">
        <v>0.3381642512077295</v>
      </c>
      <c r="N491" s="25" t="n"/>
      <c r="O491" s="27" t="n"/>
    </row>
    <row r="492" ht="15" customHeight="1">
      <c r="A492" s="197" t="n">
        <v>11</v>
      </c>
      <c r="B492" s="198" t="inlineStr">
        <is>
          <t>Kwik 9</t>
        </is>
      </c>
      <c r="C492" s="184" t="inlineStr">
        <is>
          <t>LVP</t>
        </is>
      </c>
      <c r="D492" s="180" t="inlineStr">
        <is>
          <t>Top</t>
        </is>
      </c>
      <c r="E492" s="180" t="n">
        <v>60</v>
      </c>
      <c r="F492" s="180" t="inlineStr">
        <is>
          <t>Single</t>
        </is>
      </c>
      <c r="G492" s="180" t="inlineStr">
        <is>
          <t>KWIK 9 LVP</t>
        </is>
      </c>
      <c r="H492" s="180" t="inlineStr">
        <is>
          <t>363 X 363</t>
        </is>
      </c>
      <c r="I492" s="180" t="inlineStr">
        <is>
          <t>15 X 15</t>
        </is>
      </c>
      <c r="J492" s="180" t="n">
        <v>1</v>
      </c>
      <c r="K492" s="181" t="n"/>
      <c r="L492" s="31" t="n"/>
      <c r="M492" s="32" t="n">
        <v>1.103988603988604</v>
      </c>
      <c r="N492" s="31" t="n"/>
      <c r="O492" s="153" t="n"/>
    </row>
    <row r="493" ht="15" customHeight="1">
      <c r="A493" s="232" t="n"/>
      <c r="B493" s="232" t="n"/>
      <c r="C493" s="235" t="n"/>
      <c r="D493" s="169" t="inlineStr">
        <is>
          <t>Bottom</t>
        </is>
      </c>
      <c r="E493" s="169" t="n">
        <v>40</v>
      </c>
      <c r="F493" s="169" t="inlineStr">
        <is>
          <t>Single</t>
        </is>
      </c>
      <c r="G493" s="180" t="inlineStr">
        <is>
          <t>KWIK 9 LVP</t>
        </is>
      </c>
      <c r="H493" s="180" t="inlineStr">
        <is>
          <t>363 X 363</t>
        </is>
      </c>
      <c r="I493" s="180" t="inlineStr">
        <is>
          <t>15 X 15</t>
        </is>
      </c>
      <c r="J493" s="180" t="n">
        <v>1</v>
      </c>
      <c r="K493" s="171" t="n"/>
      <c r="L493" s="14" t="n"/>
      <c r="M493" s="15" t="n">
        <v>0.6977821913273751</v>
      </c>
      <c r="N493" s="14" t="n"/>
      <c r="O493" s="158" t="n"/>
    </row>
    <row r="494" ht="15.75" customHeight="1">
      <c r="A494" s="234" t="n"/>
      <c r="B494" s="234" t="n"/>
      <c r="C494" s="175" t="inlineStr">
        <is>
          <t>SCFG</t>
        </is>
      </c>
      <c r="D494" s="166" t="inlineStr">
        <is>
          <t>-</t>
        </is>
      </c>
      <c r="E494" s="166" t="n">
        <v>15</v>
      </c>
      <c r="F494" s="166" t="inlineStr">
        <is>
          <t>Single</t>
        </is>
      </c>
      <c r="G494" s="166" t="inlineStr">
        <is>
          <t>KWIK 9 SCFG</t>
        </is>
      </c>
      <c r="H494" s="166" t="inlineStr">
        <is>
          <t>383 X 383</t>
        </is>
      </c>
      <c r="I494" s="166" t="inlineStr">
        <is>
          <t>32 X 31</t>
        </is>
      </c>
      <c r="J494" s="166" t="n">
        <v>4</v>
      </c>
      <c r="K494" s="176" t="n"/>
      <c r="L494" s="25" t="n"/>
      <c r="M494" s="26" t="n">
        <v>0.3381642512077295</v>
      </c>
      <c r="N494" s="25" t="n"/>
      <c r="O494" s="27" t="n"/>
    </row>
    <row r="495" ht="15" customHeight="1">
      <c r="A495" s="197" t="n">
        <v>12</v>
      </c>
      <c r="B495" s="198" t="inlineStr">
        <is>
          <t>Kwik 10</t>
        </is>
      </c>
      <c r="C495" s="184" t="inlineStr">
        <is>
          <t>LVP</t>
        </is>
      </c>
      <c r="D495" s="180" t="inlineStr">
        <is>
          <t>Top</t>
        </is>
      </c>
      <c r="E495" s="180" t="n">
        <v>60</v>
      </c>
      <c r="F495" s="180" t="inlineStr">
        <is>
          <t>Single</t>
        </is>
      </c>
      <c r="G495" s="180" t="inlineStr">
        <is>
          <t>KWIK 10 LVP</t>
        </is>
      </c>
      <c r="H495" s="180" t="inlineStr">
        <is>
          <t>431 X 431</t>
        </is>
      </c>
      <c r="I495" s="180" t="inlineStr">
        <is>
          <t>18 X 18</t>
        </is>
      </c>
      <c r="J495" s="180" t="n">
        <v>1</v>
      </c>
      <c r="K495" s="181" t="n"/>
      <c r="L495" s="31" t="n"/>
      <c r="M495" s="32" t="n">
        <v>1.103988603988604</v>
      </c>
      <c r="N495" s="31" t="n"/>
      <c r="O495" s="153" t="n"/>
    </row>
    <row r="496" ht="15" customHeight="1">
      <c r="A496" s="232" t="n"/>
      <c r="B496" s="232" t="n"/>
      <c r="C496" s="235" t="n"/>
      <c r="D496" s="169" t="inlineStr">
        <is>
          <t>Bottom</t>
        </is>
      </c>
      <c r="E496" s="169" t="n">
        <v>40</v>
      </c>
      <c r="F496" s="169" t="inlineStr">
        <is>
          <t>Single</t>
        </is>
      </c>
      <c r="G496" s="180" t="inlineStr">
        <is>
          <t>KWIK 10 LVP</t>
        </is>
      </c>
      <c r="H496" s="180" t="inlineStr">
        <is>
          <t>431 X 431</t>
        </is>
      </c>
      <c r="I496" s="180" t="inlineStr">
        <is>
          <t>18 X 18</t>
        </is>
      </c>
      <c r="J496" s="180" t="n">
        <v>1</v>
      </c>
      <c r="K496" s="171" t="n"/>
      <c r="L496" s="14" t="n"/>
      <c r="M496" s="15" t="n">
        <v>0.6977821913273751</v>
      </c>
      <c r="N496" s="14" t="n"/>
      <c r="O496" s="158" t="n"/>
    </row>
    <row r="497" ht="15.75" customHeight="1">
      <c r="A497" s="234" t="n"/>
      <c r="B497" s="234" t="n"/>
      <c r="C497" s="175" t="inlineStr">
        <is>
          <t>SCFG</t>
        </is>
      </c>
      <c r="D497" s="166" t="inlineStr">
        <is>
          <t>-</t>
        </is>
      </c>
      <c r="E497" s="166" t="n">
        <v>15</v>
      </c>
      <c r="F497" s="166" t="inlineStr">
        <is>
          <t>Single</t>
        </is>
      </c>
      <c r="G497" s="166" t="inlineStr">
        <is>
          <t>KWIK 10 SCFG</t>
        </is>
      </c>
      <c r="H497" s="166" t="inlineStr">
        <is>
          <t>447 X 447</t>
        </is>
      </c>
      <c r="I497" s="166" t="inlineStr">
        <is>
          <t>18.5 X 18.5</t>
        </is>
      </c>
      <c r="J497" s="166" t="n">
        <v>1</v>
      </c>
      <c r="K497" s="176" t="n"/>
      <c r="L497" s="25" t="n"/>
      <c r="M497" s="26" t="n">
        <v>0.3381642512077295</v>
      </c>
      <c r="N497" s="25" t="n"/>
      <c r="O497" s="27" t="n"/>
    </row>
    <row r="498" ht="15" customHeight="1">
      <c r="A498" s="197" t="n">
        <v>13</v>
      </c>
      <c r="B498" s="198" t="inlineStr">
        <is>
          <t>UP -1 / Y01</t>
        </is>
      </c>
      <c r="C498" s="184" t="inlineStr">
        <is>
          <t>LVP</t>
        </is>
      </c>
      <c r="D498" s="180" t="inlineStr">
        <is>
          <t>Top</t>
        </is>
      </c>
      <c r="E498" s="180" t="n">
        <v>80</v>
      </c>
      <c r="F498" s="180" t="inlineStr">
        <is>
          <t>Passing</t>
        </is>
      </c>
      <c r="G498" s="180" t="inlineStr">
        <is>
          <t>PRC UP 1 LVP</t>
        </is>
      </c>
      <c r="H498" s="180" t="inlineStr">
        <is>
          <t>34 X 34</t>
        </is>
      </c>
      <c r="I498" s="180" t="inlineStr">
        <is>
          <t>20.5 X 23.5</t>
        </is>
      </c>
      <c r="J498" s="180" t="n">
        <v>195</v>
      </c>
      <c r="K498" s="181" t="n"/>
      <c r="L498" s="31" t="n"/>
      <c r="M498" s="32" t="n">
        <v>1.494824016563147</v>
      </c>
      <c r="N498" s="31" t="n"/>
      <c r="O498" s="33" t="n"/>
    </row>
    <row r="499" ht="15" customHeight="1">
      <c r="A499" s="232" t="n"/>
      <c r="B499" s="232" t="n"/>
      <c r="C499" s="235" t="n"/>
      <c r="D499" s="169" t="inlineStr">
        <is>
          <t>Bottom</t>
        </is>
      </c>
      <c r="E499" s="169" t="n"/>
      <c r="F499" s="169" t="n"/>
      <c r="G499" s="169" t="n"/>
      <c r="H499" s="169" t="n"/>
      <c r="I499" s="169" t="n"/>
      <c r="J499" s="169" t="n"/>
      <c r="K499" s="171" t="n"/>
      <c r="L499" s="14" t="n"/>
      <c r="M499" s="15" t="e">
        <v>#N/A</v>
      </c>
      <c r="N499" s="14" t="n"/>
      <c r="O499" s="16" t="n"/>
    </row>
    <row r="500" ht="15.75" customHeight="1">
      <c r="A500" s="234" t="n"/>
      <c r="B500" s="234" t="n"/>
      <c r="C500" s="175" t="inlineStr">
        <is>
          <t>SCFG</t>
        </is>
      </c>
      <c r="D500" s="166" t="inlineStr">
        <is>
          <t>-</t>
        </is>
      </c>
      <c r="E500" s="166" t="n">
        <v>15</v>
      </c>
      <c r="F500" s="166" t="inlineStr">
        <is>
          <t>Single</t>
        </is>
      </c>
      <c r="G500" s="166" t="inlineStr">
        <is>
          <t>PRC UP 1 SCFG</t>
        </is>
      </c>
      <c r="H500" s="166" t="inlineStr">
        <is>
          <t>47.6 X 47.6</t>
        </is>
      </c>
      <c r="I500" s="166" t="inlineStr">
        <is>
          <t>26.6 X 26.6</t>
        </is>
      </c>
      <c r="J500" s="166" t="n">
        <v>100</v>
      </c>
      <c r="K500" s="176" t="n"/>
      <c r="L500" s="25" t="n"/>
      <c r="M500" s="26" t="n">
        <v>0.3381642512077295</v>
      </c>
      <c r="N500" s="25" t="n"/>
      <c r="O500" s="27" t="n"/>
    </row>
    <row r="501" ht="15" customHeight="1">
      <c r="A501" s="197" t="n">
        <v>13</v>
      </c>
      <c r="B501" s="198" t="inlineStr">
        <is>
          <t>UP -2 / Y02</t>
        </is>
      </c>
      <c r="C501" s="184" t="inlineStr">
        <is>
          <t>LVP</t>
        </is>
      </c>
      <c r="D501" s="180" t="inlineStr">
        <is>
          <t>Top</t>
        </is>
      </c>
      <c r="E501" s="180" t="n">
        <v>80</v>
      </c>
      <c r="F501" s="180" t="inlineStr">
        <is>
          <t>Passing</t>
        </is>
      </c>
      <c r="G501" s="180" t="inlineStr">
        <is>
          <t>PRC UP 2 LVP</t>
        </is>
      </c>
      <c r="H501" s="180" t="inlineStr">
        <is>
          <t>41 X 41</t>
        </is>
      </c>
      <c r="I501" s="180" t="inlineStr">
        <is>
          <t>20.5 X 22.5</t>
        </is>
      </c>
      <c r="J501" s="180" t="n">
        <v>132</v>
      </c>
      <c r="K501" s="181" t="n"/>
      <c r="L501" s="31" t="n"/>
      <c r="M501" s="32" t="n">
        <v>1.494824016563147</v>
      </c>
      <c r="N501" s="31" t="n"/>
      <c r="O501" s="33" t="n"/>
    </row>
    <row r="502" ht="15" customHeight="1">
      <c r="A502" s="232" t="n"/>
      <c r="B502" s="232" t="n"/>
      <c r="C502" s="235" t="n"/>
      <c r="D502" s="169" t="inlineStr">
        <is>
          <t>Bottom</t>
        </is>
      </c>
      <c r="E502" s="169" t="n"/>
      <c r="F502" s="169" t="n"/>
      <c r="G502" s="169" t="n"/>
      <c r="H502" s="169" t="n"/>
      <c r="I502" s="169" t="n"/>
      <c r="J502" s="169" t="n"/>
      <c r="K502" s="171" t="n"/>
      <c r="L502" s="14" t="n"/>
      <c r="M502" s="15" t="e">
        <v>#N/A</v>
      </c>
      <c r="N502" s="14" t="n"/>
      <c r="O502" s="16" t="n"/>
    </row>
    <row r="503" ht="15.75" customHeight="1">
      <c r="A503" s="234" t="n"/>
      <c r="B503" s="234" t="n"/>
      <c r="C503" s="175" t="inlineStr">
        <is>
          <t>SCFG</t>
        </is>
      </c>
      <c r="D503" s="166" t="inlineStr">
        <is>
          <t>-</t>
        </is>
      </c>
      <c r="E503" s="166" t="n">
        <v>15</v>
      </c>
      <c r="F503" s="166" t="inlineStr">
        <is>
          <t>Single</t>
        </is>
      </c>
      <c r="G503" s="166" t="inlineStr">
        <is>
          <t>PRC UP 2 SCFG</t>
        </is>
      </c>
      <c r="H503" s="166" t="inlineStr">
        <is>
          <t>54 X 54</t>
        </is>
      </c>
      <c r="I503" s="166" t="inlineStr">
        <is>
          <t>29 X 29</t>
        </is>
      </c>
      <c r="J503" s="166" t="n">
        <v>100</v>
      </c>
      <c r="K503" s="176" t="n"/>
      <c r="L503" s="25" t="n"/>
      <c r="M503" s="26" t="n">
        <v>0.3381642512077295</v>
      </c>
      <c r="N503" s="25" t="n"/>
      <c r="O503" s="27" t="n"/>
    </row>
    <row r="504" ht="15" customHeight="1">
      <c r="A504" s="197" t="n">
        <v>14</v>
      </c>
      <c r="B504" s="198" t="inlineStr">
        <is>
          <t>Gav Y -45</t>
        </is>
      </c>
      <c r="C504" s="184" t="inlineStr">
        <is>
          <t>LVP</t>
        </is>
      </c>
      <c r="D504" s="180" t="inlineStr">
        <is>
          <t>Top</t>
        </is>
      </c>
      <c r="E504" s="180" t="n">
        <v>60</v>
      </c>
      <c r="F504" s="180" t="inlineStr">
        <is>
          <t>Single</t>
        </is>
      </c>
      <c r="G504" s="180" t="inlineStr">
        <is>
          <t>MCX 45 LVP,
MSX 45 LVP</t>
        </is>
      </c>
      <c r="H504" s="180" t="inlineStr">
        <is>
          <t>158 X 209</t>
        </is>
      </c>
      <c r="I504" s="180" t="inlineStr">
        <is>
          <t>20 X 26</t>
        </is>
      </c>
      <c r="J504" s="180" t="n">
        <v>9</v>
      </c>
      <c r="K504" s="181" t="n"/>
      <c r="L504" s="31" t="n"/>
      <c r="M504" s="32" t="n">
        <v>1.103988603988604</v>
      </c>
      <c r="N504" s="31" t="n"/>
      <c r="O504" s="33" t="n"/>
    </row>
    <row r="505" ht="15" customHeight="1">
      <c r="A505" s="232" t="n"/>
      <c r="B505" s="232" t="n"/>
      <c r="C505" s="235" t="n"/>
      <c r="D505" s="169" t="inlineStr">
        <is>
          <t>Bottom</t>
        </is>
      </c>
      <c r="E505" s="169" t="n">
        <v>40</v>
      </c>
      <c r="F505" s="169" t="inlineStr">
        <is>
          <t>Single</t>
        </is>
      </c>
      <c r="G505" s="180" t="inlineStr">
        <is>
          <t>MCX 45 LVP,
MSX 45 LVP</t>
        </is>
      </c>
      <c r="H505" s="180" t="inlineStr">
        <is>
          <t>158 X 209</t>
        </is>
      </c>
      <c r="I505" s="180" t="inlineStr">
        <is>
          <t>20 X 26</t>
        </is>
      </c>
      <c r="J505" s="180" t="n">
        <v>9</v>
      </c>
      <c r="K505" s="171" t="n"/>
      <c r="L505" s="14" t="n"/>
      <c r="M505" s="15" t="n">
        <v>0.6977821913273751</v>
      </c>
      <c r="N505" s="14" t="n"/>
      <c r="O505" s="16" t="n"/>
    </row>
    <row r="506" ht="15.75" customHeight="1">
      <c r="A506" s="234" t="n"/>
      <c r="B506" s="234" t="n"/>
      <c r="C506" s="175" t="inlineStr">
        <is>
          <t>SCFG</t>
        </is>
      </c>
      <c r="D506" s="166" t="inlineStr">
        <is>
          <t>-</t>
        </is>
      </c>
      <c r="E506" s="166" t="n">
        <v>15</v>
      </c>
      <c r="F506" s="166" t="inlineStr">
        <is>
          <t>Single</t>
        </is>
      </c>
      <c r="G506" s="166" t="inlineStr">
        <is>
          <t>MSX 45 SCFG</t>
        </is>
      </c>
      <c r="H506" s="166" t="inlineStr">
        <is>
          <t>175 X 226</t>
        </is>
      </c>
      <c r="I506" s="166" t="inlineStr">
        <is>
          <t>38.5 X 48.5</t>
        </is>
      </c>
      <c r="J506" s="166" t="n">
        <v>25</v>
      </c>
      <c r="K506" s="176" t="n"/>
      <c r="L506" s="25" t="n"/>
      <c r="M506" s="26" t="n">
        <v>0.3381642512077295</v>
      </c>
      <c r="N506" s="25" t="n"/>
      <c r="O506" s="27" t="n"/>
    </row>
    <row r="507" ht="15" customHeight="1">
      <c r="A507" s="197" t="n">
        <v>15</v>
      </c>
      <c r="B507" s="198" t="inlineStr">
        <is>
          <t>T-29</t>
        </is>
      </c>
      <c r="C507" s="184" t="inlineStr">
        <is>
          <t>LVP</t>
        </is>
      </c>
      <c r="D507" s="180" t="inlineStr">
        <is>
          <t>Top</t>
        </is>
      </c>
      <c r="E507" s="180" t="n">
        <v>50</v>
      </c>
      <c r="F507" s="180" t="inlineStr">
        <is>
          <t>Passing</t>
        </is>
      </c>
      <c r="G507" s="180" t="inlineStr">
        <is>
          <t>T 29 LVP</t>
        </is>
      </c>
      <c r="H507" s="180" t="n">
        <v>22</v>
      </c>
      <c r="I507" s="180" t="inlineStr">
        <is>
          <t>15.5 X 19</t>
        </is>
      </c>
      <c r="J507" s="180" t="n">
        <v>298</v>
      </c>
      <c r="K507" s="181" t="n"/>
      <c r="L507" s="31" t="n"/>
      <c r="M507" s="32" t="n">
        <v>0.9182530795072789</v>
      </c>
      <c r="N507" s="31" t="n"/>
      <c r="O507" s="33" t="n"/>
    </row>
    <row r="508" ht="15" customHeight="1">
      <c r="A508" s="232" t="n"/>
      <c r="B508" s="232" t="n"/>
      <c r="C508" s="235" t="n"/>
      <c r="D508" s="169" t="inlineStr">
        <is>
          <t>Bottom</t>
        </is>
      </c>
      <c r="E508" s="169" t="n"/>
      <c r="F508" s="169" t="n"/>
      <c r="G508" s="180" t="n"/>
      <c r="H508" s="180" t="n"/>
      <c r="I508" s="180" t="n"/>
      <c r="J508" s="180" t="n"/>
      <c r="K508" s="181" t="n"/>
      <c r="L508" s="14" t="n"/>
      <c r="M508" s="15" t="e">
        <v>#N/A</v>
      </c>
      <c r="N508" s="14" t="n"/>
      <c r="O508" s="16" t="n"/>
    </row>
    <row r="509" ht="15.75" customHeight="1">
      <c r="A509" s="234" t="n"/>
      <c r="B509" s="234" t="n"/>
      <c r="C509" s="175" t="inlineStr">
        <is>
          <t>SCFG</t>
        </is>
      </c>
      <c r="D509" s="166" t="inlineStr">
        <is>
          <t>-</t>
        </is>
      </c>
      <c r="E509" s="166" t="n">
        <v>15</v>
      </c>
      <c r="F509" s="166" t="inlineStr">
        <is>
          <t>Single</t>
        </is>
      </c>
      <c r="G509" s="166" t="inlineStr">
        <is>
          <t>T 29 SCFG</t>
        </is>
      </c>
      <c r="H509" s="166" t="n">
        <v>35</v>
      </c>
      <c r="I509" s="166" t="inlineStr">
        <is>
          <t>24 X 25</t>
        </is>
      </c>
      <c r="J509" s="166" t="n">
        <v>149</v>
      </c>
      <c r="K509" s="181" t="n"/>
      <c r="L509" s="25" t="n"/>
      <c r="M509" s="26" t="n">
        <v>0.3381642512077295</v>
      </c>
      <c r="N509" s="25" t="n"/>
      <c r="O509" s="27" t="n"/>
    </row>
    <row r="510" ht="15" customHeight="1">
      <c r="A510" s="197" t="n">
        <v>16</v>
      </c>
      <c r="B510" s="198" t="inlineStr">
        <is>
          <t>T-30</t>
        </is>
      </c>
      <c r="C510" s="184" t="inlineStr">
        <is>
          <t>LVP</t>
        </is>
      </c>
      <c r="D510" s="180" t="inlineStr">
        <is>
          <t>Top</t>
        </is>
      </c>
      <c r="E510" s="180" t="n">
        <v>50</v>
      </c>
      <c r="F510" s="180" t="inlineStr">
        <is>
          <t>Passing</t>
        </is>
      </c>
      <c r="G510" s="180" t="inlineStr">
        <is>
          <t>T 30 LVP</t>
        </is>
      </c>
      <c r="H510" s="180" t="n">
        <v>31</v>
      </c>
      <c r="I510" s="180" t="inlineStr">
        <is>
          <t>16.5 X 21</t>
        </is>
      </c>
      <c r="J510" s="180" t="n">
        <v>189</v>
      </c>
      <c r="K510" s="181" t="n"/>
      <c r="L510" s="31" t="n"/>
      <c r="M510" s="32" t="n">
        <v>0.9182530795072789</v>
      </c>
      <c r="N510" s="31" t="n"/>
      <c r="O510" s="33" t="n"/>
    </row>
    <row r="511" ht="15" customHeight="1">
      <c r="A511" s="232" t="n"/>
      <c r="B511" s="232" t="n"/>
      <c r="C511" s="235" t="n"/>
      <c r="D511" s="169" t="inlineStr">
        <is>
          <t>Bottom</t>
        </is>
      </c>
      <c r="E511" s="169" t="n"/>
      <c r="F511" s="169" t="n"/>
      <c r="G511" s="180" t="n"/>
      <c r="H511" s="180" t="n"/>
      <c r="I511" s="180" t="n"/>
      <c r="J511" s="180" t="n"/>
      <c r="K511" s="181" t="n"/>
      <c r="L511" s="14" t="n"/>
      <c r="M511" s="15" t="e">
        <v>#N/A</v>
      </c>
      <c r="N511" s="14" t="n"/>
      <c r="O511" s="16" t="n"/>
    </row>
    <row r="512" ht="15.75" customHeight="1">
      <c r="A512" s="234" t="n"/>
      <c r="B512" s="234" t="n"/>
      <c r="C512" s="175" t="inlineStr">
        <is>
          <t>SCFG</t>
        </is>
      </c>
      <c r="D512" s="166" t="inlineStr">
        <is>
          <t>-</t>
        </is>
      </c>
      <c r="E512" s="166" t="n">
        <v>15</v>
      </c>
      <c r="F512" s="166" t="inlineStr">
        <is>
          <t>Single</t>
        </is>
      </c>
      <c r="G512" s="166" t="inlineStr">
        <is>
          <t>T 30 SCFG</t>
        </is>
      </c>
      <c r="H512" s="166" t="n">
        <v>44.5</v>
      </c>
      <c r="I512" s="166" t="inlineStr">
        <is>
          <t>24 X 25</t>
        </is>
      </c>
      <c r="J512" s="166" t="n">
        <v>137</v>
      </c>
      <c r="K512" s="181" t="n"/>
      <c r="L512" s="25" t="n"/>
      <c r="M512" s="26" t="n">
        <v>0.3381642512077295</v>
      </c>
      <c r="N512" s="25" t="n"/>
      <c r="O512" s="27" t="n"/>
    </row>
    <row r="513" ht="15" customHeight="1">
      <c r="A513" s="197" t="n">
        <v>17</v>
      </c>
      <c r="B513" s="198" t="inlineStr">
        <is>
          <t>T-31</t>
        </is>
      </c>
      <c r="C513" s="184" t="inlineStr">
        <is>
          <t>LVP</t>
        </is>
      </c>
      <c r="D513" s="180" t="inlineStr">
        <is>
          <t>Top</t>
        </is>
      </c>
      <c r="E513" s="180" t="n">
        <v>50</v>
      </c>
      <c r="F513" s="180" t="inlineStr">
        <is>
          <t>Passing</t>
        </is>
      </c>
      <c r="G513" s="180" t="inlineStr">
        <is>
          <t>PRC RMR New,
 T 31 LVP</t>
        </is>
      </c>
      <c r="H513" s="180" t="n">
        <v>44</v>
      </c>
      <c r="I513" s="180" t="inlineStr">
        <is>
          <t>16.5 X 20.5</t>
        </is>
      </c>
      <c r="J513" s="180" t="n">
        <v>96</v>
      </c>
      <c r="K513" s="181" t="n"/>
      <c r="L513" s="31" t="n"/>
      <c r="M513" s="32" t="n">
        <v>0.9182530795072789</v>
      </c>
      <c r="N513" s="31" t="n"/>
      <c r="O513" s="33" t="n"/>
    </row>
    <row r="514" ht="15" customHeight="1">
      <c r="A514" s="232" t="n"/>
      <c r="B514" s="232" t="n"/>
      <c r="C514" s="235" t="n"/>
      <c r="D514" s="169" t="inlineStr">
        <is>
          <t>Bottom</t>
        </is>
      </c>
      <c r="E514" s="169" t="n"/>
      <c r="F514" s="169" t="n"/>
      <c r="G514" s="180" t="n"/>
      <c r="H514" s="180" t="n"/>
      <c r="I514" s="180" t="n"/>
      <c r="J514" s="180" t="n"/>
      <c r="K514" s="181" t="n"/>
      <c r="L514" s="14" t="n"/>
      <c r="M514" s="15" t="e">
        <v>#N/A</v>
      </c>
      <c r="N514" s="14" t="n"/>
      <c r="O514" s="16" t="n"/>
    </row>
    <row r="515" ht="15.75" customHeight="1">
      <c r="A515" s="234" t="n"/>
      <c r="B515" s="234" t="n"/>
      <c r="C515" s="175" t="inlineStr">
        <is>
          <t>SCFG</t>
        </is>
      </c>
      <c r="D515" s="166" t="inlineStr">
        <is>
          <t>-</t>
        </is>
      </c>
      <c r="E515" s="166" t="n">
        <v>15</v>
      </c>
      <c r="F515" s="166" t="inlineStr">
        <is>
          <t>Single</t>
        </is>
      </c>
      <c r="G515" s="166" t="n"/>
      <c r="H515" s="166" t="n">
        <v>57.2</v>
      </c>
      <c r="I515" s="166" t="inlineStr">
        <is>
          <t>24 X 25</t>
        </is>
      </c>
      <c r="J515" s="166" t="n">
        <v>86</v>
      </c>
      <c r="K515" s="181" t="n"/>
      <c r="L515" s="25" t="n"/>
      <c r="M515" s="26" t="n">
        <v>0.3381642512077295</v>
      </c>
      <c r="N515" s="25" t="n"/>
      <c r="O515" s="27" t="n"/>
    </row>
    <row r="516" ht="15" customHeight="1">
      <c r="A516" s="197" t="n">
        <v>17</v>
      </c>
      <c r="B516" s="198" t="inlineStr">
        <is>
          <t>T-32</t>
        </is>
      </c>
      <c r="C516" s="184" t="inlineStr">
        <is>
          <t>LVP</t>
        </is>
      </c>
      <c r="D516" s="180" t="inlineStr">
        <is>
          <t>Top</t>
        </is>
      </c>
      <c r="E516" s="180" t="n">
        <v>50</v>
      </c>
      <c r="F516" s="180" t="inlineStr">
        <is>
          <t>Passing</t>
        </is>
      </c>
      <c r="G516" s="180" t="inlineStr">
        <is>
          <t>PRC CX 3 Sq FABRIC,
PRC RLR,
 T32 LVP</t>
        </is>
      </c>
      <c r="H516" s="180" t="n">
        <v>67</v>
      </c>
      <c r="I516" s="180" t="inlineStr">
        <is>
          <t>11.5 X 20.5</t>
        </is>
      </c>
      <c r="J516" s="180" t="n">
        <v>24</v>
      </c>
      <c r="K516" s="181" t="n"/>
      <c r="L516" s="31" t="n"/>
      <c r="M516" s="32" t="n">
        <v>0.9182530795072789</v>
      </c>
      <c r="N516" s="31" t="n"/>
      <c r="O516" s="33" t="n"/>
    </row>
    <row r="517" ht="15" customHeight="1">
      <c r="A517" s="232" t="n"/>
      <c r="B517" s="232" t="n"/>
      <c r="C517" s="235" t="n"/>
      <c r="D517" s="169" t="inlineStr">
        <is>
          <t>Bottom</t>
        </is>
      </c>
      <c r="E517" s="169" t="n"/>
      <c r="F517" s="169" t="n"/>
      <c r="G517" s="180" t="n"/>
      <c r="H517" s="180" t="n"/>
      <c r="I517" s="180" t="n"/>
      <c r="J517" s="180" t="n"/>
      <c r="K517" s="181" t="n"/>
      <c r="L517" s="14" t="n"/>
      <c r="M517" s="15" t="e">
        <v>#N/A</v>
      </c>
      <c r="N517" s="14" t="n"/>
      <c r="O517" s="16" t="n"/>
    </row>
    <row r="518" ht="15.75" customHeight="1">
      <c r="A518" s="234" t="n"/>
      <c r="B518" s="234" t="n"/>
      <c r="C518" s="175" t="inlineStr">
        <is>
          <t>SCFG</t>
        </is>
      </c>
      <c r="D518" s="166" t="inlineStr">
        <is>
          <t>-</t>
        </is>
      </c>
      <c r="E518" s="166" t="n">
        <v>15</v>
      </c>
      <c r="F518" s="166" t="inlineStr">
        <is>
          <t>Single</t>
        </is>
      </c>
      <c r="G518" s="166" t="n"/>
      <c r="H518" s="166" t="n">
        <v>79</v>
      </c>
      <c r="I518" s="166" t="inlineStr">
        <is>
          <t>24 X 25</t>
        </is>
      </c>
      <c r="J518" s="166" t="n">
        <v>36</v>
      </c>
      <c r="K518" s="181" t="n"/>
      <c r="L518" s="25" t="n"/>
      <c r="M518" s="26" t="n">
        <v>0.3381642512077295</v>
      </c>
      <c r="N518" s="25" t="n"/>
      <c r="O518" s="27" t="n"/>
    </row>
    <row r="519" ht="15" customHeight="1">
      <c r="A519" s="197" t="n">
        <v>17</v>
      </c>
      <c r="B519" s="198" t="inlineStr">
        <is>
          <t>UP-3</t>
        </is>
      </c>
      <c r="C519" s="184" t="inlineStr">
        <is>
          <t>LVP</t>
        </is>
      </c>
      <c r="D519" s="180" t="inlineStr">
        <is>
          <t>Top</t>
        </is>
      </c>
      <c r="E519" s="180" t="n">
        <v>80</v>
      </c>
      <c r="F519" s="180" t="inlineStr">
        <is>
          <t>Passing</t>
        </is>
      </c>
      <c r="G519" s="180" t="inlineStr">
        <is>
          <t>PRC UP 3 LVP</t>
        </is>
      </c>
      <c r="H519" s="180" t="inlineStr">
        <is>
          <t>53 X 53</t>
        </is>
      </c>
      <c r="I519" s="180" t="inlineStr">
        <is>
          <t>19 X 21.5</t>
        </is>
      </c>
      <c r="J519" s="180" t="n">
        <v>72</v>
      </c>
      <c r="K519" s="181" t="n"/>
      <c r="L519" s="31" t="n"/>
      <c r="M519" s="32" t="n">
        <v>1.494824016563147</v>
      </c>
      <c r="N519" s="31" t="n"/>
      <c r="O519" s="33" t="n"/>
    </row>
    <row r="520" ht="15" customHeight="1">
      <c r="A520" s="232" t="n"/>
      <c r="B520" s="232" t="n"/>
      <c r="C520" s="235" t="n"/>
      <c r="D520" s="169" t="inlineStr">
        <is>
          <t>Bottom</t>
        </is>
      </c>
      <c r="E520" s="169" t="n"/>
      <c r="F520" s="169" t="n"/>
      <c r="G520" s="180" t="n"/>
      <c r="H520" s="180" t="n"/>
      <c r="I520" s="180" t="n"/>
      <c r="J520" s="180" t="n"/>
      <c r="K520" s="171" t="n"/>
      <c r="L520" s="14" t="n"/>
      <c r="M520" s="15" t="e">
        <v>#N/A</v>
      </c>
      <c r="N520" s="14" t="n"/>
      <c r="O520" s="16" t="n"/>
    </row>
    <row r="521" ht="15.75" customHeight="1">
      <c r="A521" s="234" t="n"/>
      <c r="B521" s="234" t="n"/>
      <c r="C521" s="175" t="inlineStr">
        <is>
          <t>SCFG</t>
        </is>
      </c>
      <c r="D521" s="166" t="inlineStr">
        <is>
          <t>-</t>
        </is>
      </c>
      <c r="E521" s="166" t="n">
        <v>15</v>
      </c>
      <c r="F521" s="166" t="inlineStr">
        <is>
          <t>Single</t>
        </is>
      </c>
      <c r="G521" s="180" t="inlineStr">
        <is>
          <t>PRC UP 3 SCFG</t>
        </is>
      </c>
      <c r="H521" s="166" t="inlineStr">
        <is>
          <t>66.7 X 66.7</t>
        </is>
      </c>
      <c r="I521" s="166" t="inlineStr">
        <is>
          <t>10 X 17</t>
        </is>
      </c>
      <c r="J521" s="166" t="n">
        <v>15</v>
      </c>
      <c r="K521" s="176" t="n"/>
      <c r="L521" s="25" t="n"/>
      <c r="M521" s="26" t="n">
        <v>0.3381642512077295</v>
      </c>
      <c r="N521" s="25" t="n"/>
      <c r="O521" s="27" t="n"/>
    </row>
    <row r="522" ht="15" customHeight="1">
      <c r="A522" s="197" t="n">
        <v>18</v>
      </c>
      <c r="B522" s="198" t="inlineStr">
        <is>
          <t>S-42 /
Kwik 4 MSRTC</t>
        </is>
      </c>
      <c r="C522" s="184" t="inlineStr">
        <is>
          <t>LVP</t>
        </is>
      </c>
      <c r="D522" s="180" t="inlineStr">
        <is>
          <t>Top</t>
        </is>
      </c>
      <c r="E522" s="180" t="n">
        <v>40</v>
      </c>
      <c r="F522" s="180" t="inlineStr">
        <is>
          <t>Single</t>
        </is>
      </c>
      <c r="G522" s="180" t="inlineStr">
        <is>
          <t>KWIK 4 MSRTC LVP</t>
        </is>
      </c>
      <c r="H522" s="180" t="inlineStr">
        <is>
          <t>102 X 102</t>
        </is>
      </c>
      <c r="I522" s="180" t="inlineStr">
        <is>
          <t>18 X 23</t>
        </is>
      </c>
      <c r="J522" s="180" t="n">
        <v>20</v>
      </c>
      <c r="K522" s="181" t="n"/>
      <c r="L522" s="31" t="n"/>
      <c r="M522" s="32" t="n">
        <v>0.6977821913273751</v>
      </c>
      <c r="N522" s="31" t="n"/>
      <c r="O522" s="33" t="n"/>
    </row>
    <row r="523" ht="15" customHeight="1">
      <c r="A523" s="232" t="n"/>
      <c r="B523" s="232" t="n"/>
      <c r="C523" s="235" t="n"/>
      <c r="D523" s="169" t="inlineStr">
        <is>
          <t>Bottom</t>
        </is>
      </c>
      <c r="E523" s="169" t="n">
        <v>40</v>
      </c>
      <c r="F523" s="169" t="inlineStr">
        <is>
          <t>Single</t>
        </is>
      </c>
      <c r="G523" s="180" t="inlineStr">
        <is>
          <t>KWIK 4 MSRTC LVP</t>
        </is>
      </c>
      <c r="H523" s="180" t="inlineStr">
        <is>
          <t>102 X 102</t>
        </is>
      </c>
      <c r="I523" s="180" t="inlineStr">
        <is>
          <t>18 X 23</t>
        </is>
      </c>
      <c r="J523" s="180" t="n">
        <v>20</v>
      </c>
      <c r="K523" s="181" t="n"/>
      <c r="L523" s="14" t="n"/>
      <c r="M523" s="15" t="n">
        <v>0.6977821913273751</v>
      </c>
      <c r="N523" s="14" t="n"/>
      <c r="O523" s="16" t="n"/>
    </row>
    <row r="524" ht="15.75" customHeight="1">
      <c r="A524" s="234" t="n"/>
      <c r="B524" s="234" t="n"/>
      <c r="C524" s="175" t="inlineStr">
        <is>
          <t>SCFG</t>
        </is>
      </c>
      <c r="D524" s="166" t="inlineStr">
        <is>
          <t>-</t>
        </is>
      </c>
      <c r="E524" s="166" t="n">
        <v>15</v>
      </c>
      <c r="F524" s="166" t="inlineStr">
        <is>
          <t>Single</t>
        </is>
      </c>
      <c r="G524" s="166" t="inlineStr">
        <is>
          <t>KWIK 4 MSRTC SCFG</t>
        </is>
      </c>
      <c r="H524" s="166" t="inlineStr">
        <is>
          <t>124 X 124</t>
        </is>
      </c>
      <c r="I524" s="166" t="inlineStr">
        <is>
          <t>17 X 28</t>
        </is>
      </c>
      <c r="J524" s="166" t="n">
        <v>15</v>
      </c>
      <c r="K524" s="181" t="n"/>
      <c r="L524" s="25" t="n"/>
      <c r="M524" s="26" t="n">
        <v>0.3381642512077295</v>
      </c>
      <c r="N524" s="25" t="n"/>
      <c r="O524" s="27" t="n"/>
    </row>
    <row r="525" ht="15" customHeight="1">
      <c r="A525" s="197" t="n">
        <v>18</v>
      </c>
      <c r="B525" s="198" t="inlineStr">
        <is>
          <t>Kwik 5 MSRTC</t>
        </is>
      </c>
      <c r="C525" s="184" t="inlineStr">
        <is>
          <t>LVP</t>
        </is>
      </c>
      <c r="D525" s="180" t="inlineStr">
        <is>
          <t>Top</t>
        </is>
      </c>
      <c r="E525" s="180" t="n">
        <v>60</v>
      </c>
      <c r="F525" s="180" t="inlineStr">
        <is>
          <t>Single</t>
        </is>
      </c>
      <c r="G525" s="180" t="inlineStr">
        <is>
          <t>KWIK 5 MSRTC LVP</t>
        </is>
      </c>
      <c r="H525" s="180" t="inlineStr">
        <is>
          <t>155 X 155</t>
        </is>
      </c>
      <c r="I525" s="180" t="inlineStr">
        <is>
          <t xml:space="preserve">20 X 20 </t>
        </is>
      </c>
      <c r="J525" s="180" t="n">
        <v>9</v>
      </c>
      <c r="K525" s="181" t="n"/>
      <c r="L525" s="31" t="n"/>
      <c r="M525" s="32" t="n">
        <v>1.103988603988604</v>
      </c>
      <c r="N525" s="31" t="n"/>
      <c r="O525" s="33" t="n"/>
    </row>
    <row r="526" ht="15" customHeight="1">
      <c r="A526" s="232" t="n"/>
      <c r="B526" s="232" t="n"/>
      <c r="C526" s="235" t="n"/>
      <c r="D526" s="169" t="inlineStr">
        <is>
          <t>Bottom</t>
        </is>
      </c>
      <c r="E526" s="169" t="n">
        <v>40</v>
      </c>
      <c r="F526" s="169" t="inlineStr">
        <is>
          <t>Single</t>
        </is>
      </c>
      <c r="G526" s="180" t="inlineStr">
        <is>
          <t>KWIK 5 MSRTC LVP</t>
        </is>
      </c>
      <c r="H526" s="180" t="inlineStr">
        <is>
          <t>155 X 155</t>
        </is>
      </c>
      <c r="I526" s="180" t="inlineStr">
        <is>
          <t xml:space="preserve">20 X 20 </t>
        </is>
      </c>
      <c r="J526" s="180" t="n">
        <v>9</v>
      </c>
      <c r="K526" s="171" t="n"/>
      <c r="L526" s="14" t="n"/>
      <c r="M526" s="15" t="n">
        <v>0.6977821913273751</v>
      </c>
      <c r="N526" s="14" t="n"/>
      <c r="O526" s="16" t="n"/>
    </row>
    <row r="527" ht="15.75" customHeight="1">
      <c r="A527" s="234" t="n"/>
      <c r="B527" s="234" t="n"/>
      <c r="C527" s="175" t="inlineStr">
        <is>
          <t>SCFG</t>
        </is>
      </c>
      <c r="D527" s="166" t="inlineStr">
        <is>
          <t>-</t>
        </is>
      </c>
      <c r="E527" s="166" t="n">
        <v>15</v>
      </c>
      <c r="F527" s="166" t="inlineStr">
        <is>
          <t>Single</t>
        </is>
      </c>
      <c r="G527" s="166" t="inlineStr">
        <is>
          <t>KWIK 5 MSRTC SCFG</t>
        </is>
      </c>
      <c r="H527" s="166" t="inlineStr">
        <is>
          <t>175 X 175</t>
        </is>
      </c>
      <c r="I527" s="166" t="inlineStr">
        <is>
          <t>23 X 38</t>
        </is>
      </c>
      <c r="J527" s="166" t="n">
        <v>15</v>
      </c>
      <c r="K527" s="176" t="n"/>
      <c r="L527" s="25" t="n"/>
      <c r="M527" s="26" t="n">
        <v>0.3381642512077295</v>
      </c>
      <c r="N527" s="25" t="n"/>
      <c r="O527" s="27" t="n"/>
    </row>
    <row r="528" ht="15" customHeight="1">
      <c r="A528" s="197" t="n">
        <v>18</v>
      </c>
      <c r="B528" s="198" t="inlineStr">
        <is>
          <t>T1</t>
        </is>
      </c>
      <c r="C528" s="184" t="inlineStr">
        <is>
          <t>LVP</t>
        </is>
      </c>
      <c r="D528" s="180" t="inlineStr">
        <is>
          <t>Top</t>
        </is>
      </c>
      <c r="E528" s="180" t="n">
        <v>70</v>
      </c>
      <c r="F528" s="180" t="n"/>
      <c r="G528" s="180" t="inlineStr">
        <is>
          <t>R1 LVP</t>
        </is>
      </c>
      <c r="H528" s="180" t="n">
        <v>27</v>
      </c>
      <c r="I528" s="180" t="inlineStr">
        <is>
          <t>12 X 18.5</t>
        </is>
      </c>
      <c r="J528" s="180" t="n">
        <v>160</v>
      </c>
      <c r="K528" s="181" t="n"/>
      <c r="L528" s="31" t="n"/>
      <c r="M528" s="32" t="n">
        <v>1.269736842105263</v>
      </c>
      <c r="N528" s="31" t="n"/>
      <c r="O528" s="33" t="n"/>
    </row>
    <row r="529" ht="15" customHeight="1">
      <c r="A529" s="232" t="n"/>
      <c r="B529" s="232" t="n"/>
      <c r="C529" s="235" t="n"/>
      <c r="D529" s="169" t="inlineStr">
        <is>
          <t>Bottom</t>
        </is>
      </c>
      <c r="E529" s="169" t="n"/>
      <c r="F529" s="169" t="n"/>
      <c r="G529" s="180" t="n"/>
      <c r="H529" s="180" t="n"/>
      <c r="I529" s="180" t="n"/>
      <c r="J529" s="180" t="n"/>
      <c r="K529" s="171" t="n"/>
      <c r="L529" s="14" t="n"/>
      <c r="M529" s="15" t="e">
        <v>#N/A</v>
      </c>
      <c r="N529" s="14" t="n"/>
      <c r="O529" s="16" t="n"/>
    </row>
    <row r="530" ht="15.75" customHeight="1">
      <c r="A530" s="234" t="n"/>
      <c r="B530" s="234" t="n"/>
      <c r="C530" s="175" t="inlineStr">
        <is>
          <t>SCFG</t>
        </is>
      </c>
      <c r="D530" s="166" t="inlineStr">
        <is>
          <t>-</t>
        </is>
      </c>
      <c r="E530" s="166" t="n">
        <v>15</v>
      </c>
      <c r="F530" s="166" t="n"/>
      <c r="G530" s="166" t="inlineStr">
        <is>
          <t xml:space="preserve">SCFG </t>
        </is>
      </c>
      <c r="H530" s="166" t="n">
        <v>40</v>
      </c>
      <c r="I530" s="166" t="inlineStr">
        <is>
          <t>31 X 23</t>
        </is>
      </c>
      <c r="J530" s="166" t="n">
        <v>130</v>
      </c>
      <c r="K530" s="176" t="n"/>
      <c r="L530" s="25" t="n"/>
      <c r="M530" s="26" t="n">
        <v>0.3381642512077295</v>
      </c>
      <c r="N530" s="25" t="n"/>
      <c r="O530" s="27" t="n"/>
    </row>
    <row r="531" ht="15" customHeight="1">
      <c r="A531" s="197" t="n">
        <v>18</v>
      </c>
      <c r="B531" s="198" t="inlineStr">
        <is>
          <t>MP 1</t>
        </is>
      </c>
      <c r="C531" s="184" t="inlineStr">
        <is>
          <t>LVP</t>
        </is>
      </c>
      <c r="D531" s="180" t="inlineStr">
        <is>
          <t>Top</t>
        </is>
      </c>
      <c r="E531" s="180" t="n">
        <v>40</v>
      </c>
      <c r="F531" s="185" t="inlineStr">
        <is>
          <t>Passing</t>
        </is>
      </c>
      <c r="G531" s="185" t="inlineStr">
        <is>
          <t>C2 SVG</t>
        </is>
      </c>
      <c r="H531" s="185" t="n">
        <v>56</v>
      </c>
      <c r="I531" s="185" t="inlineStr">
        <is>
          <t>17.5 X 24</t>
        </is>
      </c>
      <c r="J531" s="185" t="n">
        <v>72</v>
      </c>
      <c r="K531" s="181" t="n"/>
      <c r="L531" s="31" t="n"/>
      <c r="M531" s="32" t="n">
        <v>0.6977821913273751</v>
      </c>
      <c r="N531" s="31" t="n"/>
      <c r="O531" s="33" t="n"/>
    </row>
    <row r="532" ht="15" customHeight="1">
      <c r="A532" s="232" t="n"/>
      <c r="B532" s="232" t="n"/>
      <c r="C532" s="235" t="n"/>
      <c r="D532" s="169" t="inlineStr">
        <is>
          <t>Bottom</t>
        </is>
      </c>
      <c r="E532" s="169" t="n"/>
      <c r="F532" s="180" t="n"/>
      <c r="G532" s="180" t="n"/>
      <c r="H532" s="180" t="n"/>
      <c r="I532" s="180" t="n"/>
      <c r="J532" s="180" t="n"/>
      <c r="K532" s="171" t="n"/>
      <c r="L532" s="14" t="n"/>
      <c r="M532" s="15" t="e">
        <v>#N/A</v>
      </c>
      <c r="N532" s="14" t="n"/>
      <c r="O532" s="16" t="n"/>
    </row>
    <row r="533" ht="15.75" customHeight="1">
      <c r="A533" s="234" t="n"/>
      <c r="B533" s="234" t="n"/>
      <c r="C533" s="175" t="inlineStr">
        <is>
          <t>SCFG</t>
        </is>
      </c>
      <c r="D533" s="166" t="inlineStr">
        <is>
          <t>-</t>
        </is>
      </c>
      <c r="E533" s="166" t="n">
        <v>15</v>
      </c>
      <c r="F533" s="166" t="n"/>
      <c r="G533" s="166" t="inlineStr">
        <is>
          <t xml:space="preserve">SCFG </t>
        </is>
      </c>
      <c r="H533" s="166" t="n">
        <v>75</v>
      </c>
      <c r="I533" s="166" t="inlineStr">
        <is>
          <t>19 X 19</t>
        </is>
      </c>
      <c r="J533" s="166" t="n">
        <v>25</v>
      </c>
      <c r="K533" s="176" t="n"/>
      <c r="L533" s="25" t="n"/>
      <c r="M533" s="26" t="n">
        <v>0.3381642512077295</v>
      </c>
      <c r="N533" s="25" t="n"/>
      <c r="O533" s="27" t="n"/>
    </row>
    <row r="534" ht="15" customHeight="1">
      <c r="A534" s="197" t="n">
        <v>18</v>
      </c>
      <c r="B534" s="198" t="inlineStr">
        <is>
          <t>MP 2</t>
        </is>
      </c>
      <c r="C534" s="184" t="inlineStr">
        <is>
          <t>LVP</t>
        </is>
      </c>
      <c r="D534" s="180" t="inlineStr">
        <is>
          <t>Top</t>
        </is>
      </c>
      <c r="E534" s="180" t="n">
        <v>40</v>
      </c>
      <c r="F534" s="180" t="inlineStr">
        <is>
          <t>Passing</t>
        </is>
      </c>
      <c r="G534" s="180" t="inlineStr">
        <is>
          <t>KWIK 2 LVP</t>
        </is>
      </c>
      <c r="H534" s="180" t="n">
        <v>70</v>
      </c>
      <c r="I534" s="180" t="inlineStr">
        <is>
          <t>23 X 23</t>
        </is>
      </c>
      <c r="J534" s="180" t="n">
        <v>49</v>
      </c>
      <c r="K534" s="181" t="n"/>
      <c r="L534" s="31" t="n"/>
      <c r="M534" s="32" t="n">
        <v>0.6977821913273751</v>
      </c>
      <c r="N534" s="31" t="n"/>
      <c r="O534" s="33" t="n"/>
    </row>
    <row r="535" ht="15" customHeight="1">
      <c r="A535" s="232" t="n"/>
      <c r="B535" s="232" t="n"/>
      <c r="C535" s="235" t="n"/>
      <c r="D535" s="169" t="inlineStr">
        <is>
          <t>Bottom</t>
        </is>
      </c>
      <c r="E535" s="169" t="n"/>
      <c r="F535" s="169" t="n"/>
      <c r="G535" s="169" t="n"/>
      <c r="H535" s="169" t="n"/>
      <c r="I535" s="169" t="n"/>
      <c r="J535" s="169" t="n"/>
      <c r="K535" s="171" t="n"/>
      <c r="L535" s="14" t="n"/>
      <c r="M535" s="15" t="e">
        <v>#N/A</v>
      </c>
      <c r="N535" s="14" t="n"/>
      <c r="O535" s="16" t="n"/>
    </row>
    <row r="536" ht="15.75" customHeight="1">
      <c r="A536" s="234" t="n"/>
      <c r="B536" s="234" t="n"/>
      <c r="C536" s="175" t="inlineStr">
        <is>
          <t>SCFG</t>
        </is>
      </c>
      <c r="D536" s="166" t="inlineStr">
        <is>
          <t>-</t>
        </is>
      </c>
      <c r="E536" s="166" t="n">
        <v>15</v>
      </c>
      <c r="F536" s="166" t="inlineStr">
        <is>
          <t>Single</t>
        </is>
      </c>
      <c r="G536" s="166" t="inlineStr">
        <is>
          <t>KWIK 2 SCFG</t>
        </is>
      </c>
      <c r="H536" s="166" t="n">
        <v>89</v>
      </c>
      <c r="I536" s="166" t="inlineStr">
        <is>
          <t>21.5 X 21.5</t>
        </is>
      </c>
      <c r="J536" s="166" t="n">
        <v>25</v>
      </c>
      <c r="K536" s="176" t="n"/>
      <c r="L536" s="25" t="n"/>
      <c r="M536" s="26" t="n">
        <v>0.3381642512077295</v>
      </c>
      <c r="N536" s="25" t="n"/>
      <c r="O536" s="27" t="n"/>
    </row>
    <row r="537" ht="15" customHeight="1">
      <c r="A537" s="197" t="n">
        <v>18</v>
      </c>
      <c r="B537" s="198" t="inlineStr">
        <is>
          <t>HR 10 HD</t>
        </is>
      </c>
      <c r="C537" s="184" t="inlineStr">
        <is>
          <t>LVP</t>
        </is>
      </c>
      <c r="D537" s="180" t="inlineStr">
        <is>
          <t>Top</t>
        </is>
      </c>
      <c r="E537" s="180" t="n">
        <v>60</v>
      </c>
      <c r="F537" s="180" t="inlineStr">
        <is>
          <t>Single</t>
        </is>
      </c>
      <c r="G537" s="180" t="inlineStr">
        <is>
          <t>MSX 10 HD LVP</t>
        </is>
      </c>
      <c r="H537" s="180" t="inlineStr">
        <is>
          <t>47 X 64</t>
        </is>
      </c>
      <c r="I537" s="180" t="inlineStr">
        <is>
          <t>24 X 24</t>
        </is>
      </c>
      <c r="J537" s="180" t="n">
        <v>80</v>
      </c>
      <c r="K537" s="181" t="n"/>
      <c r="L537" s="31" t="n"/>
      <c r="M537" s="32" t="n">
        <v>1.103988603988604</v>
      </c>
      <c r="N537" s="31" t="n"/>
      <c r="O537" s="33" t="n"/>
    </row>
    <row r="538" ht="15" customHeight="1">
      <c r="A538" s="232" t="n"/>
      <c r="B538" s="232" t="n"/>
      <c r="C538" s="235" t="n"/>
      <c r="D538" s="169" t="inlineStr">
        <is>
          <t>Bottom</t>
        </is>
      </c>
      <c r="E538" s="169" t="n"/>
      <c r="F538" s="169" t="n"/>
      <c r="G538" s="169" t="n"/>
      <c r="H538" s="169" t="n"/>
      <c r="I538" s="169" t="n"/>
      <c r="J538" s="169" t="n"/>
      <c r="K538" s="171" t="n"/>
      <c r="L538" s="14" t="n"/>
      <c r="M538" s="15" t="e">
        <v>#N/A</v>
      </c>
      <c r="N538" s="14" t="n"/>
      <c r="O538" s="16" t="n"/>
    </row>
    <row r="539" ht="15.75" customHeight="1">
      <c r="A539" s="234" t="n"/>
      <c r="B539" s="234" t="n"/>
      <c r="C539" s="175" t="inlineStr">
        <is>
          <t>SCFG</t>
        </is>
      </c>
      <c r="D539" s="166" t="inlineStr">
        <is>
          <t>-</t>
        </is>
      </c>
      <c r="E539" s="166" t="n">
        <v>15</v>
      </c>
      <c r="F539" s="166" t="inlineStr">
        <is>
          <t>Single</t>
        </is>
      </c>
      <c r="G539" s="169" t="inlineStr">
        <is>
          <t>MSX 10 HD SCFG</t>
        </is>
      </c>
      <c r="H539" s="169" t="inlineStr">
        <is>
          <t>63 X 81</t>
        </is>
      </c>
      <c r="I539" s="166" t="inlineStr">
        <is>
          <t>16 X 20</t>
        </is>
      </c>
      <c r="J539" s="166" t="n">
        <v>25</v>
      </c>
      <c r="K539" s="176" t="n"/>
      <c r="L539" s="25" t="n"/>
      <c r="M539" s="26" t="n">
        <v>0.3381642512077295</v>
      </c>
      <c r="N539" s="25" t="n"/>
      <c r="O539" s="27" t="n"/>
    </row>
    <row r="540" ht="15" customHeight="1">
      <c r="A540" s="197" t="n">
        <v>18</v>
      </c>
      <c r="B540" s="198" t="inlineStr">
        <is>
          <t>HR 12 HD</t>
        </is>
      </c>
      <c r="C540" s="184" t="inlineStr">
        <is>
          <t>LVP</t>
        </is>
      </c>
      <c r="D540" s="180" t="inlineStr">
        <is>
          <t>Top</t>
        </is>
      </c>
      <c r="E540" s="180" t="n">
        <v>60</v>
      </c>
      <c r="F540" s="180" t="inlineStr">
        <is>
          <t>Single</t>
        </is>
      </c>
      <c r="G540" s="180" t="inlineStr">
        <is>
          <t>MSX 12 HD LVP</t>
        </is>
      </c>
      <c r="H540" s="180" t="inlineStr">
        <is>
          <t>55 X 100</t>
        </is>
      </c>
      <c r="I540" s="180" t="inlineStr">
        <is>
          <t>22 X 24</t>
        </is>
      </c>
      <c r="J540" s="180" t="n">
        <v>45</v>
      </c>
      <c r="K540" s="181" t="n"/>
      <c r="L540" s="31" t="n"/>
      <c r="M540" s="32" t="n">
        <v>1.103988603988604</v>
      </c>
      <c r="N540" s="31" t="n"/>
      <c r="O540" s="33" t="n"/>
    </row>
    <row r="541" ht="15" customHeight="1">
      <c r="A541" s="232" t="n"/>
      <c r="B541" s="232" t="n"/>
      <c r="C541" s="235" t="n"/>
      <c r="D541" s="169" t="inlineStr">
        <is>
          <t>Bottom</t>
        </is>
      </c>
      <c r="E541" s="169" t="n"/>
      <c r="F541" s="169" t="n"/>
      <c r="G541" s="169" t="n"/>
      <c r="H541" s="169" t="n"/>
      <c r="I541" s="169" t="n"/>
      <c r="J541" s="169" t="n"/>
      <c r="K541" s="171" t="n"/>
      <c r="L541" s="14" t="n"/>
      <c r="M541" s="15" t="e">
        <v>#N/A</v>
      </c>
      <c r="N541" s="14" t="n"/>
      <c r="O541" s="16" t="n"/>
    </row>
    <row r="542" ht="15.75" customHeight="1">
      <c r="A542" s="234" t="n"/>
      <c r="B542" s="234" t="n"/>
      <c r="C542" s="175" t="inlineStr">
        <is>
          <t>SCFG</t>
        </is>
      </c>
      <c r="D542" s="166" t="inlineStr">
        <is>
          <t>-</t>
        </is>
      </c>
      <c r="E542" s="166" t="n">
        <v>15</v>
      </c>
      <c r="F542" s="166" t="inlineStr">
        <is>
          <t>Single</t>
        </is>
      </c>
      <c r="G542" s="169" t="inlineStr">
        <is>
          <t>MSX 12 HD SCFG</t>
        </is>
      </c>
      <c r="H542" s="169" t="inlineStr">
        <is>
          <t>70 X 115</t>
        </is>
      </c>
      <c r="I542" s="166" t="inlineStr">
        <is>
          <t>18 X 21</t>
        </is>
      </c>
      <c r="J542" s="166" t="n">
        <v>20</v>
      </c>
      <c r="K542" s="176" t="n"/>
      <c r="L542" s="25" t="n"/>
      <c r="M542" s="26" t="n">
        <v>0.3381642512077295</v>
      </c>
      <c r="N542" s="25" t="n"/>
      <c r="O542" s="27" t="n"/>
    </row>
    <row r="543" ht="15" customHeight="1">
      <c r="A543" s="197" t="n">
        <v>18</v>
      </c>
      <c r="B543" s="198" t="inlineStr">
        <is>
          <t>HR 14 HD</t>
        </is>
      </c>
      <c r="C543" s="184" t="inlineStr">
        <is>
          <t>LVP</t>
        </is>
      </c>
      <c r="D543" s="180" t="inlineStr">
        <is>
          <t>Top</t>
        </is>
      </c>
      <c r="E543" s="180" t="n">
        <v>60</v>
      </c>
      <c r="F543" s="180" t="inlineStr">
        <is>
          <t>Single</t>
        </is>
      </c>
      <c r="G543" s="180" t="inlineStr">
        <is>
          <t>MSX 14 HD LVP</t>
        </is>
      </c>
      <c r="H543" s="180" t="inlineStr">
        <is>
          <t>62 X 132</t>
        </is>
      </c>
      <c r="I543" s="180" t="inlineStr">
        <is>
          <t>21 X 23</t>
        </is>
      </c>
      <c r="J543" s="180" t="n">
        <v>28</v>
      </c>
      <c r="K543" s="181" t="n"/>
      <c r="L543" s="31" t="n"/>
      <c r="M543" s="32" t="n">
        <v>1.103988603988604</v>
      </c>
      <c r="N543" s="31" t="n"/>
      <c r="O543" s="33" t="n"/>
    </row>
    <row r="544" ht="15" customHeight="1">
      <c r="A544" s="232" t="n"/>
      <c r="B544" s="232" t="n"/>
      <c r="C544" s="235" t="n"/>
      <c r="D544" s="169" t="inlineStr">
        <is>
          <t>Bottom</t>
        </is>
      </c>
      <c r="E544" s="169" t="n"/>
      <c r="F544" s="169" t="n"/>
      <c r="G544" s="169" t="n"/>
      <c r="H544" s="169" t="n"/>
      <c r="I544" s="169" t="n"/>
      <c r="J544" s="169" t="n"/>
      <c r="K544" s="171" t="n"/>
      <c r="L544" s="14" t="n"/>
      <c r="M544" s="15" t="e">
        <v>#N/A</v>
      </c>
      <c r="N544" s="14" t="n"/>
      <c r="O544" s="16" t="n"/>
    </row>
    <row r="545" ht="15.75" customHeight="1">
      <c r="A545" s="234" t="n"/>
      <c r="B545" s="234" t="n"/>
      <c r="C545" s="175" t="inlineStr">
        <is>
          <t>SCFG</t>
        </is>
      </c>
      <c r="D545" s="166" t="inlineStr">
        <is>
          <t>-</t>
        </is>
      </c>
      <c r="E545" s="166" t="n">
        <v>15</v>
      </c>
      <c r="F545" s="166" t="inlineStr">
        <is>
          <t>Single</t>
        </is>
      </c>
      <c r="G545" s="169" t="inlineStr">
        <is>
          <t>MSX 14 HD SCFG</t>
        </is>
      </c>
      <c r="H545" s="169" t="inlineStr">
        <is>
          <t>81 X 150</t>
        </is>
      </c>
      <c r="I545" s="166" t="inlineStr">
        <is>
          <t>21 X 23</t>
        </is>
      </c>
      <c r="J545" s="166" t="n">
        <v>28</v>
      </c>
      <c r="K545" s="176" t="n"/>
      <c r="L545" s="25" t="n"/>
      <c r="M545" s="26" t="n">
        <v>0.3381642512077295</v>
      </c>
      <c r="N545" s="25" t="n"/>
      <c r="O545" s="27" t="n"/>
    </row>
    <row r="546" ht="15" customHeight="1">
      <c r="A546" s="197" t="n">
        <v>18</v>
      </c>
      <c r="B546" s="198" t="inlineStr">
        <is>
          <t>HR 20 HD</t>
        </is>
      </c>
      <c r="C546" s="184" t="inlineStr">
        <is>
          <t>LVP</t>
        </is>
      </c>
      <c r="D546" s="180" t="inlineStr">
        <is>
          <t>Top</t>
        </is>
      </c>
      <c r="E546" s="180" t="n">
        <v>40</v>
      </c>
      <c r="F546" s="180" t="inlineStr">
        <is>
          <t>Single</t>
        </is>
      </c>
      <c r="G546" s="180" t="inlineStr">
        <is>
          <t>MSX 20 HD LVP,
R 120 LVP,
Volga 20 LVP</t>
        </is>
      </c>
      <c r="H546" s="180" t="inlineStr">
        <is>
          <t>67 X 117</t>
        </is>
      </c>
      <c r="I546" s="180" t="inlineStr">
        <is>
          <t>20.5 X 22</t>
        </is>
      </c>
      <c r="J546" s="180" t="n">
        <v>28</v>
      </c>
      <c r="K546" s="181" t="n"/>
      <c r="L546" s="31" t="n"/>
      <c r="M546" s="32" t="n">
        <v>0.6977821913273751</v>
      </c>
      <c r="N546" s="31" t="n"/>
      <c r="O546" s="33" t="n"/>
    </row>
    <row r="547" ht="15" customHeight="1">
      <c r="A547" s="232" t="n"/>
      <c r="B547" s="232" t="n"/>
      <c r="C547" s="235" t="n"/>
      <c r="D547" s="169" t="inlineStr">
        <is>
          <t>Bottom</t>
        </is>
      </c>
      <c r="E547" s="169" t="n">
        <v>40</v>
      </c>
      <c r="F547" s="180" t="inlineStr">
        <is>
          <t>Single</t>
        </is>
      </c>
      <c r="G547" s="180" t="inlineStr">
        <is>
          <t>MSX 20 HD LVP,
R 120 LVP,
Volga 20 LVP</t>
        </is>
      </c>
      <c r="H547" s="180" t="inlineStr">
        <is>
          <t>67 X 117</t>
        </is>
      </c>
      <c r="I547" s="180" t="inlineStr">
        <is>
          <t>20.5 X 22</t>
        </is>
      </c>
      <c r="J547" s="180" t="n">
        <v>28</v>
      </c>
      <c r="K547" s="171" t="n"/>
      <c r="L547" s="14" t="n"/>
      <c r="M547" s="15" t="n">
        <v>0.6977821913273751</v>
      </c>
      <c r="N547" s="14" t="n"/>
      <c r="O547" s="16" t="n"/>
    </row>
    <row r="548" ht="15.75" customHeight="1">
      <c r="A548" s="234" t="n"/>
      <c r="B548" s="234" t="n"/>
      <c r="C548" s="175" t="inlineStr">
        <is>
          <t>SCFG</t>
        </is>
      </c>
      <c r="D548" s="166" t="inlineStr">
        <is>
          <t>-</t>
        </is>
      </c>
      <c r="E548" s="166" t="n">
        <v>15</v>
      </c>
      <c r="F548" s="166" t="inlineStr">
        <is>
          <t>Single</t>
        </is>
      </c>
      <c r="G548" s="169" t="inlineStr">
        <is>
          <t>MSX 20 HD SCFG,
Volga 20 SCFG</t>
        </is>
      </c>
      <c r="H548" s="169" t="inlineStr">
        <is>
          <t>85 X 135</t>
        </is>
      </c>
      <c r="I548" s="166" t="inlineStr">
        <is>
          <t>21 X 24</t>
        </is>
      </c>
      <c r="J548" s="166" t="n">
        <v>20</v>
      </c>
      <c r="K548" s="176" t="n"/>
      <c r="L548" s="25" t="n"/>
      <c r="M548" s="26" t="n">
        <v>0.3381642512077295</v>
      </c>
      <c r="N548" s="25" t="n"/>
      <c r="O548" s="27" t="n"/>
    </row>
    <row r="549" ht="15" customHeight="1">
      <c r="A549" s="197" t="n"/>
      <c r="B549" s="198" t="inlineStr">
        <is>
          <t>R 2</t>
        </is>
      </c>
      <c r="C549" s="184" t="inlineStr">
        <is>
          <t>LVP</t>
        </is>
      </c>
      <c r="D549" s="180" t="inlineStr">
        <is>
          <t>Top</t>
        </is>
      </c>
      <c r="E549" s="180" t="n">
        <v>60</v>
      </c>
      <c r="F549" s="180" t="inlineStr">
        <is>
          <t>Passing</t>
        </is>
      </c>
      <c r="G549" s="180" t="inlineStr">
        <is>
          <t>C4 Sq on fabric (off bal.), 
CKHD 1 LVP,
 kwik 1 Off Bal fabric</t>
        </is>
      </c>
      <c r="H549" s="180" t="inlineStr">
        <is>
          <t>61 X 61</t>
        </is>
      </c>
      <c r="I549" s="180" t="inlineStr">
        <is>
          <t>12 X 20</t>
        </is>
      </c>
      <c r="J549" s="180" t="n">
        <v>35</v>
      </c>
      <c r="K549" s="181" t="n"/>
      <c r="L549" s="31" t="n"/>
      <c r="M549" s="32" t="n">
        <v>1.103988603988604</v>
      </c>
      <c r="N549" s="31" t="n"/>
      <c r="O549" s="33" t="n"/>
    </row>
    <row r="550" ht="15" customHeight="1">
      <c r="A550" s="232" t="n"/>
      <c r="B550" s="232" t="n"/>
      <c r="C550" s="235" t="n"/>
      <c r="D550" s="169" t="inlineStr">
        <is>
          <t>Bottom</t>
        </is>
      </c>
      <c r="E550" s="169" t="n">
        <v>40</v>
      </c>
      <c r="F550" s="180" t="inlineStr">
        <is>
          <t>Single</t>
        </is>
      </c>
      <c r="G550" s="180" t="inlineStr">
        <is>
          <t>C4 Sq on fabric (off bal.), 
CKHD 1 LVP,
 kwik 1 Off Bal fabric</t>
        </is>
      </c>
      <c r="H550" s="180" t="inlineStr">
        <is>
          <t>61 X 61</t>
        </is>
      </c>
      <c r="I550" s="180" t="inlineStr">
        <is>
          <t>12 X 20</t>
        </is>
      </c>
      <c r="J550" s="180" t="n">
        <v>35</v>
      </c>
      <c r="K550" s="171" t="n"/>
      <c r="L550" s="14" t="n"/>
      <c r="M550" s="15" t="n">
        <v>0.6977821913273751</v>
      </c>
      <c r="N550" s="14" t="n"/>
      <c r="O550" s="16" t="n"/>
    </row>
    <row r="551" ht="15.75" customHeight="1">
      <c r="A551" s="234" t="n"/>
      <c r="B551" s="234" t="n"/>
      <c r="C551" s="175" t="inlineStr">
        <is>
          <t>SCFG</t>
        </is>
      </c>
      <c r="D551" s="166" t="inlineStr">
        <is>
          <t>-</t>
        </is>
      </c>
      <c r="E551" s="166" t="n">
        <v>15</v>
      </c>
      <c r="F551" s="166" t="inlineStr">
        <is>
          <t>Single</t>
        </is>
      </c>
      <c r="G551" s="166" t="inlineStr">
        <is>
          <t>RLR</t>
        </is>
      </c>
      <c r="H551" s="166" t="inlineStr">
        <is>
          <t>79.4 X 79.4</t>
        </is>
      </c>
      <c r="I551" s="166" t="inlineStr">
        <is>
          <t>23.5 X 16</t>
        </is>
      </c>
      <c r="J551" s="166" t="n">
        <v>24</v>
      </c>
      <c r="K551" s="176" t="n"/>
      <c r="L551" s="25" t="n"/>
      <c r="M551" s="26" t="n">
        <v>0.3381642512077295</v>
      </c>
      <c r="N551" s="25" t="n"/>
      <c r="O551" s="27" t="n"/>
    </row>
    <row r="552" ht="15" customHeight="1">
      <c r="A552" s="197" t="n"/>
      <c r="B552" s="198" t="inlineStr">
        <is>
          <t>R 3</t>
        </is>
      </c>
      <c r="C552" s="184" t="inlineStr">
        <is>
          <t>LVP</t>
        </is>
      </c>
      <c r="D552" s="180" t="inlineStr">
        <is>
          <t>Top</t>
        </is>
      </c>
      <c r="E552" s="180" t="n">
        <v>60</v>
      </c>
      <c r="F552" s="180" t="inlineStr">
        <is>
          <t>Single</t>
        </is>
      </c>
      <c r="G552" s="180" t="inlineStr">
        <is>
          <t>RLR</t>
        </is>
      </c>
      <c r="H552" s="180" t="inlineStr">
        <is>
          <t>79.4 X 79.4</t>
        </is>
      </c>
      <c r="I552" s="180" t="inlineStr">
        <is>
          <t>22 X 22</t>
        </is>
      </c>
      <c r="J552" s="180" t="n">
        <v>36</v>
      </c>
      <c r="K552" s="181" t="n">
        <v>600</v>
      </c>
      <c r="L552" s="31">
        <f>K552/J552</f>
        <v/>
      </c>
      <c r="M552" s="32" t="n">
        <v>1.103988603988604</v>
      </c>
      <c r="N552" s="31">
        <f>LEFT(I552,FIND("X",I552)-1)*RIGHT(I552,LEN(I552)-FIND("X",I552)-1)*M552</f>
        <v/>
      </c>
      <c r="O552" s="33">
        <f>(N552*L552)/1000</f>
        <v/>
      </c>
    </row>
    <row r="553" ht="15" customHeight="1">
      <c r="A553" s="232" t="n"/>
      <c r="B553" s="232" t="n"/>
      <c r="C553" s="235" t="n"/>
      <c r="D553" s="169" t="inlineStr">
        <is>
          <t>Bottom</t>
        </is>
      </c>
      <c r="E553" s="169" t="n">
        <v>60</v>
      </c>
      <c r="F553" s="180" t="inlineStr">
        <is>
          <t>Single</t>
        </is>
      </c>
      <c r="G553" s="180" t="inlineStr">
        <is>
          <t>RLR</t>
        </is>
      </c>
      <c r="H553" s="180" t="inlineStr">
        <is>
          <t>79.4 X 79.4</t>
        </is>
      </c>
      <c r="I553" s="180" t="inlineStr">
        <is>
          <t>22 X 22</t>
        </is>
      </c>
      <c r="J553" s="180" t="n">
        <v>36</v>
      </c>
      <c r="K553" s="171" t="n">
        <v>600</v>
      </c>
      <c r="L553" s="14">
        <f>K553/J553</f>
        <v/>
      </c>
      <c r="M553" s="15" t="n">
        <v>1.103988603988604</v>
      </c>
      <c r="N553" s="14">
        <f>LEFT(I553,FIND("X",I553)-1)*RIGHT(I553,LEN(I553)-FIND("X",I553)-1)*M553</f>
        <v/>
      </c>
      <c r="O553" s="16">
        <f>(N553*L553)/1000</f>
        <v/>
      </c>
    </row>
    <row r="554" ht="15.75" customHeight="1">
      <c r="A554" s="234" t="n"/>
      <c r="B554" s="234" t="n"/>
      <c r="C554" s="175" t="inlineStr">
        <is>
          <t>SCFG</t>
        </is>
      </c>
      <c r="D554" s="166" t="inlineStr">
        <is>
          <t>-</t>
        </is>
      </c>
      <c r="E554" s="166" t="n">
        <v>15</v>
      </c>
      <c r="F554" s="166" t="inlineStr">
        <is>
          <t>Single</t>
        </is>
      </c>
      <c r="G554" s="166" t="inlineStr">
        <is>
          <t>R 3</t>
        </is>
      </c>
      <c r="H554" s="166" t="inlineStr">
        <is>
          <t>100 X 100</t>
        </is>
      </c>
      <c r="I554" s="166" t="inlineStr">
        <is>
          <t>28 X 19</t>
        </is>
      </c>
      <c r="J554" s="166" t="n">
        <v>24</v>
      </c>
      <c r="K554" s="176" t="n">
        <v>600</v>
      </c>
      <c r="L554" s="25">
        <f>K554/J554</f>
        <v/>
      </c>
      <c r="M554" s="26" t="n">
        <v>0.3381642512077295</v>
      </c>
      <c r="N554" s="25">
        <f>LEFT(I554,FIND("X",I554)-1)*RIGHT(I554,LEN(I554)-FIND("X",I554)-1)*M554</f>
        <v/>
      </c>
      <c r="O554" s="27">
        <f>(N554*L554)/1000</f>
        <v/>
      </c>
    </row>
    <row r="555" ht="15" customHeight="1">
      <c r="A555" s="197" t="n"/>
      <c r="B555" s="198" t="inlineStr">
        <is>
          <t>R 4</t>
        </is>
      </c>
      <c r="C555" s="184" t="inlineStr">
        <is>
          <t>LVP</t>
        </is>
      </c>
      <c r="D555" s="180" t="inlineStr">
        <is>
          <t>Top</t>
        </is>
      </c>
      <c r="E555" s="180" t="n">
        <v>60</v>
      </c>
      <c r="F555" s="180" t="inlineStr">
        <is>
          <t>Single</t>
        </is>
      </c>
      <c r="G555" s="180" t="inlineStr">
        <is>
          <t>Indoflex 4 LVP</t>
        </is>
      </c>
      <c r="H555" s="180" t="inlineStr">
        <is>
          <t>130 X 130</t>
        </is>
      </c>
      <c r="I555" s="180" t="inlineStr">
        <is>
          <t>23 X 23</t>
        </is>
      </c>
      <c r="J555" s="180" t="n">
        <v>16</v>
      </c>
      <c r="K555" s="181" t="n"/>
      <c r="L555" s="31" t="n"/>
      <c r="M555" s="32" t="n">
        <v>1.103988603988604</v>
      </c>
      <c r="N555" s="31" t="n"/>
      <c r="O555" s="33" t="n"/>
    </row>
    <row r="556" ht="15" customHeight="1">
      <c r="A556" s="232" t="n"/>
      <c r="B556" s="232" t="n"/>
      <c r="C556" s="235" t="n"/>
      <c r="D556" s="169" t="inlineStr">
        <is>
          <t>Bottom</t>
        </is>
      </c>
      <c r="E556" s="169" t="n">
        <v>40</v>
      </c>
      <c r="F556" s="180" t="inlineStr">
        <is>
          <t>Single</t>
        </is>
      </c>
      <c r="G556" s="180" t="inlineStr">
        <is>
          <t>Indoflex 4 LVP</t>
        </is>
      </c>
      <c r="H556" s="180" t="inlineStr">
        <is>
          <t>130 X 130</t>
        </is>
      </c>
      <c r="I556" s="180" t="inlineStr">
        <is>
          <t>23 X 23</t>
        </is>
      </c>
      <c r="J556" s="180" t="n">
        <v>16</v>
      </c>
      <c r="K556" s="171" t="n"/>
      <c r="L556" s="14" t="n"/>
      <c r="M556" s="15" t="n">
        <v>0.6977821913273751</v>
      </c>
      <c r="N556" s="14" t="n"/>
      <c r="O556" s="16" t="n"/>
    </row>
    <row r="557" ht="15.75" customHeight="1">
      <c r="A557" s="234" t="n"/>
      <c r="B557" s="234" t="n"/>
      <c r="C557" s="175" t="inlineStr">
        <is>
          <t>SCFG</t>
        </is>
      </c>
      <c r="D557" s="166" t="inlineStr">
        <is>
          <t>-</t>
        </is>
      </c>
      <c r="E557" s="166" t="n">
        <v>15</v>
      </c>
      <c r="F557" s="166" t="inlineStr">
        <is>
          <t>Single</t>
        </is>
      </c>
      <c r="G557" s="166" t="inlineStr">
        <is>
          <t>Indoflex 4 SCFG</t>
        </is>
      </c>
      <c r="H557" s="166" t="inlineStr">
        <is>
          <t>150 X 150</t>
        </is>
      </c>
      <c r="I557" s="166" t="inlineStr">
        <is>
          <t>40 X 27</t>
        </is>
      </c>
      <c r="J557" s="166" t="n">
        <v>24</v>
      </c>
      <c r="K557" s="176" t="n"/>
      <c r="L557" s="25" t="n"/>
      <c r="M557" s="26" t="n">
        <v>0.3381642512077295</v>
      </c>
      <c r="N557" s="25" t="n"/>
      <c r="O557" s="27" t="n"/>
    </row>
    <row r="558" ht="15" customHeight="1">
      <c r="A558" s="197" t="n"/>
      <c r="B558" s="198" t="inlineStr">
        <is>
          <t>R 5</t>
        </is>
      </c>
      <c r="C558" s="184" t="inlineStr">
        <is>
          <t>LVP</t>
        </is>
      </c>
      <c r="D558" s="180" t="inlineStr">
        <is>
          <t>Top</t>
        </is>
      </c>
      <c r="E558" s="180" t="n">
        <v>80</v>
      </c>
      <c r="F558" s="180" t="inlineStr">
        <is>
          <t>Single</t>
        </is>
      </c>
      <c r="G558" s="180" t="inlineStr">
        <is>
          <t>KWIK 5 LVP</t>
        </is>
      </c>
      <c r="H558" s="180" t="inlineStr">
        <is>
          <t>165 X 165</t>
        </is>
      </c>
      <c r="I558" s="180" t="inlineStr">
        <is>
          <t>21 X 21</t>
        </is>
      </c>
      <c r="J558" s="180" t="n">
        <v>9</v>
      </c>
      <c r="K558" s="181" t="n"/>
      <c r="L558" s="31" t="n"/>
      <c r="M558" s="32" t="n">
        <v>1.494824016563147</v>
      </c>
      <c r="N558" s="31" t="n"/>
      <c r="O558" s="33" t="n"/>
    </row>
    <row r="559" ht="15" customHeight="1">
      <c r="A559" s="232" t="n"/>
      <c r="B559" s="232" t="n"/>
      <c r="C559" s="235" t="n"/>
      <c r="D559" s="169" t="inlineStr">
        <is>
          <t>Bottom</t>
        </is>
      </c>
      <c r="E559" s="169" t="n">
        <v>40</v>
      </c>
      <c r="F559" s="180" t="inlineStr">
        <is>
          <t>Single</t>
        </is>
      </c>
      <c r="G559" s="180" t="inlineStr">
        <is>
          <t>KWIK 5 LVP</t>
        </is>
      </c>
      <c r="H559" s="180" t="inlineStr">
        <is>
          <t>165 X 165</t>
        </is>
      </c>
      <c r="I559" s="180" t="inlineStr">
        <is>
          <t>21 X 21</t>
        </is>
      </c>
      <c r="J559" s="180" t="n">
        <v>9</v>
      </c>
      <c r="K559" s="171" t="n"/>
      <c r="L559" s="14" t="n"/>
      <c r="M559" s="15" t="n">
        <v>0.6977821913273751</v>
      </c>
      <c r="N559" s="14" t="n"/>
      <c r="O559" s="16" t="n"/>
    </row>
    <row r="560" ht="15.75" customHeight="1">
      <c r="A560" s="234" t="n"/>
      <c r="B560" s="234" t="n"/>
      <c r="C560" s="175" t="inlineStr">
        <is>
          <t>SCFG</t>
        </is>
      </c>
      <c r="D560" s="166" t="inlineStr">
        <is>
          <t>-</t>
        </is>
      </c>
      <c r="E560" s="166" t="n">
        <v>15</v>
      </c>
      <c r="F560" s="166" t="inlineStr">
        <is>
          <t>Single</t>
        </is>
      </c>
      <c r="G560" s="166" t="inlineStr">
        <is>
          <t>KWIK 5 SCFG</t>
        </is>
      </c>
      <c r="H560" s="166" t="inlineStr">
        <is>
          <t>188 x 188</t>
        </is>
      </c>
      <c r="I560" s="166" t="inlineStr">
        <is>
          <t>24.5 X 24.5</t>
        </is>
      </c>
      <c r="J560" s="166" t="n">
        <v>9</v>
      </c>
      <c r="K560" s="176" t="n"/>
      <c r="L560" s="25" t="n"/>
      <c r="M560" s="26" t="n">
        <v>0.3381642512077295</v>
      </c>
      <c r="N560" s="25" t="n"/>
      <c r="O560" s="27" t="n"/>
    </row>
    <row r="561" ht="15" customHeight="1">
      <c r="A561" s="197" t="n"/>
      <c r="B561" s="198" t="inlineStr">
        <is>
          <t>R 120</t>
        </is>
      </c>
      <c r="C561" s="184" t="inlineStr">
        <is>
          <t>LVP</t>
        </is>
      </c>
      <c r="D561" s="180" t="inlineStr">
        <is>
          <t>Top</t>
        </is>
      </c>
      <c r="E561" s="180" t="n">
        <v>60</v>
      </c>
      <c r="F561" s="180" t="inlineStr">
        <is>
          <t>Single</t>
        </is>
      </c>
      <c r="G561" s="180" t="inlineStr">
        <is>
          <t>MSX 20 HD LVP</t>
        </is>
      </c>
      <c r="H561" s="180" t="inlineStr">
        <is>
          <t>67 X 117</t>
        </is>
      </c>
      <c r="I561" s="180" t="inlineStr">
        <is>
          <t>20.5 X 22</t>
        </is>
      </c>
      <c r="J561" s="180" t="n">
        <v>28</v>
      </c>
      <c r="K561" s="181" t="n"/>
      <c r="L561" s="31" t="n"/>
      <c r="M561" s="32" t="n">
        <v>1.103988603988604</v>
      </c>
      <c r="N561" s="31" t="n"/>
      <c r="O561" s="33" t="n"/>
    </row>
    <row r="562" ht="15" customHeight="1">
      <c r="A562" s="232" t="n"/>
      <c r="B562" s="232" t="n"/>
      <c r="C562" s="235" t="n"/>
      <c r="D562" s="169" t="inlineStr">
        <is>
          <t>Bottom</t>
        </is>
      </c>
      <c r="E562" s="169" t="n">
        <v>40</v>
      </c>
      <c r="F562" s="180" t="inlineStr">
        <is>
          <t>Single</t>
        </is>
      </c>
      <c r="G562" s="180" t="inlineStr">
        <is>
          <t>MSX 20 HD LVP</t>
        </is>
      </c>
      <c r="H562" s="180" t="inlineStr">
        <is>
          <t>67 X 117</t>
        </is>
      </c>
      <c r="I562" s="180" t="inlineStr">
        <is>
          <t>20.5 X 22</t>
        </is>
      </c>
      <c r="J562" s="180" t="n">
        <v>28</v>
      </c>
      <c r="K562" s="171" t="n"/>
      <c r="L562" s="14" t="n"/>
      <c r="M562" s="15" t="n">
        <v>0.6977821913273751</v>
      </c>
      <c r="N562" s="14" t="n"/>
      <c r="O562" s="16" t="n"/>
    </row>
    <row r="563" ht="15.75" customHeight="1">
      <c r="A563" s="234" t="n"/>
      <c r="B563" s="234" t="n"/>
      <c r="C563" s="175" t="inlineStr">
        <is>
          <t>SCFG</t>
        </is>
      </c>
      <c r="D563" s="166" t="inlineStr">
        <is>
          <t>-</t>
        </is>
      </c>
      <c r="E563" s="166" t="n">
        <v>15</v>
      </c>
      <c r="F563" s="166" t="inlineStr">
        <is>
          <t>Single</t>
        </is>
      </c>
      <c r="G563" s="166" t="inlineStr">
        <is>
          <t>MSX 20 HD SCFG</t>
        </is>
      </c>
      <c r="H563" s="166" t="inlineStr">
        <is>
          <t>85 X 135</t>
        </is>
      </c>
      <c r="I563" s="166" t="inlineStr">
        <is>
          <t>21 X 24</t>
        </is>
      </c>
      <c r="J563" s="166" t="n">
        <v>20</v>
      </c>
      <c r="K563" s="176" t="n"/>
      <c r="L563" s="25" t="n"/>
      <c r="M563" s="15" t="n">
        <v>0.3381642512077295</v>
      </c>
      <c r="N563" s="25" t="n"/>
      <c r="O563" s="154" t="n"/>
    </row>
    <row r="564" ht="15" customHeight="1">
      <c r="A564" s="197" t="n"/>
      <c r="B564" s="198" t="inlineStr">
        <is>
          <t>R 122</t>
        </is>
      </c>
      <c r="C564" s="184" t="inlineStr">
        <is>
          <t>LVP</t>
        </is>
      </c>
      <c r="D564" s="180" t="inlineStr">
        <is>
          <t>Top</t>
        </is>
      </c>
      <c r="E564" s="180" t="n">
        <v>60</v>
      </c>
      <c r="F564" s="180" t="inlineStr">
        <is>
          <t>Single</t>
        </is>
      </c>
      <c r="G564" s="180" t="inlineStr">
        <is>
          <t>MSX 22 HD LVP</t>
        </is>
      </c>
      <c r="H564" s="180" t="inlineStr">
        <is>
          <t>70 X 155</t>
        </is>
      </c>
      <c r="I564" s="180" t="inlineStr">
        <is>
          <t>20 X 23</t>
        </is>
      </c>
      <c r="J564" s="180" t="n">
        <v>21</v>
      </c>
      <c r="K564" s="181" t="n"/>
      <c r="L564" s="31" t="n"/>
      <c r="M564" s="32" t="n">
        <v>1.103988603988604</v>
      </c>
      <c r="N564" s="31" t="n"/>
      <c r="O564" s="33" t="n"/>
    </row>
    <row r="565" ht="15" customHeight="1">
      <c r="A565" s="232" t="n"/>
      <c r="B565" s="232" t="n"/>
      <c r="C565" s="235" t="n"/>
      <c r="D565" s="169" t="inlineStr">
        <is>
          <t>Bottom</t>
        </is>
      </c>
      <c r="E565" s="169" t="n">
        <v>40</v>
      </c>
      <c r="F565" s="180" t="inlineStr">
        <is>
          <t>Single</t>
        </is>
      </c>
      <c r="G565" s="180" t="inlineStr">
        <is>
          <t>MSX 22 HD LVP</t>
        </is>
      </c>
      <c r="H565" s="180" t="inlineStr">
        <is>
          <t>70 X 155</t>
        </is>
      </c>
      <c r="I565" s="180" t="inlineStr">
        <is>
          <t>20 X 23</t>
        </is>
      </c>
      <c r="J565" s="180" t="n">
        <v>21</v>
      </c>
      <c r="K565" s="171" t="n"/>
      <c r="L565" s="14" t="n"/>
      <c r="M565" s="15" t="n">
        <v>0.6977821913273751</v>
      </c>
      <c r="N565" s="14" t="n"/>
      <c r="O565" s="16" t="n"/>
    </row>
    <row r="566" ht="15.75" customHeight="1">
      <c r="A566" s="234" t="n"/>
      <c r="B566" s="234" t="n"/>
      <c r="C566" s="175" t="inlineStr">
        <is>
          <t>SCFG</t>
        </is>
      </c>
      <c r="D566" s="166" t="inlineStr">
        <is>
          <t>-</t>
        </is>
      </c>
      <c r="E566" s="166" t="n">
        <v>15</v>
      </c>
      <c r="F566" s="166" t="inlineStr">
        <is>
          <t>Single</t>
        </is>
      </c>
      <c r="G566" s="166" t="inlineStr">
        <is>
          <t>MSX 22 HD SCFG</t>
        </is>
      </c>
      <c r="H566" s="166" t="inlineStr">
        <is>
          <t>90 X 175</t>
        </is>
      </c>
      <c r="I566" s="166" t="inlineStr">
        <is>
          <t>23 X 23</t>
        </is>
      </c>
      <c r="J566" s="166" t="n">
        <v>15</v>
      </c>
      <c r="K566" s="176" t="n"/>
      <c r="L566" s="25" t="n"/>
      <c r="M566" s="26" t="n">
        <v>0.3381642512077295</v>
      </c>
      <c r="N566" s="25" t="n"/>
      <c r="O566" s="27" t="n"/>
    </row>
    <row r="567" ht="15" customHeight="1">
      <c r="A567" s="197" t="n"/>
      <c r="B567" s="198" t="inlineStr">
        <is>
          <t>R 140</t>
        </is>
      </c>
      <c r="C567" s="184" t="inlineStr">
        <is>
          <t>LVP</t>
        </is>
      </c>
      <c r="D567" s="180" t="inlineStr">
        <is>
          <t>Top</t>
        </is>
      </c>
      <c r="E567" s="180" t="n">
        <v>60</v>
      </c>
      <c r="F567" s="180" t="inlineStr">
        <is>
          <t>Single</t>
        </is>
      </c>
      <c r="G567" s="180" t="inlineStr">
        <is>
          <t>MSX 40 TOP LVP</t>
        </is>
      </c>
      <c r="H567" s="180" t="inlineStr">
        <is>
          <t>76 X 168</t>
        </is>
      </c>
      <c r="I567" s="180" t="inlineStr">
        <is>
          <t>21 X 24</t>
        </is>
      </c>
      <c r="J567" s="180" t="n">
        <v>21</v>
      </c>
      <c r="K567" s="181" t="n"/>
      <c r="L567" s="31" t="n"/>
      <c r="M567" s="32" t="n">
        <v>1.103988603988604</v>
      </c>
      <c r="N567" s="31" t="n"/>
      <c r="O567" s="33" t="n"/>
    </row>
    <row r="568" ht="15" customHeight="1">
      <c r="A568" s="232" t="n"/>
      <c r="B568" s="232" t="n"/>
      <c r="C568" s="235" t="n"/>
      <c r="D568" s="169" t="inlineStr">
        <is>
          <t>Bottom</t>
        </is>
      </c>
      <c r="E568" s="169" t="n">
        <v>40</v>
      </c>
      <c r="F568" s="180" t="inlineStr">
        <is>
          <t>Single</t>
        </is>
      </c>
      <c r="G568" s="180" t="inlineStr">
        <is>
          <t>MSX 40 BOT LVP</t>
        </is>
      </c>
      <c r="H568" s="180" t="inlineStr">
        <is>
          <t>88 X 178</t>
        </is>
      </c>
      <c r="I568" s="180" t="inlineStr">
        <is>
          <t>20 X 23</t>
        </is>
      </c>
      <c r="J568" s="180" t="n">
        <v>15</v>
      </c>
      <c r="K568" s="171" t="n"/>
      <c r="L568" s="14" t="n"/>
      <c r="M568" s="15" t="n">
        <v>0.6977821913273751</v>
      </c>
      <c r="N568" s="14" t="n"/>
      <c r="O568" s="16" t="n"/>
    </row>
    <row r="569" ht="15.75" customHeight="1">
      <c r="A569" s="234" t="n"/>
      <c r="B569" s="234" t="n"/>
      <c r="C569" s="175" t="inlineStr">
        <is>
          <t>SCFG</t>
        </is>
      </c>
      <c r="D569" s="166" t="inlineStr">
        <is>
          <t>-</t>
        </is>
      </c>
      <c r="E569" s="166" t="n">
        <v>15</v>
      </c>
      <c r="F569" s="166" t="inlineStr">
        <is>
          <t>Single</t>
        </is>
      </c>
      <c r="G569" s="166" t="inlineStr">
        <is>
          <t>MSX 40 SCFG</t>
        </is>
      </c>
      <c r="H569" s="166" t="inlineStr">
        <is>
          <t>110 X 198</t>
        </is>
      </c>
      <c r="I569" s="166" t="inlineStr">
        <is>
          <t>25.5 X 43</t>
        </is>
      </c>
      <c r="J569" s="166" t="n">
        <v>25</v>
      </c>
      <c r="K569" s="176" t="n"/>
      <c r="L569" s="25" t="n"/>
      <c r="M569" s="26" t="n">
        <v>0.3381642512077295</v>
      </c>
      <c r="N569" s="25" t="n"/>
      <c r="O569" s="27" t="n"/>
    </row>
    <row r="570" ht="15" customHeight="1">
      <c r="A570" s="197" t="n"/>
      <c r="B570" s="198" t="inlineStr">
        <is>
          <t>R 142</t>
        </is>
      </c>
      <c r="C570" s="184" t="inlineStr">
        <is>
          <t>LVP</t>
        </is>
      </c>
      <c r="D570" s="180" t="inlineStr">
        <is>
          <t>Top</t>
        </is>
      </c>
      <c r="E570" s="180" t="n">
        <v>60</v>
      </c>
      <c r="F570" s="180" t="inlineStr">
        <is>
          <t>Single</t>
        </is>
      </c>
      <c r="G570" s="180" t="inlineStr">
        <is>
          <t>MSX 42 TOP LVP</t>
        </is>
      </c>
      <c r="H570" s="180" t="inlineStr">
        <is>
          <t>100 X 230</t>
        </is>
      </c>
      <c r="I570" s="180" t="inlineStr">
        <is>
          <t>19 X 22</t>
        </is>
      </c>
      <c r="J570" s="180" t="n">
        <v>10</v>
      </c>
      <c r="K570" s="181" t="n"/>
      <c r="L570" s="31" t="n"/>
      <c r="M570" s="32" t="n">
        <v>1.103988603988604</v>
      </c>
      <c r="N570" s="31" t="n"/>
      <c r="O570" s="33" t="n"/>
    </row>
    <row r="571" ht="15" customHeight="1">
      <c r="A571" s="232" t="n"/>
      <c r="B571" s="232" t="n"/>
      <c r="C571" s="235" t="n"/>
      <c r="D571" s="169" t="inlineStr">
        <is>
          <t>Bottom</t>
        </is>
      </c>
      <c r="E571" s="169" t="n">
        <v>40</v>
      </c>
      <c r="F571" s="180" t="inlineStr">
        <is>
          <t>Single</t>
        </is>
      </c>
      <c r="G571" s="180" t="inlineStr">
        <is>
          <t>MSX 42 BOT LVP</t>
        </is>
      </c>
      <c r="H571" s="180" t="inlineStr">
        <is>
          <t>108 X 240</t>
        </is>
      </c>
      <c r="I571" s="180" t="inlineStr">
        <is>
          <t>20 X 24</t>
        </is>
      </c>
      <c r="J571" s="180" t="n">
        <v>10</v>
      </c>
      <c r="K571" s="171" t="n"/>
      <c r="L571" s="14" t="n"/>
      <c r="M571" s="15" t="n">
        <v>0.6977821913273751</v>
      </c>
      <c r="N571" s="14" t="n"/>
      <c r="O571" s="16" t="n"/>
    </row>
    <row r="572" ht="15.75" customHeight="1">
      <c r="A572" s="234" t="n"/>
      <c r="B572" s="234" t="n"/>
      <c r="C572" s="175" t="inlineStr">
        <is>
          <t>SCFG</t>
        </is>
      </c>
      <c r="D572" s="166" t="inlineStr">
        <is>
          <t>-</t>
        </is>
      </c>
      <c r="E572" s="166" t="n">
        <v>15</v>
      </c>
      <c r="F572" s="166" t="inlineStr">
        <is>
          <t>Single</t>
        </is>
      </c>
      <c r="G572" s="166" t="inlineStr">
        <is>
          <t>MSX 42 SCFG</t>
        </is>
      </c>
      <c r="H572" s="166" t="inlineStr">
        <is>
          <t>126 X 260</t>
        </is>
      </c>
      <c r="I572" s="166" t="inlineStr">
        <is>
          <t>29 X 55</t>
        </is>
      </c>
      <c r="J572" s="166" t="n">
        <v>25</v>
      </c>
      <c r="K572" s="176" t="n"/>
      <c r="L572" s="25" t="n"/>
      <c r="M572" s="26" t="n">
        <v>0.3381642512077295</v>
      </c>
      <c r="N572" s="25" t="n"/>
      <c r="O572" s="27" t="n"/>
    </row>
    <row r="573" ht="15" customHeight="1">
      <c r="A573" s="197" t="n"/>
      <c r="B573" s="198" t="inlineStr">
        <is>
          <t>R 2</t>
        </is>
      </c>
      <c r="C573" s="184" t="inlineStr">
        <is>
          <t>LVP</t>
        </is>
      </c>
      <c r="D573" s="180" t="inlineStr">
        <is>
          <t>Top</t>
        </is>
      </c>
      <c r="E573" s="180" t="n">
        <v>60</v>
      </c>
      <c r="F573" s="180" t="inlineStr">
        <is>
          <t>Single</t>
        </is>
      </c>
      <c r="G573" s="180" t="inlineStr">
        <is>
          <t>R2 LVP</t>
        </is>
      </c>
      <c r="H573" s="180" t="n">
        <v>67</v>
      </c>
      <c r="I573" s="180" t="inlineStr">
        <is>
          <t>23.5 X 23.5</t>
        </is>
      </c>
      <c r="J573" s="180" t="n">
        <v>36</v>
      </c>
      <c r="K573" s="181" t="n"/>
      <c r="L573" s="31" t="n"/>
      <c r="M573" s="32" t="n">
        <v>1.103988603988604</v>
      </c>
      <c r="N573" s="31" t="n"/>
      <c r="O573" s="33" t="n"/>
    </row>
    <row r="574" ht="15" customHeight="1">
      <c r="A574" s="232" t="n"/>
      <c r="B574" s="232" t="n"/>
      <c r="C574" s="235" t="n"/>
      <c r="D574" s="169" t="inlineStr">
        <is>
          <t>Bottom</t>
        </is>
      </c>
      <c r="E574" s="169" t="n">
        <v>40</v>
      </c>
      <c r="F574" s="180" t="n"/>
      <c r="G574" s="180" t="n"/>
      <c r="H574" s="180" t="n"/>
      <c r="I574" s="180" t="n"/>
      <c r="J574" s="180" t="n"/>
      <c r="K574" s="171" t="n"/>
      <c r="L574" s="14" t="n"/>
      <c r="M574" s="15" t="n">
        <v>0.6977821913273751</v>
      </c>
      <c r="N574" s="14" t="n"/>
      <c r="O574" s="16" t="n"/>
    </row>
    <row r="575" ht="15.75" customHeight="1">
      <c r="A575" s="234" t="n"/>
      <c r="B575" s="234" t="n"/>
      <c r="C575" s="175" t="inlineStr">
        <is>
          <t>SCFG</t>
        </is>
      </c>
      <c r="D575" s="166" t="inlineStr">
        <is>
          <t>-</t>
        </is>
      </c>
      <c r="E575" s="166" t="n">
        <v>15</v>
      </c>
      <c r="F575" s="166" t="n"/>
      <c r="G575" s="166" t="n"/>
      <c r="H575" s="166" t="n"/>
      <c r="I575" s="166" t="n"/>
      <c r="J575" s="166" t="n"/>
      <c r="K575" s="176" t="n"/>
      <c r="L575" s="25" t="n"/>
      <c r="M575" s="26" t="n">
        <v>0.3381642512077295</v>
      </c>
      <c r="N575" s="25" t="n"/>
      <c r="O575" s="27" t="n"/>
    </row>
    <row r="576" ht="15" customHeight="1">
      <c r="A576" s="197" t="n"/>
      <c r="B576" s="198" t="inlineStr">
        <is>
          <t>HK 1</t>
        </is>
      </c>
      <c r="C576" s="184" t="inlineStr">
        <is>
          <t>LVP</t>
        </is>
      </c>
      <c r="D576" s="180" t="inlineStr">
        <is>
          <t>Top</t>
        </is>
      </c>
      <c r="E576" s="180" t="n"/>
      <c r="F576" s="180" t="n"/>
      <c r="G576" s="180" t="n"/>
      <c r="H576" s="180" t="n">
        <v>21</v>
      </c>
      <c r="I576" s="180" t="inlineStr">
        <is>
          <t>10.5 X 16</t>
        </is>
      </c>
      <c r="J576" s="180" t="n">
        <v>96</v>
      </c>
      <c r="K576" s="181" t="n"/>
      <c r="L576" s="31" t="n"/>
      <c r="M576" s="32" t="e">
        <v>#N/A</v>
      </c>
      <c r="N576" s="31" t="n"/>
      <c r="O576" s="33" t="n"/>
    </row>
    <row r="577" ht="15" customHeight="1">
      <c r="A577" s="232" t="n"/>
      <c r="B577" s="232" t="n"/>
      <c r="C577" s="235" t="n"/>
      <c r="D577" s="169" t="inlineStr">
        <is>
          <t>Bottom</t>
        </is>
      </c>
      <c r="E577" s="169" t="n"/>
      <c r="F577" s="180" t="n"/>
      <c r="G577" s="180" t="n"/>
      <c r="H577" s="180" t="n"/>
      <c r="I577" s="180" t="n"/>
      <c r="J577" s="180" t="n"/>
      <c r="K577" s="171" t="n"/>
      <c r="L577" s="14" t="n"/>
      <c r="M577" s="15" t="e">
        <v>#N/A</v>
      </c>
      <c r="N577" s="14" t="n"/>
      <c r="O577" s="16" t="n"/>
    </row>
    <row r="578" ht="15.75" customHeight="1">
      <c r="A578" s="234" t="n"/>
      <c r="B578" s="234" t="n"/>
      <c r="C578" s="175" t="inlineStr">
        <is>
          <t>SCFG</t>
        </is>
      </c>
      <c r="D578" s="166" t="inlineStr">
        <is>
          <t>-</t>
        </is>
      </c>
      <c r="E578" s="166" t="n"/>
      <c r="F578" s="166" t="n"/>
      <c r="G578" s="166" t="n"/>
      <c r="H578" s="166" t="n"/>
      <c r="I578" s="166" t="n"/>
      <c r="J578" s="166" t="n"/>
      <c r="K578" s="176" t="n"/>
      <c r="L578" s="25" t="n"/>
      <c r="M578" s="26" t="e">
        <v>#N/A</v>
      </c>
      <c r="N578" s="25" t="n"/>
      <c r="O578" s="27" t="n"/>
    </row>
    <row r="579" ht="15" customHeight="1">
      <c r="A579" s="222" t="inlineStr">
        <is>
          <t>Premium</t>
        </is>
      </c>
      <c r="B579" s="198" t="inlineStr">
        <is>
          <t>Tiny Round</t>
        </is>
      </c>
      <c r="C579" s="184" t="inlineStr">
        <is>
          <t>LVP</t>
        </is>
      </c>
      <c r="D579" s="180" t="inlineStr">
        <is>
          <t>Top</t>
        </is>
      </c>
      <c r="E579" s="180" t="n">
        <v>20</v>
      </c>
      <c r="F579" s="180" t="inlineStr">
        <is>
          <t>Passing</t>
        </is>
      </c>
      <c r="G579" s="180" t="inlineStr">
        <is>
          <t>Tiny Round LVP</t>
        </is>
      </c>
      <c r="H579" s="180" t="inlineStr">
        <is>
          <t>20 MM</t>
        </is>
      </c>
      <c r="I579" s="180" t="inlineStr">
        <is>
          <t>17 X 17</t>
        </is>
      </c>
      <c r="J579" s="180" t="n">
        <v>378</v>
      </c>
      <c r="K579" s="181" t="n"/>
      <c r="L579" s="31" t="n"/>
      <c r="M579" s="32" t="n">
        <v>0.3697478991596639</v>
      </c>
      <c r="N579" s="31" t="n"/>
      <c r="O579" s="33" t="n"/>
    </row>
    <row r="580" ht="15" customHeight="1">
      <c r="A580" s="232" t="n"/>
      <c r="B580" s="232" t="n"/>
      <c r="C580" s="235" t="n"/>
      <c r="D580" s="169" t="inlineStr">
        <is>
          <t>Bottom</t>
        </is>
      </c>
      <c r="E580" s="169" t="n"/>
      <c r="F580" s="180" t="n"/>
      <c r="G580" s="180" t="n"/>
      <c r="H580" s="180" t="n"/>
      <c r="I580" s="180" t="n"/>
      <c r="J580" s="180" t="n"/>
      <c r="K580" s="171" t="n"/>
      <c r="L580" s="14" t="n"/>
      <c r="M580" s="15" t="e">
        <v>#N/A</v>
      </c>
      <c r="N580" s="14" t="n"/>
      <c r="O580" s="16" t="n"/>
    </row>
    <row r="581" ht="15.75" customHeight="1">
      <c r="A581" s="232" t="n"/>
      <c r="B581" s="234" t="n"/>
      <c r="C581" s="175" t="inlineStr">
        <is>
          <t>SCFG</t>
        </is>
      </c>
      <c r="D581" s="166" t="inlineStr">
        <is>
          <t>-</t>
        </is>
      </c>
      <c r="E581" s="166" t="n">
        <v>15</v>
      </c>
      <c r="F581" s="166" t="inlineStr">
        <is>
          <t>Single</t>
        </is>
      </c>
      <c r="G581" s="166" t="inlineStr">
        <is>
          <t>Tiny Round SCFG</t>
        </is>
      </c>
      <c r="H581" s="166" t="inlineStr">
        <is>
          <t>28 MM</t>
        </is>
      </c>
      <c r="I581" s="166" t="inlineStr">
        <is>
          <t>24.6 X 24.6</t>
        </is>
      </c>
      <c r="J581" s="166" t="n">
        <v>169</v>
      </c>
      <c r="K581" s="176" t="n"/>
      <c r="L581" s="25" t="n"/>
      <c r="M581" s="26" t="n">
        <v>0.3381642512077295</v>
      </c>
      <c r="N581" s="25" t="n"/>
      <c r="O581" s="27" t="n"/>
    </row>
    <row r="582" ht="15" customHeight="1">
      <c r="A582" s="232" t="n"/>
      <c r="B582" s="198" t="inlineStr">
        <is>
          <t>Mini Round</t>
        </is>
      </c>
      <c r="C582" s="184" t="inlineStr">
        <is>
          <t>LVP</t>
        </is>
      </c>
      <c r="D582" s="180" t="inlineStr">
        <is>
          <t>Top</t>
        </is>
      </c>
      <c r="E582" s="180" t="n">
        <v>40</v>
      </c>
      <c r="F582" s="180" t="inlineStr">
        <is>
          <t>Passing</t>
        </is>
      </c>
      <c r="G582" s="180" t="inlineStr">
        <is>
          <t>T 29 LVP</t>
        </is>
      </c>
      <c r="H582" s="180" t="inlineStr">
        <is>
          <t>22 MM</t>
        </is>
      </c>
      <c r="I582" s="180" t="inlineStr">
        <is>
          <t>15.5 X 18.5</t>
        </is>
      </c>
      <c r="J582" s="180" t="n">
        <v>298</v>
      </c>
      <c r="K582" s="181" t="n"/>
      <c r="L582" s="31" t="n"/>
      <c r="M582" s="32" t="n">
        <v>0.6977821913273751</v>
      </c>
      <c r="N582" s="31" t="n"/>
      <c r="O582" s="33" t="n"/>
    </row>
    <row r="583" ht="15" customHeight="1">
      <c r="A583" s="232" t="n"/>
      <c r="B583" s="232" t="n"/>
      <c r="C583" s="235" t="n"/>
      <c r="D583" s="169" t="inlineStr">
        <is>
          <t>Bottom</t>
        </is>
      </c>
      <c r="E583" s="169" t="n"/>
      <c r="F583" s="180" t="n"/>
      <c r="G583" s="180" t="n"/>
      <c r="H583" s="180" t="n"/>
      <c r="I583" s="180" t="n"/>
      <c r="J583" s="180" t="n"/>
      <c r="K583" s="171" t="n"/>
      <c r="L583" s="14" t="n"/>
      <c r="M583" s="15" t="e">
        <v>#N/A</v>
      </c>
      <c r="N583" s="14" t="n"/>
      <c r="O583" s="16" t="n"/>
    </row>
    <row r="584" ht="15.75" customHeight="1">
      <c r="A584" s="232" t="n"/>
      <c r="B584" s="234" t="n"/>
      <c r="C584" s="175" t="inlineStr">
        <is>
          <t>SCFG</t>
        </is>
      </c>
      <c r="D584" s="166" t="inlineStr">
        <is>
          <t>-</t>
        </is>
      </c>
      <c r="E584" s="166" t="n">
        <v>15</v>
      </c>
      <c r="F584" s="166" t="inlineStr">
        <is>
          <t>Single</t>
        </is>
      </c>
      <c r="G584" s="166" t="inlineStr">
        <is>
          <t>T 29 SCFG</t>
        </is>
      </c>
      <c r="H584" s="166" t="inlineStr">
        <is>
          <t>35 MM</t>
        </is>
      </c>
      <c r="I584" s="166" t="inlineStr">
        <is>
          <t>11 X 11</t>
        </is>
      </c>
      <c r="J584" s="166" t="n">
        <v>25</v>
      </c>
      <c r="K584" s="176" t="n"/>
      <c r="L584" s="25" t="n"/>
      <c r="M584" s="26" t="n">
        <v>0.3381642512077295</v>
      </c>
      <c r="N584" s="25" t="n"/>
      <c r="O584" s="27" t="n"/>
    </row>
    <row r="585" ht="15" customHeight="1">
      <c r="A585" s="232" t="n"/>
      <c r="B585" s="198" t="inlineStr">
        <is>
          <t>Small Round</t>
        </is>
      </c>
      <c r="C585" s="184" t="inlineStr">
        <is>
          <t>LVP</t>
        </is>
      </c>
      <c r="D585" s="180" t="inlineStr">
        <is>
          <t>Top</t>
        </is>
      </c>
      <c r="E585" s="180" t="n">
        <v>50</v>
      </c>
      <c r="F585" s="180" t="inlineStr">
        <is>
          <t>Passing</t>
        </is>
      </c>
      <c r="G585" s="180" t="inlineStr">
        <is>
          <t>PRC RSR New,
T 30 LVP,
C 1 (Sq on Fabric + LVP)</t>
        </is>
      </c>
      <c r="H585" s="180" t="inlineStr">
        <is>
          <t>31 MM</t>
        </is>
      </c>
      <c r="I585" s="180" t="inlineStr">
        <is>
          <t>16.5 X 21</t>
        </is>
      </c>
      <c r="J585" s="180" t="n">
        <v>189</v>
      </c>
      <c r="K585" s="181" t="n"/>
      <c r="L585" s="31" t="n"/>
      <c r="M585" s="32" t="n">
        <v>0.9182530795072789</v>
      </c>
      <c r="N585" s="31" t="n"/>
      <c r="O585" s="33" t="n"/>
    </row>
    <row r="586" ht="15" customHeight="1">
      <c r="A586" s="232" t="n"/>
      <c r="B586" s="232" t="n"/>
      <c r="C586" s="235" t="n"/>
      <c r="D586" s="169" t="inlineStr">
        <is>
          <t>Bottom</t>
        </is>
      </c>
      <c r="E586" s="169" t="n"/>
      <c r="F586" s="180" t="n"/>
      <c r="G586" s="180" t="n"/>
      <c r="H586" s="180" t="n"/>
      <c r="I586" s="180" t="n"/>
      <c r="J586" s="180" t="n"/>
      <c r="K586" s="171" t="n"/>
      <c r="L586" s="14" t="n"/>
      <c r="M586" s="15" t="e">
        <v>#N/A</v>
      </c>
      <c r="N586" s="14" t="n"/>
      <c r="O586" s="16" t="n"/>
    </row>
    <row r="587" ht="15.75" customHeight="1">
      <c r="A587" s="232" t="n"/>
      <c r="B587" s="234" t="n"/>
      <c r="C587" s="175" t="inlineStr">
        <is>
          <t>SCFG</t>
        </is>
      </c>
      <c r="D587" s="166" t="inlineStr">
        <is>
          <t>-</t>
        </is>
      </c>
      <c r="E587" s="166" t="n">
        <v>15</v>
      </c>
      <c r="F587" s="166" t="inlineStr">
        <is>
          <t>Single</t>
        </is>
      </c>
      <c r="G587" s="166" t="inlineStr">
        <is>
          <t>PRC RSR New,
T 30 SCFG</t>
        </is>
      </c>
      <c r="H587" s="166" t="inlineStr">
        <is>
          <t>44.5 MM</t>
        </is>
      </c>
      <c r="I587" s="166" t="inlineStr">
        <is>
          <t>23 X 23</t>
        </is>
      </c>
      <c r="J587" s="166" t="n">
        <v>81</v>
      </c>
      <c r="K587" s="181" t="n"/>
      <c r="L587" s="25" t="n"/>
      <c r="M587" s="26" t="n">
        <v>0.3381642512077295</v>
      </c>
      <c r="N587" s="25" t="n"/>
      <c r="O587" s="27" t="n"/>
    </row>
    <row r="588" ht="15" customHeight="1">
      <c r="A588" s="232" t="n"/>
      <c r="B588" s="198" t="inlineStr">
        <is>
          <t>Medium Round</t>
        </is>
      </c>
      <c r="C588" s="184" t="inlineStr">
        <is>
          <t>LVP</t>
        </is>
      </c>
      <c r="D588" s="180" t="inlineStr">
        <is>
          <t>Top</t>
        </is>
      </c>
      <c r="E588" s="180" t="n">
        <v>50</v>
      </c>
      <c r="F588" s="180" t="inlineStr">
        <is>
          <t>Passing</t>
        </is>
      </c>
      <c r="G588" s="180" t="inlineStr">
        <is>
          <t>PRC CX 2 Sq FABRIC,
KWIK 0 Off Bal fabric,
C2 (Off Bal Fabric),
M 10 LVP,
HK 1 LVP</t>
        </is>
      </c>
      <c r="H588" s="180" t="inlineStr">
        <is>
          <t>46 MM</t>
        </is>
      </c>
      <c r="I588" s="180" t="inlineStr">
        <is>
          <t>17 X 27</t>
        </is>
      </c>
      <c r="J588" s="180" t="n">
        <v>96</v>
      </c>
      <c r="K588" s="181" t="n"/>
      <c r="L588" s="31" t="n"/>
      <c r="M588" s="32" t="n">
        <v>0.9182530795072789</v>
      </c>
      <c r="N588" s="31" t="n"/>
      <c r="O588" s="33" t="n"/>
    </row>
    <row r="589" ht="15" customHeight="1">
      <c r="A589" s="232" t="n"/>
      <c r="B589" s="232" t="n"/>
      <c r="C589" s="235" t="n"/>
      <c r="D589" s="169" t="inlineStr">
        <is>
          <t>Bottom</t>
        </is>
      </c>
      <c r="E589" s="169" t="n"/>
      <c r="F589" s="180" t="n"/>
      <c r="G589" s="180" t="n"/>
      <c r="H589" s="180" t="n"/>
      <c r="I589" s="180" t="n"/>
      <c r="J589" s="180" t="n"/>
      <c r="K589" s="171" t="n"/>
      <c r="L589" s="14" t="n"/>
      <c r="M589" s="15" t="e">
        <v>#N/A</v>
      </c>
      <c r="N589" s="14" t="n"/>
      <c r="O589" s="16" t="n"/>
    </row>
    <row r="590" ht="15.75" customHeight="1">
      <c r="A590" s="232" t="n"/>
      <c r="B590" s="234" t="n"/>
      <c r="C590" s="175" t="inlineStr">
        <is>
          <t>SCFG</t>
        </is>
      </c>
      <c r="D590" s="166" t="inlineStr">
        <is>
          <t>-</t>
        </is>
      </c>
      <c r="E590" s="166" t="n">
        <v>15</v>
      </c>
      <c r="F590" s="166" t="inlineStr">
        <is>
          <t>Single</t>
        </is>
      </c>
      <c r="G590" s="166" t="inlineStr">
        <is>
          <t>KWIK 0 SCFG</t>
        </is>
      </c>
      <c r="H590" s="166" t="inlineStr">
        <is>
          <t>60 MM</t>
        </is>
      </c>
      <c r="I590" s="166" t="inlineStr">
        <is>
          <t>25 X 25</t>
        </is>
      </c>
      <c r="J590" s="166" t="n">
        <v>64</v>
      </c>
      <c r="K590" s="176" t="n"/>
      <c r="L590" s="25" t="n"/>
      <c r="M590" s="26" t="n">
        <v>0.3381642512077295</v>
      </c>
      <c r="N590" s="25" t="n"/>
      <c r="O590" s="27" t="n"/>
    </row>
    <row r="591" ht="15" customHeight="1">
      <c r="A591" s="232" t="n"/>
      <c r="B591" s="198" t="inlineStr">
        <is>
          <t>Large Round</t>
        </is>
      </c>
      <c r="C591" s="184" t="inlineStr">
        <is>
          <t>LVP</t>
        </is>
      </c>
      <c r="D591" s="180" t="inlineStr">
        <is>
          <t>Top</t>
        </is>
      </c>
      <c r="E591" s="180" t="n">
        <v>50</v>
      </c>
      <c r="F591" s="180" t="inlineStr">
        <is>
          <t>Passing</t>
        </is>
      </c>
      <c r="G591" s="180" t="inlineStr">
        <is>
          <t>PRC CX 3 Sq FABRIC,
PRC RLR,
 T32 LVP</t>
        </is>
      </c>
      <c r="H591" s="180" t="inlineStr">
        <is>
          <t>67 MM</t>
        </is>
      </c>
      <c r="I591" s="180" t="inlineStr">
        <is>
          <t>11.5 X 20.5</t>
        </is>
      </c>
      <c r="J591" s="180" t="n">
        <v>24</v>
      </c>
      <c r="K591" s="181" t="n"/>
      <c r="L591" s="31" t="n"/>
      <c r="M591" s="32" t="n">
        <v>0.9182530795072789</v>
      </c>
      <c r="N591" s="31" t="n"/>
      <c r="O591" s="33" t="n"/>
    </row>
    <row r="592" ht="15" customHeight="1">
      <c r="A592" s="232" t="n"/>
      <c r="B592" s="232" t="n"/>
      <c r="C592" s="235" t="n"/>
      <c r="D592" s="169" t="inlineStr">
        <is>
          <t>Bottom</t>
        </is>
      </c>
      <c r="E592" s="169" t="n"/>
      <c r="F592" s="180" t="n"/>
      <c r="G592" s="180" t="n"/>
      <c r="H592" s="180" t="n"/>
      <c r="I592" s="180" t="n"/>
      <c r="J592" s="180" t="n"/>
      <c r="K592" s="171" t="n"/>
      <c r="L592" s="14" t="n"/>
      <c r="M592" s="15" t="e">
        <v>#N/A</v>
      </c>
      <c r="N592" s="14" t="n"/>
      <c r="O592" s="16" t="n"/>
    </row>
    <row r="593" ht="15.75" customHeight="1">
      <c r="A593" s="234" t="n"/>
      <c r="B593" s="234" t="n"/>
      <c r="C593" s="175" t="inlineStr">
        <is>
          <t>SCFG</t>
        </is>
      </c>
      <c r="D593" s="166" t="inlineStr">
        <is>
          <t>-</t>
        </is>
      </c>
      <c r="E593" s="166" t="n">
        <v>15</v>
      </c>
      <c r="F593" s="166" t="inlineStr">
        <is>
          <t>Single</t>
        </is>
      </c>
      <c r="G593" s="166" t="inlineStr">
        <is>
          <t>PRC RLR,
 T 32 SCFG</t>
        </is>
      </c>
      <c r="H593" s="166" t="inlineStr">
        <is>
          <t>79.4 MM</t>
        </is>
      </c>
      <c r="I593" s="166" t="inlineStr">
        <is>
          <t>23.6 X 23.6</t>
        </is>
      </c>
      <c r="J593" s="166" t="n">
        <v>36</v>
      </c>
      <c r="K593" s="181" t="n"/>
      <c r="L593" s="25" t="n"/>
      <c r="M593" s="26" t="n">
        <v>0.3381642512077295</v>
      </c>
      <c r="N593" s="25" t="n"/>
      <c r="O593" s="27" t="n"/>
    </row>
    <row r="594" ht="15" customHeight="1">
      <c r="A594" s="223" t="inlineStr">
        <is>
          <t>King Point</t>
        </is>
      </c>
      <c r="B594" s="224" t="inlineStr">
        <is>
          <t>Little Round</t>
        </is>
      </c>
      <c r="C594" s="184" t="inlineStr">
        <is>
          <t>LVP</t>
        </is>
      </c>
      <c r="D594" s="180" t="inlineStr">
        <is>
          <t>Top</t>
        </is>
      </c>
      <c r="E594" s="180" t="n">
        <v>50</v>
      </c>
      <c r="F594" s="180" t="inlineStr">
        <is>
          <t>Passing</t>
        </is>
      </c>
      <c r="G594" s="180" t="inlineStr">
        <is>
          <t>R2 LVP</t>
        </is>
      </c>
      <c r="H594" s="180" t="inlineStr">
        <is>
          <t>40 MM</t>
        </is>
      </c>
      <c r="I594" s="180" t="inlineStr">
        <is>
          <t>14 X 19.5</t>
        </is>
      </c>
      <c r="J594" s="180" t="n">
        <v>95</v>
      </c>
      <c r="K594" s="181" t="n"/>
      <c r="L594" s="31" t="n"/>
      <c r="M594" s="32" t="n">
        <v>0.9182530795072789</v>
      </c>
      <c r="N594" s="31" t="n"/>
      <c r="O594" s="33" t="n"/>
    </row>
    <row r="595" ht="15" customHeight="1">
      <c r="A595" s="243" t="n"/>
      <c r="B595" s="239" t="n"/>
      <c r="C595" s="235" t="n"/>
      <c r="D595" s="169" t="inlineStr">
        <is>
          <t>Bottom</t>
        </is>
      </c>
      <c r="E595" s="169" t="n"/>
      <c r="F595" s="180" t="n"/>
      <c r="G595" s="180" t="n"/>
      <c r="H595" s="180" t="n"/>
      <c r="I595" s="180" t="n"/>
      <c r="J595" s="180" t="n"/>
      <c r="K595" s="171" t="n"/>
      <c r="L595" s="14" t="n"/>
      <c r="M595" s="15" t="e">
        <v>#N/A</v>
      </c>
      <c r="N595" s="14" t="n"/>
      <c r="O595" s="16" t="n"/>
    </row>
    <row r="596" ht="15.75" customHeight="1">
      <c r="A596" s="243" t="n"/>
      <c r="B596" s="242" t="n"/>
      <c r="C596" s="175" t="inlineStr">
        <is>
          <t>SCFG</t>
        </is>
      </c>
      <c r="D596" s="166" t="inlineStr">
        <is>
          <t>-</t>
        </is>
      </c>
      <c r="E596" s="166" t="n">
        <v>15</v>
      </c>
      <c r="F596" s="166" t="inlineStr">
        <is>
          <t>Single</t>
        </is>
      </c>
      <c r="G596" s="166" t="inlineStr">
        <is>
          <t>Little Round (King point) SCFG</t>
        </is>
      </c>
      <c r="H596" s="166" t="inlineStr">
        <is>
          <t>53 MM</t>
        </is>
      </c>
      <c r="I596" s="166" t="inlineStr">
        <is>
          <t>20 X 20</t>
        </is>
      </c>
      <c r="J596" s="166" t="n">
        <v>49</v>
      </c>
      <c r="K596" s="181" t="n"/>
      <c r="L596" s="25" t="n"/>
      <c r="M596" s="26" t="n">
        <v>0.3381642512077295</v>
      </c>
      <c r="N596" s="25" t="n"/>
      <c r="O596" s="27" t="n"/>
    </row>
    <row r="597" ht="15" customHeight="1">
      <c r="A597" s="243" t="n"/>
      <c r="B597" s="224" t="inlineStr">
        <is>
          <t>Medium Round</t>
        </is>
      </c>
      <c r="C597" s="184" t="inlineStr">
        <is>
          <t>LVP</t>
        </is>
      </c>
      <c r="D597" s="180" t="inlineStr">
        <is>
          <t>Top</t>
        </is>
      </c>
      <c r="E597" s="180" t="n">
        <v>50</v>
      </c>
      <c r="F597" s="180" t="inlineStr">
        <is>
          <t>Passing</t>
        </is>
      </c>
      <c r="G597" s="180" t="inlineStr">
        <is>
          <t>PRC CX 2 Sq FABRIC,
KWIK 0 Off Bal fabric,
C2 (Off Bal Fabric),
M 10 LVP,
HK 1 LVP</t>
        </is>
      </c>
      <c r="H597" s="180" t="inlineStr">
        <is>
          <t>46 MM</t>
        </is>
      </c>
      <c r="I597" s="180" t="inlineStr">
        <is>
          <t>17 X 27</t>
        </is>
      </c>
      <c r="J597" s="180" t="n">
        <v>96</v>
      </c>
      <c r="K597" s="181" t="n"/>
      <c r="L597" s="31" t="n"/>
      <c r="M597" s="32" t="n">
        <v>0.9182530795072789</v>
      </c>
      <c r="N597" s="31" t="n"/>
      <c r="O597" s="33" t="n"/>
    </row>
    <row r="598" ht="15" customHeight="1">
      <c r="A598" s="243" t="n"/>
      <c r="B598" s="239" t="n"/>
      <c r="C598" s="235" t="n"/>
      <c r="D598" s="169" t="inlineStr">
        <is>
          <t>Bottom</t>
        </is>
      </c>
      <c r="E598" s="169" t="n"/>
      <c r="F598" s="180" t="n"/>
      <c r="G598" s="180" t="n"/>
      <c r="H598" s="180" t="n"/>
      <c r="I598" s="180" t="n"/>
      <c r="J598" s="180" t="n"/>
      <c r="K598" s="171" t="n"/>
      <c r="L598" s="14" t="n"/>
      <c r="M598" s="15" t="e">
        <v>#N/A</v>
      </c>
      <c r="N598" s="14" t="n"/>
      <c r="O598" s="16" t="n"/>
    </row>
    <row r="599" ht="15.75" customHeight="1">
      <c r="A599" s="243" t="n"/>
      <c r="B599" s="242" t="n"/>
      <c r="C599" s="175" t="inlineStr">
        <is>
          <t>SCFG</t>
        </is>
      </c>
      <c r="D599" s="166" t="inlineStr">
        <is>
          <t>-</t>
        </is>
      </c>
      <c r="E599" s="166" t="n">
        <v>15</v>
      </c>
      <c r="F599" s="166" t="inlineStr">
        <is>
          <t>Single</t>
        </is>
      </c>
      <c r="G599" s="166" t="inlineStr">
        <is>
          <t>KWIK 0 SCFG</t>
        </is>
      </c>
      <c r="H599" s="166" t="inlineStr">
        <is>
          <t>60 MM</t>
        </is>
      </c>
      <c r="I599" s="166" t="inlineStr">
        <is>
          <t>25 X 25</t>
        </is>
      </c>
      <c r="J599" s="166" t="n">
        <v>64</v>
      </c>
      <c r="K599" s="176" t="n"/>
      <c r="L599" s="25" t="n"/>
      <c r="M599" s="26" t="n">
        <v>0.3381642512077295</v>
      </c>
      <c r="N599" s="25" t="n"/>
      <c r="O599" s="27" t="n"/>
    </row>
    <row r="600" ht="15" customHeight="1">
      <c r="A600" s="243" t="n"/>
      <c r="B600" s="224" t="inlineStr">
        <is>
          <t>Large Round</t>
        </is>
      </c>
      <c r="C600" s="184" t="inlineStr">
        <is>
          <t>LVP</t>
        </is>
      </c>
      <c r="D600" s="180" t="inlineStr">
        <is>
          <t>Top</t>
        </is>
      </c>
      <c r="E600" s="180" t="n">
        <v>50</v>
      </c>
      <c r="F600" s="180" t="inlineStr">
        <is>
          <t>Passing</t>
        </is>
      </c>
      <c r="G600" s="180" t="inlineStr">
        <is>
          <t>PRC CX 3 Sq FABRIC,
PRC RLR,
 T32 LVP</t>
        </is>
      </c>
      <c r="H600" s="180" t="inlineStr">
        <is>
          <t>67 MM</t>
        </is>
      </c>
      <c r="I600" s="180" t="inlineStr">
        <is>
          <t>11.5 X 20.5</t>
        </is>
      </c>
      <c r="J600" s="180" t="n">
        <v>24</v>
      </c>
      <c r="K600" s="181" t="n"/>
      <c r="L600" s="31" t="n"/>
      <c r="M600" s="32" t="n">
        <v>0.9182530795072789</v>
      </c>
      <c r="N600" s="31" t="n"/>
      <c r="O600" s="33" t="n"/>
    </row>
    <row r="601" ht="15" customHeight="1">
      <c r="A601" s="243" t="n"/>
      <c r="B601" s="239" t="n"/>
      <c r="C601" s="235" t="n"/>
      <c r="D601" s="169" t="inlineStr">
        <is>
          <t>Bottom</t>
        </is>
      </c>
      <c r="E601" s="169" t="n"/>
      <c r="F601" s="180" t="n"/>
      <c r="G601" s="180" t="n"/>
      <c r="H601" s="180" t="n"/>
      <c r="I601" s="180" t="n"/>
      <c r="J601" s="180" t="n"/>
      <c r="K601" s="171" t="n"/>
      <c r="L601" s="14" t="n"/>
      <c r="M601" s="15" t="e">
        <v>#N/A</v>
      </c>
      <c r="N601" s="14" t="n"/>
      <c r="O601" s="16" t="n"/>
    </row>
    <row r="602" ht="15.75" customHeight="1">
      <c r="A602" s="243" t="n"/>
      <c r="B602" s="242" t="n"/>
      <c r="C602" s="175" t="inlineStr">
        <is>
          <t>SCFG</t>
        </is>
      </c>
      <c r="D602" s="166" t="inlineStr">
        <is>
          <t>-</t>
        </is>
      </c>
      <c r="E602" s="166" t="n">
        <v>15</v>
      </c>
      <c r="F602" s="166" t="inlineStr">
        <is>
          <t>Single</t>
        </is>
      </c>
      <c r="G602" s="166" t="inlineStr">
        <is>
          <t>PRC RLR,
 T 32 SCFG</t>
        </is>
      </c>
      <c r="H602" s="166" t="inlineStr">
        <is>
          <t>79.4 MM</t>
        </is>
      </c>
      <c r="I602" s="166" t="inlineStr">
        <is>
          <t>23.6 X 23.6</t>
        </is>
      </c>
      <c r="J602" s="166" t="n">
        <v>36</v>
      </c>
      <c r="K602" s="181" t="n"/>
      <c r="L602" s="25" t="n"/>
      <c r="M602" s="26" t="n">
        <v>0.3381642512077295</v>
      </c>
      <c r="N602" s="25" t="n"/>
      <c r="O602" s="27" t="n"/>
    </row>
    <row r="603" ht="15" customHeight="1">
      <c r="A603" s="243" t="n"/>
      <c r="B603" s="224" t="inlineStr">
        <is>
          <t>Maxi Round</t>
        </is>
      </c>
      <c r="C603" s="184" t="inlineStr">
        <is>
          <t>LVP</t>
        </is>
      </c>
      <c r="D603" s="180" t="inlineStr">
        <is>
          <t>Top</t>
        </is>
      </c>
      <c r="E603" s="180" t="n">
        <v>60</v>
      </c>
      <c r="F603" s="180" t="inlineStr">
        <is>
          <t>Single</t>
        </is>
      </c>
      <c r="G603" s="180" t="inlineStr">
        <is>
          <t>S 2 SCFG</t>
        </is>
      </c>
      <c r="H603" s="180" t="inlineStr">
        <is>
          <t>86 MM</t>
        </is>
      </c>
      <c r="I603" s="180" t="inlineStr">
        <is>
          <t>23.5 X 23.5</t>
        </is>
      </c>
      <c r="J603" s="180" t="n">
        <v>36</v>
      </c>
      <c r="K603" s="181" t="n"/>
      <c r="L603" s="31" t="n"/>
      <c r="M603" s="32" t="n">
        <v>1.103988603988604</v>
      </c>
      <c r="N603" s="31" t="n"/>
      <c r="O603" s="33" t="n"/>
    </row>
    <row r="604" ht="15" customHeight="1">
      <c r="A604" s="243" t="n"/>
      <c r="B604" s="239" t="n"/>
      <c r="C604" s="235" t="n"/>
      <c r="D604" s="169" t="inlineStr">
        <is>
          <t>Bottom</t>
        </is>
      </c>
      <c r="E604" s="169" t="n"/>
      <c r="F604" s="180" t="n"/>
      <c r="G604" s="180" t="n"/>
      <c r="H604" s="180" t="n"/>
      <c r="I604" s="180" t="n"/>
      <c r="J604" s="180" t="n"/>
      <c r="K604" s="171" t="n"/>
      <c r="L604" s="14" t="n"/>
      <c r="M604" s="15" t="e">
        <v>#N/A</v>
      </c>
      <c r="N604" s="14" t="n"/>
      <c r="O604" s="16" t="n"/>
    </row>
    <row r="605" ht="15.75" customHeight="1">
      <c r="A605" s="244" t="n"/>
      <c r="B605" s="242" t="n"/>
      <c r="C605" s="175" t="inlineStr">
        <is>
          <t>SCFG</t>
        </is>
      </c>
      <c r="D605" s="166" t="inlineStr">
        <is>
          <t>-</t>
        </is>
      </c>
      <c r="E605" s="166" t="n">
        <v>15</v>
      </c>
      <c r="F605" s="166" t="inlineStr">
        <is>
          <t>Single</t>
        </is>
      </c>
      <c r="G605" s="166" t="inlineStr">
        <is>
          <t>R 3 SCFG</t>
        </is>
      </c>
      <c r="H605" s="166" t="inlineStr">
        <is>
          <t>100 MM</t>
        </is>
      </c>
      <c r="I605" s="166" t="inlineStr">
        <is>
          <t>33 X 33</t>
        </is>
      </c>
      <c r="J605" s="166" t="n">
        <v>49</v>
      </c>
      <c r="K605" s="181" t="n"/>
      <c r="L605" s="25" t="n"/>
      <c r="M605" s="26" t="n">
        <v>0.3381642512077295</v>
      </c>
      <c r="N605" s="25" t="n"/>
      <c r="O605" s="27" t="n"/>
    </row>
    <row r="606" ht="15" customHeight="1">
      <c r="A606" s="197" t="n">
        <v>1</v>
      </c>
      <c r="B606" s="198" t="inlineStr">
        <is>
          <t>Bull HC 22</t>
        </is>
      </c>
      <c r="C606" s="184" t="inlineStr">
        <is>
          <t>NG</t>
        </is>
      </c>
      <c r="D606" s="180" t="inlineStr">
        <is>
          <t>Top</t>
        </is>
      </c>
      <c r="E606" s="180" t="n">
        <v>50</v>
      </c>
      <c r="F606" s="180" t="inlineStr">
        <is>
          <t>Single</t>
        </is>
      </c>
      <c r="G606" s="180" t="n"/>
      <c r="H606" s="180" t="inlineStr">
        <is>
          <t>54 X 122</t>
        </is>
      </c>
      <c r="I606" s="180" t="inlineStr">
        <is>
          <t>21 X 26.5</t>
        </is>
      </c>
      <c r="J606" s="180" t="n">
        <v>40</v>
      </c>
      <c r="K606" s="181" t="n"/>
      <c r="L606" s="31" t="n"/>
      <c r="M606" s="32" t="n">
        <v>0.9182530795072789</v>
      </c>
      <c r="N606" s="31" t="n"/>
      <c r="O606" s="33" t="n"/>
    </row>
    <row r="607" ht="15" customHeight="1">
      <c r="A607" s="232" t="n"/>
      <c r="B607" s="232" t="n"/>
      <c r="C607" s="235" t="n"/>
      <c r="D607" s="169" t="inlineStr">
        <is>
          <t>Bottom</t>
        </is>
      </c>
      <c r="E607" s="180" t="n">
        <v>50</v>
      </c>
      <c r="F607" s="180" t="inlineStr">
        <is>
          <t>Single</t>
        </is>
      </c>
      <c r="G607" s="180" t="n"/>
      <c r="H607" s="180" t="inlineStr">
        <is>
          <t>54 X 122</t>
        </is>
      </c>
      <c r="I607" s="180" t="inlineStr">
        <is>
          <t>21 X 26.5</t>
        </is>
      </c>
      <c r="J607" s="180" t="n">
        <v>40</v>
      </c>
      <c r="K607" s="171" t="n"/>
      <c r="L607" s="14" t="n"/>
      <c r="M607" s="15" t="n">
        <v>0.9182530795072789</v>
      </c>
      <c r="N607" s="14" t="n"/>
      <c r="O607" s="16" t="n"/>
    </row>
    <row r="608" ht="15.75" customHeight="1">
      <c r="A608" s="234" t="n"/>
      <c r="B608" s="234" t="n"/>
      <c r="C608" s="175" t="inlineStr">
        <is>
          <t>HCC 0.80</t>
        </is>
      </c>
      <c r="D608" s="166" t="inlineStr">
        <is>
          <t>-</t>
        </is>
      </c>
      <c r="E608" s="166" t="n">
        <v>30</v>
      </c>
      <c r="F608" s="166" t="inlineStr">
        <is>
          <t>Single</t>
        </is>
      </c>
      <c r="G608" s="166" t="n"/>
      <c r="H608" s="166" t="inlineStr">
        <is>
          <t>73 X 140</t>
        </is>
      </c>
      <c r="I608" s="166" t="inlineStr">
        <is>
          <t>25.6 X 44.1</t>
        </is>
      </c>
      <c r="J608" s="166" t="n">
        <v>49</v>
      </c>
      <c r="K608" s="176" t="n"/>
      <c r="L608" s="25" t="n"/>
      <c r="M608" s="26" t="n">
        <v>0.65</v>
      </c>
      <c r="N608" s="25" t="n"/>
      <c r="O608" s="27" t="n"/>
    </row>
    <row r="609" ht="15" customHeight="1">
      <c r="A609" s="197" t="n">
        <v>2</v>
      </c>
      <c r="B609" s="198" t="inlineStr">
        <is>
          <t>Bull HC 24</t>
        </is>
      </c>
      <c r="C609" s="184" t="inlineStr">
        <is>
          <t>NG</t>
        </is>
      </c>
      <c r="D609" s="180" t="inlineStr">
        <is>
          <t>Top</t>
        </is>
      </c>
      <c r="E609" s="180" t="n">
        <v>50</v>
      </c>
      <c r="F609" s="180" t="inlineStr">
        <is>
          <t>Single</t>
        </is>
      </c>
      <c r="G609" s="180" t="n"/>
      <c r="H609" s="180" t="inlineStr">
        <is>
          <t>54 X 176</t>
        </is>
      </c>
      <c r="I609" s="180" t="inlineStr">
        <is>
          <t>21 X 22</t>
        </is>
      </c>
      <c r="J609" s="180" t="n">
        <v>24</v>
      </c>
      <c r="K609" s="181" t="n"/>
      <c r="L609" s="31" t="n"/>
      <c r="M609" s="32" t="n">
        <v>0.9182530795072789</v>
      </c>
      <c r="N609" s="31" t="n"/>
      <c r="O609" s="33" t="n"/>
    </row>
    <row r="610" ht="15" customHeight="1">
      <c r="A610" s="232" t="n"/>
      <c r="B610" s="232" t="n"/>
      <c r="C610" s="235" t="n"/>
      <c r="D610" s="169" t="inlineStr">
        <is>
          <t>Bottom</t>
        </is>
      </c>
      <c r="E610" s="180" t="n">
        <v>50</v>
      </c>
      <c r="F610" s="180" t="inlineStr">
        <is>
          <t>Single</t>
        </is>
      </c>
      <c r="G610" s="180" t="n"/>
      <c r="H610" s="180" t="inlineStr">
        <is>
          <t>54 X 176</t>
        </is>
      </c>
      <c r="I610" s="180" t="inlineStr">
        <is>
          <t>21 X 22</t>
        </is>
      </c>
      <c r="J610" s="180" t="n">
        <v>24</v>
      </c>
      <c r="K610" s="171" t="n"/>
      <c r="L610" s="14" t="n"/>
      <c r="M610" s="15" t="n">
        <v>0.9182530795072789</v>
      </c>
      <c r="N610" s="14" t="n"/>
      <c r="O610" s="16" t="n"/>
    </row>
    <row r="611" ht="15.75" customHeight="1">
      <c r="A611" s="234" t="n"/>
      <c r="B611" s="234" t="n"/>
      <c r="C611" s="175" t="inlineStr">
        <is>
          <t>HCC 0.80</t>
        </is>
      </c>
      <c r="D611" s="166" t="inlineStr">
        <is>
          <t>-</t>
        </is>
      </c>
      <c r="E611" s="166" t="n">
        <v>30</v>
      </c>
      <c r="F611" s="166" t="inlineStr">
        <is>
          <t>Single</t>
        </is>
      </c>
      <c r="G611" s="166" t="n"/>
      <c r="H611" s="166" t="inlineStr">
        <is>
          <t>73 X 194</t>
        </is>
      </c>
      <c r="I611" s="166" t="inlineStr">
        <is>
          <t>25.6 X 59</t>
        </is>
      </c>
      <c r="J611" s="166" t="n">
        <v>49</v>
      </c>
      <c r="K611" s="176" t="n"/>
      <c r="L611" s="25" t="n"/>
      <c r="M611" s="26" t="n">
        <v>0.65</v>
      </c>
      <c r="N611" s="25" t="n"/>
      <c r="O611" s="27" t="n"/>
    </row>
    <row r="612" ht="15" customHeight="1">
      <c r="A612" s="197" t="n">
        <v>3</v>
      </c>
      <c r="B612" s="198" t="inlineStr">
        <is>
          <t>Bull HC 33</t>
        </is>
      </c>
      <c r="C612" s="184" t="inlineStr">
        <is>
          <t>NG</t>
        </is>
      </c>
      <c r="D612" s="180" t="inlineStr">
        <is>
          <t>Top</t>
        </is>
      </c>
      <c r="E612" s="180" t="n">
        <v>80</v>
      </c>
      <c r="F612" s="180" t="inlineStr">
        <is>
          <t>Single</t>
        </is>
      </c>
      <c r="G612" s="180" t="n"/>
      <c r="H612" s="180" t="inlineStr">
        <is>
          <t>82 X 111</t>
        </is>
      </c>
      <c r="I612" s="180" t="inlineStr">
        <is>
          <t>22.5 X 24.5</t>
        </is>
      </c>
      <c r="J612" s="180" t="n">
        <v>30</v>
      </c>
      <c r="K612" s="181" t="n"/>
      <c r="L612" s="31" t="n"/>
      <c r="M612" s="32" t="n">
        <v>1.494824016563147</v>
      </c>
      <c r="N612" s="31" t="n"/>
      <c r="O612" s="33" t="n"/>
    </row>
    <row r="613" ht="15" customHeight="1">
      <c r="A613" s="232" t="n"/>
      <c r="B613" s="232" t="n"/>
      <c r="C613" s="235" t="n"/>
      <c r="D613" s="169" t="inlineStr">
        <is>
          <t>Bottom</t>
        </is>
      </c>
      <c r="E613" s="180" t="n">
        <v>50</v>
      </c>
      <c r="F613" s="180" t="inlineStr">
        <is>
          <t>Single</t>
        </is>
      </c>
      <c r="G613" s="180" t="n"/>
      <c r="H613" s="180" t="inlineStr">
        <is>
          <t>82 X 111</t>
        </is>
      </c>
      <c r="I613" s="180" t="inlineStr">
        <is>
          <t>22.5 X 24.5</t>
        </is>
      </c>
      <c r="J613" s="180" t="n">
        <v>30</v>
      </c>
      <c r="K613" s="171" t="n"/>
      <c r="L613" s="14" t="n"/>
      <c r="M613" s="15" t="n">
        <v>0.9182530795072789</v>
      </c>
      <c r="N613" s="14" t="n"/>
      <c r="O613" s="16" t="n"/>
    </row>
    <row r="614" ht="15.75" customHeight="1">
      <c r="A614" s="234" t="n"/>
      <c r="B614" s="234" t="n"/>
      <c r="C614" s="175" t="inlineStr">
        <is>
          <t>HCC 0.80</t>
        </is>
      </c>
      <c r="D614" s="166" t="inlineStr">
        <is>
          <t>-</t>
        </is>
      </c>
      <c r="E614" s="166" t="n">
        <v>30</v>
      </c>
      <c r="F614" s="166" t="inlineStr">
        <is>
          <t>Single</t>
        </is>
      </c>
      <c r="G614" s="166" t="n"/>
      <c r="H614" s="166" t="inlineStr">
        <is>
          <t>102 X 130</t>
        </is>
      </c>
      <c r="I614" s="166" t="inlineStr">
        <is>
          <t>33.6 X 41.3</t>
        </is>
      </c>
      <c r="J614" s="166" t="n">
        <v>49</v>
      </c>
      <c r="K614" s="176" t="n"/>
      <c r="L614" s="25" t="n"/>
      <c r="M614" s="26" t="n">
        <v>0.65</v>
      </c>
      <c r="N614" s="25" t="n"/>
      <c r="O614" s="27" t="n"/>
    </row>
    <row r="615" ht="15" customHeight="1">
      <c r="A615" s="197" t="n">
        <v>4</v>
      </c>
      <c r="B615" s="198" t="inlineStr">
        <is>
          <t>Bull HC 35</t>
        </is>
      </c>
      <c r="C615" s="184" t="inlineStr">
        <is>
          <t>NG</t>
        </is>
      </c>
      <c r="D615" s="180" t="inlineStr">
        <is>
          <t>Top</t>
        </is>
      </c>
      <c r="E615" s="180" t="n">
        <v>80</v>
      </c>
      <c r="F615" s="180" t="inlineStr">
        <is>
          <t>Single</t>
        </is>
      </c>
      <c r="G615" s="180" t="n"/>
      <c r="H615" s="180" t="inlineStr">
        <is>
          <t>108 X 138</t>
        </is>
      </c>
      <c r="I615" s="180" t="inlineStr">
        <is>
          <t>24 X 24</t>
        </is>
      </c>
      <c r="J615" s="180" t="n">
        <v>20</v>
      </c>
      <c r="K615" s="181" t="n"/>
      <c r="L615" s="31" t="n"/>
      <c r="M615" s="32" t="n">
        <v>1.494824016563147</v>
      </c>
      <c r="N615" s="31" t="n"/>
      <c r="O615" s="33" t="n"/>
    </row>
    <row r="616" ht="15" customHeight="1">
      <c r="A616" s="232" t="n"/>
      <c r="B616" s="232" t="n"/>
      <c r="C616" s="235" t="n"/>
      <c r="D616" s="169" t="inlineStr">
        <is>
          <t>Bottom</t>
        </is>
      </c>
      <c r="E616" s="180" t="n">
        <v>50</v>
      </c>
      <c r="F616" s="180" t="inlineStr">
        <is>
          <t>Single</t>
        </is>
      </c>
      <c r="G616" s="180" t="n"/>
      <c r="H616" s="180" t="inlineStr">
        <is>
          <t>108 X 138</t>
        </is>
      </c>
      <c r="I616" s="180" t="inlineStr">
        <is>
          <t>24 X 24</t>
        </is>
      </c>
      <c r="J616" s="180" t="n">
        <v>20</v>
      </c>
      <c r="K616" s="171" t="n"/>
      <c r="L616" s="14" t="n"/>
      <c r="M616" s="15" t="n">
        <v>0.9182530795072789</v>
      </c>
      <c r="N616" s="14" t="n"/>
      <c r="O616" s="16" t="n"/>
    </row>
    <row r="617" ht="15.75" customHeight="1">
      <c r="A617" s="234" t="n"/>
      <c r="B617" s="234" t="n"/>
      <c r="C617" s="175" t="inlineStr">
        <is>
          <t>HCC 0.80</t>
        </is>
      </c>
      <c r="D617" s="166" t="inlineStr">
        <is>
          <t>-</t>
        </is>
      </c>
      <c r="E617" s="166" t="n">
        <v>30</v>
      </c>
      <c r="F617" s="166" t="inlineStr">
        <is>
          <t>Single</t>
        </is>
      </c>
      <c r="G617" s="166" t="n"/>
      <c r="H617" s="166" t="inlineStr">
        <is>
          <t>127 X 159</t>
        </is>
      </c>
      <c r="I617" s="166" t="inlineStr">
        <is>
          <t>40.5 X 49.3</t>
        </is>
      </c>
      <c r="J617" s="166" t="n">
        <v>49</v>
      </c>
      <c r="K617" s="176" t="n"/>
      <c r="L617" s="25" t="n"/>
      <c r="M617" s="26" t="n">
        <v>0.65</v>
      </c>
      <c r="N617" s="25" t="n"/>
      <c r="O617" s="27" t="n"/>
    </row>
    <row r="618" ht="15" customHeight="1">
      <c r="A618" s="197" t="n">
        <v>5</v>
      </c>
      <c r="B618" s="198" t="inlineStr">
        <is>
          <t>Bull HC 37</t>
        </is>
      </c>
      <c r="C618" s="184" t="inlineStr">
        <is>
          <t>NG</t>
        </is>
      </c>
      <c r="D618" s="180" t="inlineStr">
        <is>
          <t>Top</t>
        </is>
      </c>
      <c r="E618" s="180" t="n">
        <v>100</v>
      </c>
      <c r="F618" s="180" t="inlineStr">
        <is>
          <t>Single</t>
        </is>
      </c>
      <c r="G618" s="180" t="n"/>
      <c r="H618" s="180" t="inlineStr">
        <is>
          <t>108 X 157</t>
        </is>
      </c>
      <c r="I618" s="180" t="inlineStr">
        <is>
          <t>24 X 27</t>
        </is>
      </c>
      <c r="J618" s="180" t="n">
        <v>20</v>
      </c>
      <c r="K618" s="181" t="n"/>
      <c r="L618" s="31" t="n"/>
      <c r="M618" s="32" t="n">
        <v>1.906191369606004</v>
      </c>
      <c r="N618" s="31" t="n"/>
      <c r="O618" s="33" t="n"/>
    </row>
    <row r="619" ht="15" customHeight="1">
      <c r="A619" s="232" t="n"/>
      <c r="B619" s="232" t="n"/>
      <c r="C619" s="235" t="n"/>
      <c r="D619" s="169" t="inlineStr">
        <is>
          <t>Bottom</t>
        </is>
      </c>
      <c r="E619" s="180" t="n">
        <v>50</v>
      </c>
      <c r="F619" s="180" t="inlineStr">
        <is>
          <t>Single</t>
        </is>
      </c>
      <c r="G619" s="180" t="n"/>
      <c r="H619" s="180" t="inlineStr">
        <is>
          <t>108 X 157</t>
        </is>
      </c>
      <c r="I619" s="180" t="inlineStr">
        <is>
          <t>24 X 27</t>
        </is>
      </c>
      <c r="J619" s="180" t="n">
        <v>20</v>
      </c>
      <c r="K619" s="171" t="n"/>
      <c r="L619" s="14" t="n"/>
      <c r="M619" s="15" t="n">
        <v>0.9182530795072789</v>
      </c>
      <c r="N619" s="14" t="n"/>
      <c r="O619" s="16" t="n"/>
    </row>
    <row r="620" ht="15.75" customHeight="1">
      <c r="A620" s="234" t="n"/>
      <c r="B620" s="234" t="n"/>
      <c r="C620" s="175" t="inlineStr">
        <is>
          <t>HCC 0.80</t>
        </is>
      </c>
      <c r="D620" s="166" t="inlineStr">
        <is>
          <t>-</t>
        </is>
      </c>
      <c r="E620" s="166" t="n">
        <v>30</v>
      </c>
      <c r="F620" s="166" t="inlineStr">
        <is>
          <t>Single</t>
        </is>
      </c>
      <c r="G620" s="166" t="n"/>
      <c r="H620" s="166" t="inlineStr">
        <is>
          <t>127 X 178</t>
        </is>
      </c>
      <c r="I620" s="166" t="inlineStr">
        <is>
          <t>40.5 X 54.6</t>
        </is>
      </c>
      <c r="J620" s="166" t="n">
        <v>49</v>
      </c>
      <c r="K620" s="176" t="n"/>
      <c r="L620" s="25" t="n"/>
      <c r="M620" s="26" t="n">
        <v>0.65</v>
      </c>
      <c r="N620" s="25" t="n"/>
      <c r="O620" s="27" t="n"/>
    </row>
    <row r="621" ht="15" customHeight="1">
      <c r="A621" s="197" t="n">
        <v>6</v>
      </c>
      <c r="B621" s="198" t="inlineStr">
        <is>
          <t>Bull HC 40</t>
        </is>
      </c>
      <c r="C621" s="184" t="inlineStr">
        <is>
          <t>NG</t>
        </is>
      </c>
      <c r="D621" s="180" t="inlineStr">
        <is>
          <t>Top</t>
        </is>
      </c>
      <c r="E621" s="180" t="n">
        <v>80</v>
      </c>
      <c r="F621" s="180" t="inlineStr">
        <is>
          <t>Single</t>
        </is>
      </c>
      <c r="G621" s="180" t="n"/>
      <c r="H621" s="180" t="inlineStr">
        <is>
          <t>84 X 179</t>
        </is>
      </c>
      <c r="I621" s="180" t="inlineStr">
        <is>
          <t>23 X 23</t>
        </is>
      </c>
      <c r="J621" s="180" t="n">
        <v>18</v>
      </c>
      <c r="K621" s="181" t="n"/>
      <c r="L621" s="31" t="n"/>
      <c r="M621" s="32" t="n">
        <v>1.494824016563147</v>
      </c>
      <c r="N621" s="31" t="n"/>
      <c r="O621" s="33" t="n"/>
    </row>
    <row r="622" ht="15" customHeight="1">
      <c r="A622" s="232" t="n"/>
      <c r="B622" s="232" t="n"/>
      <c r="C622" s="235" t="n"/>
      <c r="D622" s="169" t="inlineStr">
        <is>
          <t>Bottom</t>
        </is>
      </c>
      <c r="E622" s="180" t="n">
        <v>50</v>
      </c>
      <c r="F622" s="180" t="inlineStr">
        <is>
          <t>Single</t>
        </is>
      </c>
      <c r="G622" s="180" t="n"/>
      <c r="H622" s="180" t="inlineStr">
        <is>
          <t>84 X 179</t>
        </is>
      </c>
      <c r="I622" s="180" t="inlineStr">
        <is>
          <t>23 X 23</t>
        </is>
      </c>
      <c r="J622" s="180" t="n">
        <v>18</v>
      </c>
      <c r="K622" s="171" t="n"/>
      <c r="L622" s="14" t="n"/>
      <c r="M622" s="15" t="n">
        <v>0.9182530795072789</v>
      </c>
      <c r="N622" s="14" t="n"/>
      <c r="O622" s="16" t="n"/>
    </row>
    <row r="623" ht="15.75" customHeight="1">
      <c r="A623" s="234" t="n"/>
      <c r="B623" s="234" t="n"/>
      <c r="C623" s="175" t="inlineStr">
        <is>
          <t>HCC 0.80</t>
        </is>
      </c>
      <c r="D623" s="166" t="inlineStr">
        <is>
          <t>-</t>
        </is>
      </c>
      <c r="E623" s="166" t="n">
        <v>30</v>
      </c>
      <c r="F623" s="166" t="inlineStr">
        <is>
          <t>Single</t>
        </is>
      </c>
      <c r="G623" s="166" t="n"/>
      <c r="H623" s="166" t="inlineStr">
        <is>
          <t>103 X 200</t>
        </is>
      </c>
      <c r="I623" s="166" t="inlineStr">
        <is>
          <t>33.9 X 60.6</t>
        </is>
      </c>
      <c r="J623" s="166" t="n">
        <v>49</v>
      </c>
      <c r="K623" s="176" t="n"/>
      <c r="L623" s="25" t="n"/>
      <c r="M623" s="26" t="n">
        <v>0.65</v>
      </c>
      <c r="N623" s="25" t="n"/>
      <c r="O623" s="27" t="n"/>
    </row>
    <row r="624" ht="15" customHeight="1">
      <c r="A624" s="197" t="n">
        <v>7</v>
      </c>
      <c r="B624" s="198" t="inlineStr">
        <is>
          <t>Bull HC 42</t>
        </is>
      </c>
      <c r="C624" s="184" t="inlineStr">
        <is>
          <t>NG</t>
        </is>
      </c>
      <c r="D624" s="180" t="inlineStr">
        <is>
          <t>Top</t>
        </is>
      </c>
      <c r="E624" s="180" t="n">
        <v>80</v>
      </c>
      <c r="F624" s="180" t="inlineStr">
        <is>
          <t>Single</t>
        </is>
      </c>
      <c r="G624" s="180" t="n"/>
      <c r="H624" s="180" t="inlineStr">
        <is>
          <t>112 X 229</t>
        </is>
      </c>
      <c r="I624" s="180" t="inlineStr">
        <is>
          <t>24.5 X 29</t>
        </is>
      </c>
      <c r="J624" s="180" t="n">
        <v>15</v>
      </c>
      <c r="K624" s="181" t="n"/>
      <c r="L624" s="31" t="n"/>
      <c r="M624" s="32" t="n">
        <v>1.494824016563147</v>
      </c>
      <c r="N624" s="31" t="n"/>
      <c r="O624" s="33" t="n"/>
    </row>
    <row r="625" ht="15" customHeight="1">
      <c r="A625" s="232" t="n"/>
      <c r="B625" s="232" t="n"/>
      <c r="C625" s="235" t="n"/>
      <c r="D625" s="169" t="inlineStr">
        <is>
          <t>Bottom</t>
        </is>
      </c>
      <c r="E625" s="180" t="n">
        <v>50</v>
      </c>
      <c r="F625" s="180" t="inlineStr">
        <is>
          <t>Single</t>
        </is>
      </c>
      <c r="G625" s="180" t="n"/>
      <c r="H625" s="180" t="inlineStr">
        <is>
          <t>112 X 229</t>
        </is>
      </c>
      <c r="I625" s="180" t="inlineStr">
        <is>
          <t>24.5 X 29</t>
        </is>
      </c>
      <c r="J625" s="180" t="n">
        <v>15</v>
      </c>
      <c r="K625" s="171" t="n"/>
      <c r="L625" s="14" t="n"/>
      <c r="M625" s="15" t="n">
        <v>0.9182530795072789</v>
      </c>
      <c r="N625" s="14" t="n"/>
      <c r="O625" s="16" t="n"/>
    </row>
    <row r="626" ht="15.75" customHeight="1">
      <c r="A626" s="234" t="n"/>
      <c r="B626" s="234" t="n"/>
      <c r="C626" s="175" t="inlineStr">
        <is>
          <t>HCC 0.80</t>
        </is>
      </c>
      <c r="D626" s="166" t="inlineStr">
        <is>
          <t>-</t>
        </is>
      </c>
      <c r="E626" s="166" t="n">
        <v>30</v>
      </c>
      <c r="F626" s="166" t="inlineStr">
        <is>
          <t>Single</t>
        </is>
      </c>
      <c r="G626" s="166" t="n"/>
      <c r="H626" s="166" t="inlineStr">
        <is>
          <t>133 X 254</t>
        </is>
      </c>
      <c r="I626" s="166" t="inlineStr">
        <is>
          <t>42.2 X 75.5</t>
        </is>
      </c>
      <c r="J626" s="166" t="n">
        <v>49</v>
      </c>
      <c r="K626" s="176" t="n"/>
      <c r="L626" s="25" t="n"/>
      <c r="M626" s="26" t="n">
        <v>0.65</v>
      </c>
      <c r="N626" s="25" t="n"/>
      <c r="O626" s="27" t="n"/>
    </row>
    <row r="627" ht="15" customHeight="1">
      <c r="A627" s="197" t="n">
        <v>8</v>
      </c>
      <c r="B627" s="198" t="inlineStr">
        <is>
          <t>Bull HC 44</t>
        </is>
      </c>
      <c r="C627" s="184" t="inlineStr">
        <is>
          <t>NG</t>
        </is>
      </c>
      <c r="D627" s="180" t="inlineStr">
        <is>
          <t>Top</t>
        </is>
      </c>
      <c r="E627" s="180" t="n">
        <v>100</v>
      </c>
      <c r="F627" s="180" t="inlineStr">
        <is>
          <t>Single</t>
        </is>
      </c>
      <c r="G627" s="180" t="n"/>
      <c r="H627" s="180" t="inlineStr">
        <is>
          <t>105 X 305</t>
        </is>
      </c>
      <c r="I627" s="180" t="inlineStr">
        <is>
          <t>23 X 25</t>
        </is>
      </c>
      <c r="J627" s="180" t="n">
        <v>10</v>
      </c>
      <c r="K627" s="181" t="n"/>
      <c r="L627" s="31" t="n"/>
      <c r="M627" s="32" t="n">
        <v>1.906191369606004</v>
      </c>
      <c r="N627" s="31" t="n"/>
      <c r="O627" s="33" t="n"/>
    </row>
    <row r="628" ht="15" customHeight="1">
      <c r="A628" s="232" t="n"/>
      <c r="B628" s="232" t="n"/>
      <c r="C628" s="235" t="n"/>
      <c r="D628" s="169" t="inlineStr">
        <is>
          <t>Bottom</t>
        </is>
      </c>
      <c r="E628" s="180" t="n">
        <v>50</v>
      </c>
      <c r="F628" s="180" t="inlineStr">
        <is>
          <t>Single</t>
        </is>
      </c>
      <c r="G628" s="180" t="n"/>
      <c r="H628" s="180" t="inlineStr">
        <is>
          <t>105 X 305</t>
        </is>
      </c>
      <c r="I628" s="180" t="inlineStr">
        <is>
          <t>23 X 25</t>
        </is>
      </c>
      <c r="J628" s="180" t="n">
        <v>10</v>
      </c>
      <c r="K628" s="171" t="n"/>
      <c r="L628" s="14" t="n"/>
      <c r="M628" s="15" t="n">
        <v>0.9182530795072789</v>
      </c>
      <c r="N628" s="14" t="n"/>
      <c r="O628" s="16" t="n"/>
    </row>
    <row r="629" ht="15.75" customHeight="1">
      <c r="A629" s="234" t="n"/>
      <c r="B629" s="234" t="n"/>
      <c r="C629" s="175" t="inlineStr">
        <is>
          <t>HCC 0.80</t>
        </is>
      </c>
      <c r="D629" s="166" t="inlineStr">
        <is>
          <t>-</t>
        </is>
      </c>
      <c r="E629" s="166" t="n">
        <v>30</v>
      </c>
      <c r="F629" s="166" t="inlineStr">
        <is>
          <t>Single</t>
        </is>
      </c>
      <c r="G629" s="166" t="n"/>
      <c r="H629" s="166" t="inlineStr">
        <is>
          <t>127 X 330</t>
        </is>
      </c>
      <c r="I629" s="166" t="inlineStr">
        <is>
          <t>40.5 X 96.5</t>
        </is>
      </c>
      <c r="J629" s="166" t="n">
        <v>49</v>
      </c>
      <c r="K629" s="176" t="n"/>
      <c r="L629" s="25" t="n"/>
      <c r="M629" s="26" t="n">
        <v>0.65</v>
      </c>
      <c r="N629" s="25" t="n"/>
      <c r="O629" s="27" t="n"/>
    </row>
    <row r="630" ht="15" customHeight="1">
      <c r="A630" s="197" t="n">
        <v>9</v>
      </c>
      <c r="B630" s="198" t="inlineStr">
        <is>
          <t>Bull HC 45</t>
        </is>
      </c>
      <c r="C630" s="184" t="inlineStr">
        <is>
          <t>CRPL</t>
        </is>
      </c>
      <c r="D630" s="180" t="inlineStr">
        <is>
          <t>Top</t>
        </is>
      </c>
      <c r="E630" s="180" t="n">
        <v>100</v>
      </c>
      <c r="F630" s="180" t="inlineStr">
        <is>
          <t>Single</t>
        </is>
      </c>
      <c r="G630" s="180" t="n"/>
      <c r="H630" s="180" t="inlineStr">
        <is>
          <t>163 X 210</t>
        </is>
      </c>
      <c r="I630" s="180" t="inlineStr">
        <is>
          <t>14 X 18</t>
        </is>
      </c>
      <c r="J630" s="180" t="n">
        <v>4</v>
      </c>
      <c r="K630" s="181" t="n"/>
      <c r="L630" s="31" t="n"/>
      <c r="M630" s="32" t="n">
        <v>1.906191369606004</v>
      </c>
      <c r="N630" s="31" t="n"/>
      <c r="O630" s="33" t="n"/>
    </row>
    <row r="631" ht="15" customHeight="1">
      <c r="A631" s="232" t="n"/>
      <c r="B631" s="232" t="n"/>
      <c r="C631" s="235" t="n"/>
      <c r="D631" s="169" t="inlineStr">
        <is>
          <t>Bottom</t>
        </is>
      </c>
      <c r="E631" s="180" t="n">
        <v>70</v>
      </c>
      <c r="F631" s="180" t="inlineStr">
        <is>
          <t>Single</t>
        </is>
      </c>
      <c r="G631" s="180" t="n"/>
      <c r="H631" s="180" t="inlineStr">
        <is>
          <t>163 X 210</t>
        </is>
      </c>
      <c r="I631" s="180" t="inlineStr">
        <is>
          <t>14 X 18</t>
        </is>
      </c>
      <c r="J631" s="180" t="n">
        <v>4</v>
      </c>
      <c r="K631" s="171" t="n"/>
      <c r="L631" s="14" t="n"/>
      <c r="M631" s="15" t="n">
        <v>1.269736842105263</v>
      </c>
      <c r="N631" s="14" t="n"/>
      <c r="O631" s="16" t="n"/>
    </row>
    <row r="632" ht="15.75" customHeight="1">
      <c r="A632" s="234" t="n"/>
      <c r="B632" s="234" t="n"/>
      <c r="C632" s="175" t="inlineStr">
        <is>
          <t>HCC 1.52</t>
        </is>
      </c>
      <c r="D632" s="166" t="inlineStr">
        <is>
          <t>-</t>
        </is>
      </c>
      <c r="E632" s="166" t="n">
        <v>60</v>
      </c>
      <c r="F632" s="166" t="inlineStr">
        <is>
          <t>Single</t>
        </is>
      </c>
      <c r="G632" s="166" t="n"/>
      <c r="H632" s="166" t="inlineStr">
        <is>
          <t>191 X 241</t>
        </is>
      </c>
      <c r="I632" s="166" t="inlineStr">
        <is>
          <t>20 X 25</t>
        </is>
      </c>
      <c r="J632" s="166" t="n">
        <v>6</v>
      </c>
      <c r="K632" s="176" t="n"/>
      <c r="L632" s="25" t="n"/>
      <c r="M632" s="26" t="n">
        <v>1.3</v>
      </c>
      <c r="N632" s="25" t="n"/>
      <c r="O632" s="27" t="n"/>
    </row>
    <row r="633" ht="15" customHeight="1">
      <c r="A633" s="197" t="n">
        <v>10</v>
      </c>
      <c r="B633" s="198" t="inlineStr">
        <is>
          <t>Bull HC 46</t>
        </is>
      </c>
      <c r="C633" s="184" t="inlineStr">
        <is>
          <t>CRPL</t>
        </is>
      </c>
      <c r="D633" s="180" t="inlineStr">
        <is>
          <t>Top</t>
        </is>
      </c>
      <c r="E633" s="180" t="n">
        <v>100</v>
      </c>
      <c r="F633" s="180" t="inlineStr">
        <is>
          <t>Single</t>
        </is>
      </c>
      <c r="G633" s="180" t="n"/>
      <c r="H633" s="180" t="inlineStr">
        <is>
          <t>129 X 407</t>
        </is>
      </c>
      <c r="I633" s="180" t="inlineStr">
        <is>
          <t>16.5 X 22.5</t>
        </is>
      </c>
      <c r="J633" s="180" t="n">
        <v>4</v>
      </c>
      <c r="K633" s="181" t="n"/>
      <c r="L633" s="31" t="n"/>
      <c r="M633" s="32" t="n">
        <v>1.906191369606004</v>
      </c>
      <c r="N633" s="31" t="n"/>
      <c r="O633" s="33" t="n"/>
    </row>
    <row r="634" ht="15" customHeight="1">
      <c r="A634" s="232" t="n"/>
      <c r="B634" s="232" t="n"/>
      <c r="C634" s="235" t="n"/>
      <c r="D634" s="169" t="inlineStr">
        <is>
          <t>Bottom</t>
        </is>
      </c>
      <c r="E634" s="180" t="n">
        <v>70</v>
      </c>
      <c r="F634" s="180" t="inlineStr">
        <is>
          <t>Single</t>
        </is>
      </c>
      <c r="G634" s="180" t="n"/>
      <c r="H634" s="180" t="inlineStr">
        <is>
          <t>129 X 407</t>
        </is>
      </c>
      <c r="I634" s="180" t="inlineStr">
        <is>
          <t>16.5 X 22.5</t>
        </is>
      </c>
      <c r="J634" s="180" t="n">
        <v>4</v>
      </c>
      <c r="K634" s="171" t="n"/>
      <c r="L634" s="14" t="n"/>
      <c r="M634" s="15" t="n">
        <v>1.269736842105263</v>
      </c>
      <c r="N634" s="14" t="n"/>
      <c r="O634" s="16" t="n"/>
    </row>
    <row r="635" ht="15.75" customHeight="1">
      <c r="A635" s="234" t="n"/>
      <c r="B635" s="234" t="n"/>
      <c r="C635" s="175" t="inlineStr">
        <is>
          <t>HCC 1.52</t>
        </is>
      </c>
      <c r="D635" s="166" t="inlineStr">
        <is>
          <t>-</t>
        </is>
      </c>
      <c r="E635" s="166" t="n">
        <v>60</v>
      </c>
      <c r="F635" s="166" t="inlineStr">
        <is>
          <t>Single</t>
        </is>
      </c>
      <c r="G635" s="166" t="n"/>
      <c r="H635" s="166" t="inlineStr">
        <is>
          <t>156 X 438</t>
        </is>
      </c>
      <c r="I635" s="166" t="inlineStr">
        <is>
          <t>18 X 21</t>
        </is>
      </c>
      <c r="J635" s="166" t="n">
        <v>3</v>
      </c>
      <c r="K635" s="176" t="n"/>
      <c r="L635" s="25" t="n"/>
      <c r="M635" s="26" t="n">
        <v>1.3</v>
      </c>
      <c r="N635" s="25" t="n"/>
      <c r="O635" s="27" t="n"/>
    </row>
    <row r="636" ht="15" customHeight="1">
      <c r="A636" s="197" t="n">
        <v>11</v>
      </c>
      <c r="B636" s="198" t="inlineStr">
        <is>
          <t>Bull HC 55</t>
        </is>
      </c>
      <c r="C636" s="184" t="inlineStr">
        <is>
          <t>CRPL</t>
        </is>
      </c>
      <c r="D636" s="180" t="inlineStr">
        <is>
          <t>Top</t>
        </is>
      </c>
      <c r="E636" s="180" t="n">
        <v>100</v>
      </c>
      <c r="F636" s="180" t="inlineStr">
        <is>
          <t>Single</t>
        </is>
      </c>
      <c r="G636" s="180" t="n"/>
      <c r="H636" s="180" t="inlineStr">
        <is>
          <t>230 X 312</t>
        </is>
      </c>
      <c r="I636" s="180" t="inlineStr">
        <is>
          <t>13 X 19</t>
        </is>
      </c>
      <c r="J636" s="180" t="n">
        <v>2</v>
      </c>
      <c r="K636" s="181" t="n"/>
      <c r="L636" s="31" t="n"/>
      <c r="M636" s="32" t="n">
        <v>1.906191369606004</v>
      </c>
      <c r="N636" s="31" t="n"/>
      <c r="O636" s="33" t="n"/>
    </row>
    <row r="637" ht="15" customHeight="1">
      <c r="A637" s="232" t="n"/>
      <c r="B637" s="232" t="n"/>
      <c r="C637" s="235" t="n"/>
      <c r="D637" s="169" t="inlineStr">
        <is>
          <t>Bottom</t>
        </is>
      </c>
      <c r="E637" s="180" t="n">
        <v>70</v>
      </c>
      <c r="F637" s="180" t="inlineStr">
        <is>
          <t>Single</t>
        </is>
      </c>
      <c r="G637" s="180" t="n"/>
      <c r="H637" s="180" t="inlineStr">
        <is>
          <t>230 X 312</t>
        </is>
      </c>
      <c r="I637" s="180" t="inlineStr">
        <is>
          <t>13 X 19</t>
        </is>
      </c>
      <c r="J637" s="180" t="n">
        <v>2</v>
      </c>
      <c r="K637" s="171" t="n"/>
      <c r="L637" s="14" t="n"/>
      <c r="M637" s="15" t="n">
        <v>1.269736842105263</v>
      </c>
      <c r="N637" s="14" t="n"/>
      <c r="O637" s="16" t="n"/>
    </row>
    <row r="638" ht="15.75" customHeight="1">
      <c r="A638" s="234" t="n"/>
      <c r="B638" s="234" t="n"/>
      <c r="C638" s="175" t="inlineStr">
        <is>
          <t>HCC 1.52</t>
        </is>
      </c>
      <c r="D638" s="166" t="inlineStr">
        <is>
          <t>-</t>
        </is>
      </c>
      <c r="E638" s="166" t="n">
        <v>60</v>
      </c>
      <c r="F638" s="166" t="inlineStr">
        <is>
          <t>Single</t>
        </is>
      </c>
      <c r="G638" s="166" t="n"/>
      <c r="H638" s="166" t="inlineStr">
        <is>
          <t>254 X 343</t>
        </is>
      </c>
      <c r="I638" s="166" t="inlineStr">
        <is>
          <t>22 X 27</t>
        </is>
      </c>
      <c r="J638" s="166" t="n">
        <v>4</v>
      </c>
      <c r="K638" s="176" t="n"/>
      <c r="L638" s="25" t="n"/>
      <c r="M638" s="26" t="n">
        <v>1.3</v>
      </c>
      <c r="N638" s="25" t="n"/>
      <c r="O638" s="27" t="n"/>
    </row>
    <row r="639" ht="15" customHeight="1">
      <c r="A639" s="197" t="n">
        <v>11</v>
      </c>
      <c r="B639" s="198" t="inlineStr">
        <is>
          <t>Bull HC 46 STS</t>
        </is>
      </c>
      <c r="C639" s="184" t="inlineStr">
        <is>
          <t>CRPL</t>
        </is>
      </c>
      <c r="D639" s="180" t="inlineStr">
        <is>
          <t>Top</t>
        </is>
      </c>
      <c r="E639" s="180" t="n">
        <v>100</v>
      </c>
      <c r="F639" s="180" t="inlineStr">
        <is>
          <t>Single</t>
        </is>
      </c>
      <c r="G639" s="180" t="n"/>
      <c r="H639" s="180" t="inlineStr">
        <is>
          <t>129 X 407</t>
        </is>
      </c>
      <c r="I639" s="180" t="inlineStr">
        <is>
          <t>16.5 X 22.5</t>
        </is>
      </c>
      <c r="J639" s="180" t="n">
        <v>4</v>
      </c>
      <c r="K639" s="181" t="n"/>
      <c r="L639" s="31" t="n"/>
      <c r="M639" s="32" t="n">
        <v>1.906191369606004</v>
      </c>
      <c r="N639" s="31" t="n"/>
      <c r="O639" s="33" t="n"/>
    </row>
    <row r="640" ht="15" customHeight="1">
      <c r="A640" s="232" t="n"/>
      <c r="B640" s="232" t="n"/>
      <c r="C640" s="235" t="n"/>
      <c r="D640" s="169" t="inlineStr">
        <is>
          <t>Bottom</t>
        </is>
      </c>
      <c r="E640" s="180" t="n">
        <v>70</v>
      </c>
      <c r="F640" s="180" t="inlineStr">
        <is>
          <t>Single</t>
        </is>
      </c>
      <c r="G640" s="180" t="n"/>
      <c r="H640" s="180" t="inlineStr">
        <is>
          <t>129 X 407</t>
        </is>
      </c>
      <c r="I640" s="180" t="inlineStr">
        <is>
          <t>16.5 X 22.5</t>
        </is>
      </c>
      <c r="J640" s="180" t="n">
        <v>4</v>
      </c>
      <c r="K640" s="171" t="n"/>
      <c r="L640" s="14" t="n"/>
      <c r="M640" s="15" t="n">
        <v>1.269736842105263</v>
      </c>
      <c r="N640" s="14" t="n"/>
      <c r="O640" s="16" t="n"/>
    </row>
    <row r="641" ht="15.75" customHeight="1">
      <c r="A641" s="234" t="n"/>
      <c r="B641" s="234" t="n"/>
      <c r="C641" s="175" t="inlineStr">
        <is>
          <t>HCC 1.52</t>
        </is>
      </c>
      <c r="D641" s="166" t="inlineStr">
        <is>
          <t>-</t>
        </is>
      </c>
      <c r="E641" s="166" t="n">
        <v>60</v>
      </c>
      <c r="F641" s="166" t="inlineStr">
        <is>
          <t>Single</t>
        </is>
      </c>
      <c r="G641" s="166" t="n"/>
      <c r="H641" s="166" t="inlineStr">
        <is>
          <t>156 X 438</t>
        </is>
      </c>
      <c r="I641" s="166" t="inlineStr">
        <is>
          <t>18 X 21</t>
        </is>
      </c>
      <c r="J641" s="166" t="n">
        <v>3</v>
      </c>
      <c r="K641" s="176" t="n"/>
      <c r="L641" s="25" t="n"/>
      <c r="M641" s="26" t="n">
        <v>1.3</v>
      </c>
      <c r="N641" s="25" t="n"/>
      <c r="O641" s="27" t="n"/>
    </row>
    <row r="642" ht="15" customHeight="1">
      <c r="A642" s="197" t="n">
        <v>12</v>
      </c>
      <c r="B642" s="198" t="inlineStr">
        <is>
          <t>Bull HC 50 STS</t>
        </is>
      </c>
      <c r="C642" s="184" t="inlineStr">
        <is>
          <t>CRPL</t>
        </is>
      </c>
      <c r="D642" s="180" t="inlineStr">
        <is>
          <t>Top</t>
        </is>
      </c>
      <c r="E642" s="180" t="n">
        <v>100</v>
      </c>
      <c r="F642" s="180" t="inlineStr">
        <is>
          <t>Single</t>
        </is>
      </c>
      <c r="G642" s="180" t="n"/>
      <c r="H642" s="180" t="inlineStr">
        <is>
          <t>189 X 557</t>
        </is>
      </c>
      <c r="I642" s="180" t="inlineStr">
        <is>
          <t>16 X 23</t>
        </is>
      </c>
      <c r="J642" s="180" t="n">
        <v>2</v>
      </c>
      <c r="K642" s="181" t="n"/>
      <c r="L642" s="31" t="n"/>
      <c r="M642" s="32" t="n">
        <v>1.906191369606004</v>
      </c>
      <c r="N642" s="31" t="n"/>
      <c r="O642" s="33" t="n"/>
    </row>
    <row r="643" ht="15" customHeight="1">
      <c r="A643" s="232" t="n"/>
      <c r="B643" s="232" t="n"/>
      <c r="C643" s="235" t="n"/>
      <c r="D643" s="169" t="inlineStr">
        <is>
          <t>Bottom</t>
        </is>
      </c>
      <c r="E643" s="180" t="n">
        <v>70</v>
      </c>
      <c r="F643" s="180" t="inlineStr">
        <is>
          <t>Single</t>
        </is>
      </c>
      <c r="G643" s="180" t="n"/>
      <c r="H643" s="180" t="inlineStr">
        <is>
          <t>189 X 557</t>
        </is>
      </c>
      <c r="I643" s="180" t="inlineStr">
        <is>
          <t>16 X 23</t>
        </is>
      </c>
      <c r="J643" s="180" t="n">
        <v>2</v>
      </c>
      <c r="K643" s="171" t="n"/>
      <c r="L643" s="14" t="n"/>
      <c r="M643" s="15" t="n">
        <v>1.269736842105263</v>
      </c>
      <c r="N643" s="14" t="n"/>
      <c r="O643" s="16" t="n"/>
    </row>
    <row r="644" ht="15.75" customHeight="1">
      <c r="A644" s="234" t="n"/>
      <c r="B644" s="234" t="n"/>
      <c r="C644" s="175" t="inlineStr">
        <is>
          <t>HCC 1.52</t>
        </is>
      </c>
      <c r="D644" s="166" t="inlineStr">
        <is>
          <t>-</t>
        </is>
      </c>
      <c r="E644" s="166" t="n">
        <v>60</v>
      </c>
      <c r="F644" s="166" t="inlineStr">
        <is>
          <t>Single</t>
        </is>
      </c>
      <c r="G644" s="166" t="n"/>
      <c r="H644" s="166" t="inlineStr">
        <is>
          <t>216 X 584</t>
        </is>
      </c>
      <c r="I644" s="166" t="inlineStr">
        <is>
          <t>19 X 24</t>
        </is>
      </c>
      <c r="J644" s="166" t="n">
        <v>2</v>
      </c>
      <c r="K644" s="176" t="n"/>
      <c r="L644" s="25" t="n"/>
      <c r="M644" s="26" t="n">
        <v>1.3</v>
      </c>
      <c r="N644" s="25" t="n"/>
      <c r="O644" s="27" t="n"/>
    </row>
    <row r="645" ht="15" customHeight="1">
      <c r="A645" s="197" t="n">
        <v>13</v>
      </c>
      <c r="B645" s="198" t="inlineStr">
        <is>
          <t>Bull HC 55 STS</t>
        </is>
      </c>
      <c r="C645" s="184" t="inlineStr">
        <is>
          <t>CRPL</t>
        </is>
      </c>
      <c r="D645" s="180" t="inlineStr">
        <is>
          <t>Top</t>
        </is>
      </c>
      <c r="E645" s="180" t="n">
        <v>100</v>
      </c>
      <c r="F645" s="180" t="inlineStr">
        <is>
          <t>Single</t>
        </is>
      </c>
      <c r="G645" s="180" t="n"/>
      <c r="H645" s="180" t="inlineStr">
        <is>
          <t>230 X 312</t>
        </is>
      </c>
      <c r="I645" s="180" t="inlineStr">
        <is>
          <t>13 X 19</t>
        </is>
      </c>
      <c r="J645" s="180" t="n">
        <v>2</v>
      </c>
      <c r="K645" s="181" t="n"/>
      <c r="L645" s="31" t="n"/>
      <c r="M645" s="32" t="n">
        <v>1.906191369606004</v>
      </c>
      <c r="N645" s="31" t="n"/>
      <c r="O645" s="33" t="n"/>
    </row>
    <row r="646" ht="15" customHeight="1">
      <c r="A646" s="232" t="n"/>
      <c r="B646" s="232" t="n"/>
      <c r="C646" s="235" t="n"/>
      <c r="D646" s="169" t="inlineStr">
        <is>
          <t>Bottom</t>
        </is>
      </c>
      <c r="E646" s="180" t="n">
        <v>70</v>
      </c>
      <c r="F646" s="180" t="inlineStr">
        <is>
          <t>Single</t>
        </is>
      </c>
      <c r="G646" s="180" t="n"/>
      <c r="H646" s="180" t="inlineStr">
        <is>
          <t>230 X 312</t>
        </is>
      </c>
      <c r="I646" s="180" t="inlineStr">
        <is>
          <t>13 X 19</t>
        </is>
      </c>
      <c r="J646" s="180" t="n">
        <v>2</v>
      </c>
      <c r="K646" s="171" t="n"/>
      <c r="L646" s="14" t="n"/>
      <c r="M646" s="15" t="n">
        <v>1.269736842105263</v>
      </c>
      <c r="N646" s="14" t="n"/>
      <c r="O646" s="16" t="n"/>
    </row>
    <row r="647" ht="15.75" customHeight="1">
      <c r="A647" s="234" t="n"/>
      <c r="B647" s="234" t="n"/>
      <c r="C647" s="175" t="inlineStr">
        <is>
          <t>HCC 1.52</t>
        </is>
      </c>
      <c r="D647" s="166" t="inlineStr">
        <is>
          <t>-</t>
        </is>
      </c>
      <c r="E647" s="166" t="n">
        <v>60</v>
      </c>
      <c r="F647" s="166" t="inlineStr">
        <is>
          <t>Single</t>
        </is>
      </c>
      <c r="G647" s="166" t="n"/>
      <c r="H647" s="166" t="inlineStr">
        <is>
          <t>254 X 343</t>
        </is>
      </c>
      <c r="I647" s="166" t="inlineStr">
        <is>
          <t>22 X 27</t>
        </is>
      </c>
      <c r="J647" s="166" t="n">
        <v>4</v>
      </c>
      <c r="K647" s="176" t="n"/>
      <c r="L647" s="25" t="n"/>
      <c r="M647" s="26" t="n">
        <v>1.3</v>
      </c>
      <c r="N647" s="25" t="n"/>
      <c r="O647" s="27" t="n"/>
    </row>
    <row r="648" ht="15" customHeight="1">
      <c r="A648" s="197" t="n">
        <v>1</v>
      </c>
      <c r="B648" s="198" t="inlineStr">
        <is>
          <t>Bull DC 10</t>
        </is>
      </c>
      <c r="C648" s="184" t="inlineStr">
        <is>
          <t>NG</t>
        </is>
      </c>
      <c r="D648" s="180" t="inlineStr">
        <is>
          <t>Top</t>
        </is>
      </c>
      <c r="E648" s="180" t="n">
        <v>30</v>
      </c>
      <c r="F648" s="180" t="inlineStr">
        <is>
          <t>Single</t>
        </is>
      </c>
      <c r="G648" s="180" t="n"/>
      <c r="H648" s="180" t="inlineStr">
        <is>
          <t>57.5 X 42</t>
        </is>
      </c>
      <c r="I648" s="180" t="inlineStr">
        <is>
          <t>17.5 X 23</t>
        </is>
      </c>
      <c r="J648" s="180" t="n">
        <v>81</v>
      </c>
      <c r="K648" s="227" t="n"/>
      <c r="L648" s="31" t="n"/>
      <c r="M648" s="32" t="n">
        <v>0.5277777777777778</v>
      </c>
      <c r="N648" s="31" t="n"/>
      <c r="O648" s="33" t="n"/>
    </row>
    <row r="649" ht="15" customHeight="1">
      <c r="A649" s="232" t="n"/>
      <c r="B649" s="232" t="n"/>
      <c r="C649" s="235" t="n"/>
      <c r="D649" s="169" t="inlineStr">
        <is>
          <t>Bottom</t>
        </is>
      </c>
      <c r="E649" s="180" t="n">
        <v>30</v>
      </c>
      <c r="F649" s="180" t="inlineStr">
        <is>
          <t>Single</t>
        </is>
      </c>
      <c r="G649" s="180" t="n"/>
      <c r="H649" s="180" t="inlineStr">
        <is>
          <t>57.5 X 42</t>
        </is>
      </c>
      <c r="I649" s="180" t="inlineStr">
        <is>
          <t>17.5 X 23</t>
        </is>
      </c>
      <c r="J649" s="180" t="n">
        <v>81</v>
      </c>
      <c r="K649" s="228" t="n"/>
      <c r="L649" s="14" t="n"/>
      <c r="M649" s="15" t="n">
        <v>0.5277777777777778</v>
      </c>
      <c r="N649" s="14" t="n"/>
      <c r="O649" s="16" t="n"/>
    </row>
    <row r="650" ht="15.75" customHeight="1">
      <c r="A650" s="234" t="n"/>
      <c r="B650" s="234" t="n"/>
      <c r="C650" s="229" t="inlineStr">
        <is>
          <t>KSCFG A-28</t>
        </is>
      </c>
      <c r="D650" s="166" t="inlineStr">
        <is>
          <t>-</t>
        </is>
      </c>
      <c r="E650" s="166" t="n">
        <v>15</v>
      </c>
      <c r="F650" s="166" t="inlineStr">
        <is>
          <t>Single</t>
        </is>
      </c>
      <c r="G650" s="166" t="n"/>
      <c r="H650" s="166" t="inlineStr">
        <is>
          <t>57 X 73</t>
        </is>
      </c>
      <c r="I650" s="166" t="inlineStr">
        <is>
          <t>20 X 21</t>
        </is>
      </c>
      <c r="J650" s="166" t="n">
        <v>49</v>
      </c>
      <c r="K650" s="230" t="n"/>
      <c r="L650" s="25" t="n"/>
      <c r="M650" s="26" t="n">
        <v>0.3381642512077295</v>
      </c>
      <c r="N650" s="25" t="n"/>
      <c r="O650" s="27" t="n"/>
    </row>
    <row r="651" ht="15" customHeight="1">
      <c r="A651" s="197" t="n">
        <v>2</v>
      </c>
      <c r="B651" s="198" t="inlineStr">
        <is>
          <t>Bull DC 12</t>
        </is>
      </c>
      <c r="C651" s="184" t="inlineStr">
        <is>
          <t>NG</t>
        </is>
      </c>
      <c r="D651" s="180" t="inlineStr">
        <is>
          <t>Top</t>
        </is>
      </c>
      <c r="E651" s="180" t="n">
        <v>30</v>
      </c>
      <c r="F651" s="180" t="inlineStr">
        <is>
          <t>Single</t>
        </is>
      </c>
      <c r="G651" s="180" t="n"/>
      <c r="H651" s="180" t="inlineStr">
        <is>
          <t>94 X 52</t>
        </is>
      </c>
      <c r="I651" s="180" t="inlineStr">
        <is>
          <t>14.5 X 20.5</t>
        </is>
      </c>
      <c r="J651" s="180" t="n">
        <v>30</v>
      </c>
      <c r="K651" s="227" t="n"/>
      <c r="L651" s="31" t="n"/>
      <c r="M651" s="32" t="n">
        <v>0.5277777777777778</v>
      </c>
      <c r="N651" s="31" t="n"/>
      <c r="O651" s="33" t="n"/>
    </row>
    <row r="652" ht="15" customHeight="1">
      <c r="A652" s="232" t="n"/>
      <c r="B652" s="232" t="n"/>
      <c r="C652" s="235" t="n"/>
      <c r="D652" s="169" t="inlineStr">
        <is>
          <t>Bottom</t>
        </is>
      </c>
      <c r="E652" s="180" t="n">
        <v>30</v>
      </c>
      <c r="F652" s="180" t="inlineStr">
        <is>
          <t>Single</t>
        </is>
      </c>
      <c r="G652" s="180" t="n"/>
      <c r="H652" s="180" t="inlineStr">
        <is>
          <t>94 X 52</t>
        </is>
      </c>
      <c r="I652" s="180" t="inlineStr">
        <is>
          <t>14.5 X 20.5</t>
        </is>
      </c>
      <c r="J652" s="180" t="n">
        <v>30</v>
      </c>
      <c r="K652" s="228" t="n"/>
      <c r="L652" s="14" t="n"/>
      <c r="M652" s="15" t="n">
        <v>0.5277777777777778</v>
      </c>
      <c r="N652" s="14" t="n"/>
      <c r="O652" s="16" t="n"/>
    </row>
    <row r="653" ht="15.75" customHeight="1">
      <c r="A653" s="234" t="n"/>
      <c r="B653" s="234" t="n"/>
      <c r="C653" s="229" t="inlineStr">
        <is>
          <t>KSCFG A-28</t>
        </is>
      </c>
      <c r="D653" s="166" t="inlineStr">
        <is>
          <t>-</t>
        </is>
      </c>
      <c r="E653" s="166" t="n">
        <v>15</v>
      </c>
      <c r="F653" s="166" t="inlineStr">
        <is>
          <t>Single</t>
        </is>
      </c>
      <c r="G653" s="166" t="n"/>
      <c r="H653" s="166" t="inlineStr">
        <is>
          <t>70 X 109</t>
        </is>
      </c>
      <c r="I653" s="166" t="inlineStr">
        <is>
          <t>20 X 21</t>
        </is>
      </c>
      <c r="J653" s="166" t="n">
        <v>24</v>
      </c>
      <c r="K653" s="230" t="n"/>
      <c r="L653" s="25" t="n"/>
      <c r="M653" s="26" t="n">
        <v>0.3381642512077295</v>
      </c>
      <c r="N653" s="25" t="n"/>
      <c r="O653" s="27" t="n"/>
    </row>
    <row r="654" ht="15" customHeight="1">
      <c r="A654" s="197" t="n">
        <v>3</v>
      </c>
      <c r="B654" s="198" t="inlineStr">
        <is>
          <t>Bull DC 14</t>
        </is>
      </c>
      <c r="C654" s="184" t="inlineStr">
        <is>
          <t>NG</t>
        </is>
      </c>
      <c r="D654" s="180" t="inlineStr">
        <is>
          <t>Top</t>
        </is>
      </c>
      <c r="E654" s="180" t="n">
        <v>30</v>
      </c>
      <c r="F654" s="180" t="inlineStr">
        <is>
          <t>Single</t>
        </is>
      </c>
      <c r="G654" s="180" t="n"/>
      <c r="H654" s="180" t="inlineStr">
        <is>
          <t>120 X 65</t>
        </is>
      </c>
      <c r="I654" s="180" t="inlineStr">
        <is>
          <t>17.5 X 20.5</t>
        </is>
      </c>
      <c r="J654" s="180" t="n">
        <v>24</v>
      </c>
      <c r="K654" s="227" t="n"/>
      <c r="L654" s="31" t="n"/>
      <c r="M654" s="32" t="n">
        <v>0.5277777777777778</v>
      </c>
      <c r="N654" s="31" t="n"/>
      <c r="O654" s="33" t="n"/>
    </row>
    <row r="655" ht="15" customHeight="1">
      <c r="A655" s="232" t="n"/>
      <c r="B655" s="232" t="n"/>
      <c r="C655" s="235" t="n"/>
      <c r="D655" s="169" t="inlineStr">
        <is>
          <t>Bottom</t>
        </is>
      </c>
      <c r="E655" s="180" t="n">
        <v>30</v>
      </c>
      <c r="F655" s="180" t="inlineStr">
        <is>
          <t>Single</t>
        </is>
      </c>
      <c r="G655" s="180" t="n"/>
      <c r="H655" s="180" t="inlineStr">
        <is>
          <t>120 X 65</t>
        </is>
      </c>
      <c r="I655" s="180" t="inlineStr">
        <is>
          <t>17.5 X 20.5</t>
        </is>
      </c>
      <c r="J655" s="180" t="n">
        <v>24</v>
      </c>
      <c r="K655" s="228" t="n"/>
      <c r="L655" s="14" t="n"/>
      <c r="M655" s="15" t="n">
        <v>0.5277777777777778</v>
      </c>
      <c r="N655" s="14" t="n"/>
      <c r="O655" s="16" t="n"/>
    </row>
    <row r="656" ht="15.75" customHeight="1">
      <c r="A656" s="234" t="n"/>
      <c r="B656" s="234" t="n"/>
      <c r="C656" s="229" t="inlineStr">
        <is>
          <t>KSCFG A-28</t>
        </is>
      </c>
      <c r="D656" s="166" t="inlineStr">
        <is>
          <t>-</t>
        </is>
      </c>
      <c r="E656" s="166" t="n">
        <v>15</v>
      </c>
      <c r="F656" s="166" t="inlineStr">
        <is>
          <t>Single</t>
        </is>
      </c>
      <c r="G656" s="166" t="n"/>
      <c r="H656" s="166" t="inlineStr">
        <is>
          <t>84 X 138</t>
        </is>
      </c>
      <c r="I656" s="166" t="inlineStr">
        <is>
          <t>25 X 25</t>
        </is>
      </c>
      <c r="J656" s="166" t="n">
        <v>24</v>
      </c>
      <c r="K656" s="230" t="n"/>
      <c r="L656" s="25" t="n"/>
      <c r="M656" s="26" t="n">
        <v>0.3381642512077295</v>
      </c>
      <c r="N656" s="25" t="n"/>
      <c r="O656" s="27" t="n"/>
    </row>
    <row r="657" ht="15" customHeight="1">
      <c r="A657" s="197" t="n">
        <v>4</v>
      </c>
      <c r="B657" s="198" t="inlineStr">
        <is>
          <t>Bull DC 20</t>
        </is>
      </c>
      <c r="C657" s="184" t="inlineStr">
        <is>
          <t>NG</t>
        </is>
      </c>
      <c r="D657" s="180" t="inlineStr">
        <is>
          <t>Top</t>
        </is>
      </c>
      <c r="E657" s="180" t="n">
        <v>50</v>
      </c>
      <c r="F657" s="180" t="inlineStr">
        <is>
          <t>Single</t>
        </is>
      </c>
      <c r="G657" s="180" t="n"/>
      <c r="H657" s="180" t="inlineStr">
        <is>
          <t>99.5 X 55.5</t>
        </is>
      </c>
      <c r="I657" s="180" t="inlineStr">
        <is>
          <t>15 X 21.5</t>
        </is>
      </c>
      <c r="J657" s="180" t="n">
        <v>30</v>
      </c>
      <c r="K657" s="227" t="n"/>
      <c r="L657" s="31" t="n"/>
      <c r="M657" s="32" t="n">
        <v>0.9182530795072789</v>
      </c>
      <c r="N657" s="31" t="n"/>
      <c r="O657" s="33" t="n"/>
    </row>
    <row r="658" ht="15" customHeight="1">
      <c r="A658" s="232" t="n"/>
      <c r="B658" s="232" t="n"/>
      <c r="C658" s="235" t="n"/>
      <c r="D658" s="169" t="inlineStr">
        <is>
          <t>Bottom</t>
        </is>
      </c>
      <c r="E658" s="180" t="n">
        <v>30</v>
      </c>
      <c r="F658" s="180" t="inlineStr">
        <is>
          <t>Single</t>
        </is>
      </c>
      <c r="G658" s="180" t="n"/>
      <c r="H658" s="180" t="inlineStr">
        <is>
          <t>99.5 X 55.5</t>
        </is>
      </c>
      <c r="I658" s="180" t="inlineStr">
        <is>
          <t>15 X 21.5</t>
        </is>
      </c>
      <c r="J658" s="180" t="n">
        <v>30</v>
      </c>
      <c r="K658" s="228" t="n"/>
      <c r="L658" s="14" t="n"/>
      <c r="M658" s="15" t="n">
        <v>0.5277777777777778</v>
      </c>
      <c r="N658" s="14" t="n"/>
      <c r="O658" s="16" t="n"/>
    </row>
    <row r="659" ht="15.75" customHeight="1">
      <c r="A659" s="234" t="n"/>
      <c r="B659" s="234" t="n"/>
      <c r="C659" s="229" t="inlineStr">
        <is>
          <t>KSCFG A-28</t>
        </is>
      </c>
      <c r="D659" s="166" t="inlineStr">
        <is>
          <t>-</t>
        </is>
      </c>
      <c r="E659" s="166" t="n">
        <v>15</v>
      </c>
      <c r="F659" s="166" t="inlineStr">
        <is>
          <t>Single</t>
        </is>
      </c>
      <c r="G659" s="166" t="n"/>
      <c r="H659" s="166" t="inlineStr">
        <is>
          <t>74 X 120</t>
        </is>
      </c>
      <c r="I659" s="166" t="inlineStr">
        <is>
          <t>22 X 22</t>
        </is>
      </c>
      <c r="J659" s="166" t="n">
        <v>24</v>
      </c>
      <c r="K659" s="230" t="n"/>
      <c r="L659" s="25" t="n"/>
      <c r="M659" s="26" t="n">
        <v>0.3381642512077295</v>
      </c>
      <c r="N659" s="25" t="n"/>
      <c r="O659" s="27" t="n"/>
    </row>
    <row r="660" ht="15" customHeight="1">
      <c r="A660" s="197" t="n">
        <v>5</v>
      </c>
      <c r="B660" s="198" t="inlineStr">
        <is>
          <t>Bull DC 22</t>
        </is>
      </c>
      <c r="C660" s="184" t="inlineStr">
        <is>
          <t>NG</t>
        </is>
      </c>
      <c r="D660" s="180" t="inlineStr">
        <is>
          <t>Top</t>
        </is>
      </c>
      <c r="E660" s="180" t="n">
        <v>50</v>
      </c>
      <c r="F660" s="180" t="inlineStr">
        <is>
          <t>Single</t>
        </is>
      </c>
      <c r="G660" s="180" t="n"/>
      <c r="H660" s="180" t="inlineStr">
        <is>
          <t>54 X 122</t>
        </is>
      </c>
      <c r="I660" s="180" t="inlineStr">
        <is>
          <t>21 X 26.5</t>
        </is>
      </c>
      <c r="J660" s="180" t="n">
        <v>40</v>
      </c>
      <c r="K660" s="227" t="n"/>
      <c r="L660" s="31" t="n"/>
      <c r="M660" s="32" t="n">
        <v>0.9182530795072789</v>
      </c>
      <c r="N660" s="31" t="n"/>
      <c r="O660" s="33" t="n"/>
    </row>
    <row r="661" ht="15" customHeight="1">
      <c r="A661" s="232" t="n"/>
      <c r="B661" s="232" t="n"/>
      <c r="C661" s="235" t="n"/>
      <c r="D661" s="169" t="inlineStr">
        <is>
          <t>Bottom</t>
        </is>
      </c>
      <c r="E661" s="180" t="n">
        <v>50</v>
      </c>
      <c r="F661" s="180" t="inlineStr">
        <is>
          <t>Single</t>
        </is>
      </c>
      <c r="G661" s="180" t="n"/>
      <c r="H661" s="180" t="inlineStr">
        <is>
          <t>54 X 122</t>
        </is>
      </c>
      <c r="I661" s="180" t="inlineStr">
        <is>
          <t>21 X 26.5</t>
        </is>
      </c>
      <c r="J661" s="180" t="n">
        <v>40</v>
      </c>
      <c r="K661" s="228" t="n"/>
      <c r="L661" s="14" t="n"/>
      <c r="M661" s="15" t="n">
        <v>0.9182530795072789</v>
      </c>
      <c r="N661" s="14" t="n"/>
      <c r="O661" s="16" t="n"/>
    </row>
    <row r="662" ht="15.75" customHeight="1">
      <c r="A662" s="234" t="n"/>
      <c r="B662" s="234" t="n"/>
      <c r="C662" s="229" t="inlineStr">
        <is>
          <t>KSCFG A-28</t>
        </is>
      </c>
      <c r="D662" s="166" t="inlineStr">
        <is>
          <t>-</t>
        </is>
      </c>
      <c r="E662" s="166" t="n">
        <v>15</v>
      </c>
      <c r="F662" s="166" t="inlineStr">
        <is>
          <t>Single</t>
        </is>
      </c>
      <c r="G662" s="166" t="n"/>
      <c r="H662" s="166" t="inlineStr">
        <is>
          <t>73 X 140</t>
        </is>
      </c>
      <c r="I662" s="166" t="inlineStr">
        <is>
          <t>25.6 X 44.1</t>
        </is>
      </c>
      <c r="J662" s="166" t="n">
        <v>49</v>
      </c>
      <c r="K662" s="230" t="n"/>
      <c r="L662" s="25" t="n"/>
      <c r="M662" s="26" t="n">
        <v>0.3381642512077295</v>
      </c>
      <c r="N662" s="25" t="n"/>
      <c r="O662" s="27" t="n"/>
    </row>
    <row r="663" ht="15" customHeight="1">
      <c r="A663" s="197" t="n">
        <v>6</v>
      </c>
      <c r="B663" s="198" t="inlineStr">
        <is>
          <t>Bull DC 24</t>
        </is>
      </c>
      <c r="C663" s="184" t="inlineStr">
        <is>
          <t>NG</t>
        </is>
      </c>
      <c r="D663" s="180" t="inlineStr">
        <is>
          <t>Top</t>
        </is>
      </c>
      <c r="E663" s="180" t="n">
        <v>50</v>
      </c>
      <c r="F663" s="180" t="inlineStr">
        <is>
          <t>Single</t>
        </is>
      </c>
      <c r="G663" s="180" t="n"/>
      <c r="H663" s="180" t="inlineStr">
        <is>
          <t>54 X 176</t>
        </is>
      </c>
      <c r="I663" s="180" t="inlineStr">
        <is>
          <t>21 X 22</t>
        </is>
      </c>
      <c r="J663" s="180" t="n">
        <v>24</v>
      </c>
      <c r="K663" s="227" t="n"/>
      <c r="L663" s="31" t="n"/>
      <c r="M663" s="32" t="n">
        <v>0.9182530795072789</v>
      </c>
      <c r="N663" s="31" t="n"/>
      <c r="O663" s="33" t="n"/>
    </row>
    <row r="664" ht="15" customHeight="1">
      <c r="A664" s="232" t="n"/>
      <c r="B664" s="232" t="n"/>
      <c r="C664" s="235" t="n"/>
      <c r="D664" s="169" t="inlineStr">
        <is>
          <t>Bottom</t>
        </is>
      </c>
      <c r="E664" s="180" t="n">
        <v>50</v>
      </c>
      <c r="F664" s="180" t="inlineStr">
        <is>
          <t>Single</t>
        </is>
      </c>
      <c r="G664" s="180" t="n"/>
      <c r="H664" s="180" t="inlineStr">
        <is>
          <t>54 X 176</t>
        </is>
      </c>
      <c r="I664" s="180" t="inlineStr">
        <is>
          <t>21 X 22</t>
        </is>
      </c>
      <c r="J664" s="180" t="n">
        <v>24</v>
      </c>
      <c r="K664" s="228" t="n"/>
      <c r="L664" s="14" t="n"/>
      <c r="M664" s="15" t="n">
        <v>0.9182530795072789</v>
      </c>
      <c r="N664" s="14" t="n"/>
      <c r="O664" s="16" t="n"/>
    </row>
    <row r="665" ht="15.75" customHeight="1">
      <c r="A665" s="234" t="n"/>
      <c r="B665" s="234" t="n"/>
      <c r="C665" s="229" t="inlineStr">
        <is>
          <t>KSCFG A-28</t>
        </is>
      </c>
      <c r="D665" s="166" t="inlineStr">
        <is>
          <t>-</t>
        </is>
      </c>
      <c r="E665" s="166" t="n">
        <v>15</v>
      </c>
      <c r="F665" s="166" t="inlineStr">
        <is>
          <t>Single</t>
        </is>
      </c>
      <c r="G665" s="166" t="n"/>
      <c r="H665" s="166" t="inlineStr">
        <is>
          <t>73 X 194</t>
        </is>
      </c>
      <c r="I665" s="166" t="inlineStr">
        <is>
          <t>25.6 X 59</t>
        </is>
      </c>
      <c r="J665" s="166" t="n">
        <v>49</v>
      </c>
      <c r="K665" s="230" t="n"/>
      <c r="L665" s="25" t="n"/>
      <c r="M665" s="26" t="n">
        <v>0.3381642512077295</v>
      </c>
      <c r="N665" s="25" t="n"/>
      <c r="O665" s="27" t="n"/>
    </row>
    <row r="666" ht="15" customHeight="1">
      <c r="A666" s="197" t="n">
        <v>3</v>
      </c>
      <c r="B666" s="198" t="inlineStr">
        <is>
          <t>Bull DC 33</t>
        </is>
      </c>
      <c r="C666" s="184" t="inlineStr">
        <is>
          <t>NG</t>
        </is>
      </c>
      <c r="D666" s="180" t="inlineStr">
        <is>
          <t>Top</t>
        </is>
      </c>
      <c r="E666" s="180" t="n">
        <v>80</v>
      </c>
      <c r="F666" s="180" t="inlineStr">
        <is>
          <t>Single</t>
        </is>
      </c>
      <c r="G666" s="180" t="n"/>
      <c r="H666" s="180" t="inlineStr">
        <is>
          <t>82 X 111</t>
        </is>
      </c>
      <c r="I666" s="180" t="inlineStr">
        <is>
          <t>22.5 X 24.5</t>
        </is>
      </c>
      <c r="J666" s="180" t="n">
        <v>30</v>
      </c>
      <c r="K666" s="227" t="n"/>
      <c r="L666" s="31" t="n"/>
      <c r="M666" s="32" t="n">
        <v>1.494824016563147</v>
      </c>
      <c r="N666" s="31" t="n"/>
      <c r="O666" s="33" t="n"/>
    </row>
    <row r="667" ht="15" customHeight="1">
      <c r="A667" s="232" t="n"/>
      <c r="B667" s="232" t="n"/>
      <c r="C667" s="235" t="n"/>
      <c r="D667" s="169" t="inlineStr">
        <is>
          <t>Bottom</t>
        </is>
      </c>
      <c r="E667" s="180" t="n">
        <v>50</v>
      </c>
      <c r="F667" s="180" t="inlineStr">
        <is>
          <t>Single</t>
        </is>
      </c>
      <c r="G667" s="180" t="n"/>
      <c r="H667" s="180" t="inlineStr">
        <is>
          <t>82 X 111</t>
        </is>
      </c>
      <c r="I667" s="180" t="inlineStr">
        <is>
          <t>22.5 X 24.5</t>
        </is>
      </c>
      <c r="J667" s="180" t="n">
        <v>30</v>
      </c>
      <c r="K667" s="228" t="n"/>
      <c r="L667" s="14" t="n"/>
      <c r="M667" s="15" t="n">
        <v>0.9182530795072789</v>
      </c>
      <c r="N667" s="14" t="n"/>
      <c r="O667" s="16" t="n"/>
    </row>
    <row r="668" ht="15.75" customHeight="1">
      <c r="A668" s="234" t="n"/>
      <c r="B668" s="234" t="n"/>
      <c r="C668" s="229" t="inlineStr">
        <is>
          <t>KSCFG A-28</t>
        </is>
      </c>
      <c r="D668" s="166" t="inlineStr">
        <is>
          <t>-</t>
        </is>
      </c>
      <c r="E668" s="166" t="n">
        <v>15</v>
      </c>
      <c r="F668" s="166" t="inlineStr">
        <is>
          <t>Single</t>
        </is>
      </c>
      <c r="G668" s="166" t="n"/>
      <c r="H668" s="166" t="inlineStr">
        <is>
          <t>102 X 130</t>
        </is>
      </c>
      <c r="I668" s="166" t="inlineStr">
        <is>
          <t>33.6 X 41.3</t>
        </is>
      </c>
      <c r="J668" s="166" t="n">
        <v>49</v>
      </c>
      <c r="K668" s="230" t="n"/>
      <c r="L668" s="25" t="n"/>
      <c r="M668" s="26" t="n">
        <v>0.3381642512077295</v>
      </c>
      <c r="N668" s="25" t="n"/>
      <c r="O668" s="27" t="n"/>
    </row>
    <row r="669" ht="15" customHeight="1">
      <c r="A669" s="197" t="n">
        <v>4</v>
      </c>
      <c r="B669" s="198" t="inlineStr">
        <is>
          <t>Bull DC 35</t>
        </is>
      </c>
      <c r="C669" s="184" t="inlineStr">
        <is>
          <t>NG</t>
        </is>
      </c>
      <c r="D669" s="180" t="inlineStr">
        <is>
          <t>Top</t>
        </is>
      </c>
      <c r="E669" s="180" t="n">
        <v>80</v>
      </c>
      <c r="F669" s="180" t="inlineStr">
        <is>
          <t>Single</t>
        </is>
      </c>
      <c r="G669" s="180" t="n"/>
      <c r="H669" s="180" t="inlineStr">
        <is>
          <t>108 X 138</t>
        </is>
      </c>
      <c r="I669" s="180" t="inlineStr">
        <is>
          <t>24 X 24</t>
        </is>
      </c>
      <c r="J669" s="180" t="n">
        <v>20</v>
      </c>
      <c r="K669" s="181" t="n"/>
      <c r="L669" s="31" t="n"/>
      <c r="M669" s="32" t="n">
        <v>1.494824016563147</v>
      </c>
      <c r="N669" s="31" t="n"/>
      <c r="O669" s="33" t="n"/>
    </row>
    <row r="670" ht="15" customHeight="1">
      <c r="A670" s="232" t="n"/>
      <c r="B670" s="232" t="n"/>
      <c r="C670" s="235" t="n"/>
      <c r="D670" s="169" t="inlineStr">
        <is>
          <t>Bottom</t>
        </is>
      </c>
      <c r="E670" s="180" t="n">
        <v>50</v>
      </c>
      <c r="F670" s="180" t="inlineStr">
        <is>
          <t>Single</t>
        </is>
      </c>
      <c r="G670" s="180" t="n"/>
      <c r="H670" s="180" t="inlineStr">
        <is>
          <t>108 X 138</t>
        </is>
      </c>
      <c r="I670" s="180" t="inlineStr">
        <is>
          <t>24 X 24</t>
        </is>
      </c>
      <c r="J670" s="180" t="n">
        <v>20</v>
      </c>
      <c r="K670" s="171" t="n"/>
      <c r="L670" s="14" t="n"/>
      <c r="M670" s="15" t="n">
        <v>0.9182530795072789</v>
      </c>
      <c r="N670" s="14" t="n"/>
      <c r="O670" s="16" t="n"/>
    </row>
    <row r="671" ht="15.75" customHeight="1">
      <c r="A671" s="234" t="n"/>
      <c r="B671" s="234" t="n"/>
      <c r="C671" s="229" t="inlineStr">
        <is>
          <t>KSCFG A-28</t>
        </is>
      </c>
      <c r="D671" s="166" t="inlineStr">
        <is>
          <t>-</t>
        </is>
      </c>
      <c r="E671" s="166" t="n">
        <v>15</v>
      </c>
      <c r="F671" s="166" t="inlineStr">
        <is>
          <t>Single</t>
        </is>
      </c>
      <c r="G671" s="166" t="n"/>
      <c r="H671" s="166" t="inlineStr">
        <is>
          <t>127 X 159</t>
        </is>
      </c>
      <c r="I671" s="166" t="inlineStr">
        <is>
          <t>40.5 X 49.3</t>
        </is>
      </c>
      <c r="J671" s="166" t="n">
        <v>49</v>
      </c>
      <c r="K671" s="176" t="n"/>
      <c r="L671" s="25" t="n"/>
      <c r="M671" s="26" t="n">
        <v>0.3381642512077295</v>
      </c>
      <c r="N671" s="25" t="n"/>
      <c r="O671" s="27" t="n"/>
    </row>
    <row r="672" ht="15" customHeight="1">
      <c r="A672" s="197" t="n">
        <v>5</v>
      </c>
      <c r="B672" s="198" t="inlineStr">
        <is>
          <t>Bull DC 37</t>
        </is>
      </c>
      <c r="C672" s="184" t="inlineStr">
        <is>
          <t>NG</t>
        </is>
      </c>
      <c r="D672" s="180" t="inlineStr">
        <is>
          <t>Top</t>
        </is>
      </c>
      <c r="E672" s="180" t="n">
        <v>100</v>
      </c>
      <c r="F672" s="180" t="inlineStr">
        <is>
          <t>Single</t>
        </is>
      </c>
      <c r="G672" s="180" t="n"/>
      <c r="H672" s="180" t="inlineStr">
        <is>
          <t>108 X 157</t>
        </is>
      </c>
      <c r="I672" s="180" t="inlineStr">
        <is>
          <t>24 X 27</t>
        </is>
      </c>
      <c r="J672" s="180" t="n">
        <v>20</v>
      </c>
      <c r="K672" s="227" t="n"/>
      <c r="L672" s="31" t="n"/>
      <c r="M672" s="32" t="n">
        <v>1.906191369606004</v>
      </c>
      <c r="N672" s="31" t="n"/>
      <c r="O672" s="33" t="n"/>
    </row>
    <row r="673" ht="15" customHeight="1">
      <c r="A673" s="232" t="n"/>
      <c r="B673" s="232" t="n"/>
      <c r="C673" s="235" t="n"/>
      <c r="D673" s="169" t="inlineStr">
        <is>
          <t>Bottom</t>
        </is>
      </c>
      <c r="E673" s="180" t="n">
        <v>50</v>
      </c>
      <c r="F673" s="180" t="inlineStr">
        <is>
          <t>Single</t>
        </is>
      </c>
      <c r="G673" s="180" t="n"/>
      <c r="H673" s="180" t="inlineStr">
        <is>
          <t>108 X 157</t>
        </is>
      </c>
      <c r="I673" s="180" t="inlineStr">
        <is>
          <t>24 X 27</t>
        </is>
      </c>
      <c r="J673" s="180" t="n">
        <v>20</v>
      </c>
      <c r="K673" s="228" t="n"/>
      <c r="L673" s="14" t="n"/>
      <c r="M673" s="15" t="n">
        <v>0.9182530795072789</v>
      </c>
      <c r="N673" s="14" t="n"/>
      <c r="O673" s="16" t="n"/>
    </row>
    <row r="674" ht="15.75" customHeight="1">
      <c r="A674" s="234" t="n"/>
      <c r="B674" s="234" t="n"/>
      <c r="C674" s="229" t="inlineStr">
        <is>
          <t>KSCFG A-28</t>
        </is>
      </c>
      <c r="D674" s="166" t="inlineStr">
        <is>
          <t>-</t>
        </is>
      </c>
      <c r="E674" s="166" t="n">
        <v>15</v>
      </c>
      <c r="F674" s="166" t="inlineStr">
        <is>
          <t>Single</t>
        </is>
      </c>
      <c r="G674" s="166" t="n"/>
      <c r="H674" s="166" t="inlineStr">
        <is>
          <t>127 X 178</t>
        </is>
      </c>
      <c r="I674" s="166" t="inlineStr">
        <is>
          <t>40.5 X 54.6</t>
        </is>
      </c>
      <c r="J674" s="166" t="n">
        <v>49</v>
      </c>
      <c r="K674" s="230" t="n"/>
      <c r="L674" s="25" t="n"/>
      <c r="M674" s="26" t="n">
        <v>0.3381642512077295</v>
      </c>
      <c r="N674" s="25" t="n"/>
      <c r="O674" s="27" t="n"/>
    </row>
    <row r="675" ht="15" customHeight="1">
      <c r="A675" s="197" t="n">
        <v>6</v>
      </c>
      <c r="B675" s="198" t="inlineStr">
        <is>
          <t>Bull DC 40</t>
        </is>
      </c>
      <c r="C675" s="184" t="inlineStr">
        <is>
          <t>NG</t>
        </is>
      </c>
      <c r="D675" s="180" t="inlineStr">
        <is>
          <t>Top</t>
        </is>
      </c>
      <c r="E675" s="180" t="n">
        <v>80</v>
      </c>
      <c r="F675" s="180" t="inlineStr">
        <is>
          <t>Single</t>
        </is>
      </c>
      <c r="G675" s="180" t="n"/>
      <c r="H675" s="180" t="inlineStr">
        <is>
          <t>84 X 179</t>
        </is>
      </c>
      <c r="I675" s="180" t="inlineStr">
        <is>
          <t>23 X 23</t>
        </is>
      </c>
      <c r="J675" s="180" t="n">
        <v>18</v>
      </c>
      <c r="K675" s="227" t="n"/>
      <c r="L675" s="31" t="n"/>
      <c r="M675" s="32" t="n">
        <v>1.494824016563147</v>
      </c>
      <c r="N675" s="31" t="n"/>
      <c r="O675" s="33" t="n"/>
    </row>
    <row r="676" ht="15" customHeight="1">
      <c r="A676" s="232" t="n"/>
      <c r="B676" s="232" t="n"/>
      <c r="C676" s="235" t="n"/>
      <c r="D676" s="169" t="inlineStr">
        <is>
          <t>Bottom</t>
        </is>
      </c>
      <c r="E676" s="180" t="n">
        <v>50</v>
      </c>
      <c r="F676" s="180" t="inlineStr">
        <is>
          <t>Single</t>
        </is>
      </c>
      <c r="G676" s="180" t="n"/>
      <c r="H676" s="180" t="inlineStr">
        <is>
          <t>84 X 179</t>
        </is>
      </c>
      <c r="I676" s="180" t="inlineStr">
        <is>
          <t>23 X 23</t>
        </is>
      </c>
      <c r="J676" s="180" t="n">
        <v>18</v>
      </c>
      <c r="K676" s="228" t="n"/>
      <c r="L676" s="14" t="n"/>
      <c r="M676" s="15" t="n">
        <v>0.9182530795072789</v>
      </c>
      <c r="N676" s="14" t="n"/>
      <c r="O676" s="16" t="n"/>
    </row>
    <row r="677" ht="15.75" customHeight="1">
      <c r="A677" s="234" t="n"/>
      <c r="B677" s="234" t="n"/>
      <c r="C677" s="229" t="inlineStr">
        <is>
          <t>KSCFG A-28</t>
        </is>
      </c>
      <c r="D677" s="166" t="inlineStr">
        <is>
          <t>-</t>
        </is>
      </c>
      <c r="E677" s="166" t="n">
        <v>15</v>
      </c>
      <c r="F677" s="166" t="inlineStr">
        <is>
          <t>Single</t>
        </is>
      </c>
      <c r="G677" s="166" t="n"/>
      <c r="H677" s="166" t="inlineStr">
        <is>
          <t>103 X 200</t>
        </is>
      </c>
      <c r="I677" s="166" t="inlineStr">
        <is>
          <t>33.9 X 60.6</t>
        </is>
      </c>
      <c r="J677" s="166" t="n">
        <v>49</v>
      </c>
      <c r="K677" s="230" t="n"/>
      <c r="L677" s="25" t="n"/>
      <c r="M677" s="26" t="n">
        <v>0.3381642512077295</v>
      </c>
      <c r="N677" s="25" t="n"/>
      <c r="O677" s="27" t="n"/>
    </row>
    <row r="678" ht="15" customHeight="1">
      <c r="A678" s="197" t="n">
        <v>7</v>
      </c>
      <c r="B678" s="198" t="inlineStr">
        <is>
          <t>Bull DC 42</t>
        </is>
      </c>
      <c r="C678" s="184" t="inlineStr">
        <is>
          <t>NG</t>
        </is>
      </c>
      <c r="D678" s="180" t="inlineStr">
        <is>
          <t>Top</t>
        </is>
      </c>
      <c r="E678" s="180" t="n">
        <v>80</v>
      </c>
      <c r="F678" s="180" t="inlineStr">
        <is>
          <t>Single</t>
        </is>
      </c>
      <c r="G678" s="180" t="n"/>
      <c r="H678" s="180" t="inlineStr">
        <is>
          <t>112 X 229</t>
        </is>
      </c>
      <c r="I678" s="180" t="inlineStr">
        <is>
          <t>24.5 X 29</t>
        </is>
      </c>
      <c r="J678" s="180" t="n">
        <v>15</v>
      </c>
      <c r="K678" s="181" t="n"/>
      <c r="L678" s="31" t="n"/>
      <c r="M678" s="32" t="n">
        <v>1.494824016563147</v>
      </c>
      <c r="N678" s="31" t="n"/>
      <c r="O678" s="33" t="n"/>
    </row>
    <row r="679" ht="15" customHeight="1">
      <c r="A679" s="232" t="n"/>
      <c r="B679" s="232" t="n"/>
      <c r="C679" s="235" t="n"/>
      <c r="D679" s="169" t="inlineStr">
        <is>
          <t>Bottom</t>
        </is>
      </c>
      <c r="E679" s="180" t="n">
        <v>50</v>
      </c>
      <c r="F679" s="180" t="inlineStr">
        <is>
          <t>Single</t>
        </is>
      </c>
      <c r="G679" s="180" t="n"/>
      <c r="H679" s="180" t="inlineStr">
        <is>
          <t>112 X 229</t>
        </is>
      </c>
      <c r="I679" s="180" t="inlineStr">
        <is>
          <t>24.5 X 29</t>
        </is>
      </c>
      <c r="J679" s="180" t="n">
        <v>15</v>
      </c>
      <c r="K679" s="171" t="n"/>
      <c r="L679" s="14" t="n"/>
      <c r="M679" s="15" t="n">
        <v>0.9182530795072789</v>
      </c>
      <c r="N679" s="14" t="n"/>
      <c r="O679" s="16" t="n"/>
    </row>
    <row r="680" ht="15.75" customHeight="1">
      <c r="A680" s="234" t="n"/>
      <c r="B680" s="234" t="n"/>
      <c r="C680" s="229" t="inlineStr">
        <is>
          <t>KSCFG A-28</t>
        </is>
      </c>
      <c r="D680" s="166" t="inlineStr">
        <is>
          <t>-</t>
        </is>
      </c>
      <c r="E680" s="166" t="n">
        <v>15</v>
      </c>
      <c r="F680" s="166" t="inlineStr">
        <is>
          <t>Single</t>
        </is>
      </c>
      <c r="G680" s="166" t="n"/>
      <c r="H680" s="166" t="inlineStr">
        <is>
          <t>133 X 254</t>
        </is>
      </c>
      <c r="I680" s="166" t="inlineStr">
        <is>
          <t>42.2 X 75.5</t>
        </is>
      </c>
      <c r="J680" s="166" t="n">
        <v>49</v>
      </c>
      <c r="K680" s="176" t="n"/>
      <c r="L680" s="25" t="n"/>
      <c r="M680" s="26" t="n">
        <v>0.3381642512077295</v>
      </c>
      <c r="N680" s="25" t="n"/>
      <c r="O680" s="27" t="n"/>
    </row>
    <row r="681" ht="15" customHeight="1">
      <c r="A681" s="197" t="n">
        <v>8</v>
      </c>
      <c r="B681" s="198" t="inlineStr">
        <is>
          <t>Bull DC 44</t>
        </is>
      </c>
      <c r="C681" s="184" t="inlineStr">
        <is>
          <t>NG</t>
        </is>
      </c>
      <c r="D681" s="180" t="inlineStr">
        <is>
          <t>Top</t>
        </is>
      </c>
      <c r="E681" s="180" t="n">
        <v>100</v>
      </c>
      <c r="F681" s="180" t="inlineStr">
        <is>
          <t>Single</t>
        </is>
      </c>
      <c r="G681" s="180" t="n"/>
      <c r="H681" s="180" t="inlineStr">
        <is>
          <t>105 X 305</t>
        </is>
      </c>
      <c r="I681" s="180" t="inlineStr">
        <is>
          <t>23 X 25</t>
        </is>
      </c>
      <c r="J681" s="180" t="n">
        <v>10</v>
      </c>
      <c r="K681" s="227" t="n"/>
      <c r="L681" s="31" t="n"/>
      <c r="M681" s="32" t="n">
        <v>1.906191369606004</v>
      </c>
      <c r="N681" s="31" t="n"/>
      <c r="O681" s="33" t="n"/>
    </row>
    <row r="682" ht="15" customHeight="1">
      <c r="A682" s="232" t="n"/>
      <c r="B682" s="232" t="n"/>
      <c r="C682" s="235" t="n"/>
      <c r="D682" s="169" t="inlineStr">
        <is>
          <t>Bottom</t>
        </is>
      </c>
      <c r="E682" s="180" t="n">
        <v>50</v>
      </c>
      <c r="F682" s="180" t="inlineStr">
        <is>
          <t>Single</t>
        </is>
      </c>
      <c r="G682" s="180" t="n"/>
      <c r="H682" s="180" t="inlineStr">
        <is>
          <t>105 X 305</t>
        </is>
      </c>
      <c r="I682" s="180" t="inlineStr">
        <is>
          <t>23 X 25</t>
        </is>
      </c>
      <c r="J682" s="180" t="n">
        <v>10</v>
      </c>
      <c r="K682" s="228" t="n"/>
      <c r="L682" s="14" t="n"/>
      <c r="M682" s="15" t="n">
        <v>0.9182530795072789</v>
      </c>
      <c r="N682" s="14" t="n"/>
      <c r="O682" s="16" t="n"/>
    </row>
    <row r="683" ht="15.75" customHeight="1">
      <c r="A683" s="234" t="n"/>
      <c r="B683" s="234" t="n"/>
      <c r="C683" s="229" t="inlineStr">
        <is>
          <t>KSCFG A-28</t>
        </is>
      </c>
      <c r="D683" s="166" t="inlineStr">
        <is>
          <t>-</t>
        </is>
      </c>
      <c r="E683" s="166" t="n">
        <v>15</v>
      </c>
      <c r="F683" s="166" t="inlineStr">
        <is>
          <t>Single</t>
        </is>
      </c>
      <c r="G683" s="166" t="n"/>
      <c r="H683" s="166" t="inlineStr">
        <is>
          <t>127 X 330</t>
        </is>
      </c>
      <c r="I683" s="166" t="inlineStr">
        <is>
          <t>40.5 X 96.5</t>
        </is>
      </c>
      <c r="J683" s="166" t="n">
        <v>49</v>
      </c>
      <c r="K683" s="230" t="n"/>
      <c r="L683" s="25" t="n"/>
      <c r="M683" s="26" t="n">
        <v>0.3381642512077295</v>
      </c>
      <c r="N683" s="25" t="n"/>
      <c r="O683" s="27" t="n"/>
    </row>
    <row r="684" ht="15" customHeight="1">
      <c r="A684" s="197" t="n">
        <v>9</v>
      </c>
      <c r="B684" s="198" t="inlineStr">
        <is>
          <t>Bull DC 45</t>
        </is>
      </c>
      <c r="C684" s="179" t="inlineStr">
        <is>
          <t>CRPL</t>
        </is>
      </c>
      <c r="D684" s="180" t="inlineStr">
        <is>
          <t>Top</t>
        </is>
      </c>
      <c r="E684" s="180" t="n">
        <v>100</v>
      </c>
      <c r="F684" s="180" t="inlineStr">
        <is>
          <t>Single</t>
        </is>
      </c>
      <c r="G684" s="180" t="n"/>
      <c r="H684" s="180" t="inlineStr">
        <is>
          <t>163 X 210</t>
        </is>
      </c>
      <c r="I684" s="180" t="inlineStr">
        <is>
          <t>14 X 18</t>
        </is>
      </c>
      <c r="J684" s="180" t="n">
        <v>4</v>
      </c>
      <c r="K684" s="227" t="n"/>
      <c r="L684" s="31" t="n"/>
      <c r="M684" s="32" t="n">
        <v>1.906191369606004</v>
      </c>
      <c r="N684" s="31" t="n"/>
      <c r="O684" s="33" t="n"/>
    </row>
    <row r="685" ht="15" customHeight="1">
      <c r="A685" s="232" t="n"/>
      <c r="B685" s="232" t="n"/>
      <c r="C685" s="235" t="n"/>
      <c r="D685" s="169" t="inlineStr">
        <is>
          <t>Bottom</t>
        </is>
      </c>
      <c r="E685" s="180" t="n">
        <v>70</v>
      </c>
      <c r="F685" s="180" t="inlineStr">
        <is>
          <t>Single</t>
        </is>
      </c>
      <c r="G685" s="180" t="n"/>
      <c r="H685" s="180" t="inlineStr">
        <is>
          <t>163 X 210</t>
        </is>
      </c>
      <c r="I685" s="180" t="inlineStr">
        <is>
          <t>14 X 18</t>
        </is>
      </c>
      <c r="J685" s="180" t="n">
        <v>4</v>
      </c>
      <c r="K685" s="228" t="n"/>
      <c r="L685" s="14" t="n"/>
      <c r="M685" s="15" t="n">
        <v>1.269736842105263</v>
      </c>
      <c r="N685" s="14" t="n"/>
      <c r="O685" s="16" t="n"/>
    </row>
    <row r="686" ht="15.75" customHeight="1">
      <c r="A686" s="234" t="n"/>
      <c r="B686" s="234" t="n"/>
      <c r="C686" s="231" t="inlineStr">
        <is>
          <t>SCFG Red/Gray</t>
        </is>
      </c>
      <c r="D686" s="166" t="inlineStr">
        <is>
          <t>-</t>
        </is>
      </c>
      <c r="E686" s="166" t="n">
        <v>15</v>
      </c>
      <c r="F686" s="166" t="inlineStr">
        <is>
          <t>Single</t>
        </is>
      </c>
      <c r="G686" s="166" t="n"/>
      <c r="H686" s="166" t="inlineStr">
        <is>
          <t>191 X 241</t>
        </is>
      </c>
      <c r="I686" s="166" t="inlineStr">
        <is>
          <t>17 X 21</t>
        </is>
      </c>
      <c r="J686" s="166" t="n">
        <v>4</v>
      </c>
      <c r="K686" s="230" t="n"/>
      <c r="L686" s="25" t="n"/>
      <c r="M686" s="26" t="n">
        <v>0.3381642512077295</v>
      </c>
      <c r="N686" s="25" t="n"/>
      <c r="O686" s="27" t="n"/>
    </row>
    <row r="687" ht="15" customHeight="1">
      <c r="A687" s="197" t="n">
        <v>9</v>
      </c>
      <c r="B687" s="198" t="inlineStr">
        <is>
          <t>Bull DC 46</t>
        </is>
      </c>
      <c r="C687" s="179" t="inlineStr">
        <is>
          <t>CRPL</t>
        </is>
      </c>
      <c r="D687" s="180" t="inlineStr">
        <is>
          <t>Top</t>
        </is>
      </c>
      <c r="E687" s="180" t="n">
        <v>100</v>
      </c>
      <c r="F687" s="180" t="inlineStr">
        <is>
          <t>Single</t>
        </is>
      </c>
      <c r="G687" s="180" t="n"/>
      <c r="H687" s="180" t="inlineStr">
        <is>
          <t>129 X 407</t>
        </is>
      </c>
      <c r="I687" s="180" t="inlineStr">
        <is>
          <t>16.5 X 22.5</t>
        </is>
      </c>
      <c r="J687" s="180" t="n">
        <v>4</v>
      </c>
      <c r="K687" s="181" t="n"/>
      <c r="L687" s="31" t="n"/>
      <c r="M687" s="32" t="n">
        <v>1.906191369606004</v>
      </c>
      <c r="N687" s="31" t="n"/>
      <c r="O687" s="33" t="n"/>
    </row>
    <row r="688" ht="15" customHeight="1">
      <c r="A688" s="232" t="n"/>
      <c r="B688" s="232" t="n"/>
      <c r="C688" s="235" t="n"/>
      <c r="D688" s="169" t="inlineStr">
        <is>
          <t>Bottom</t>
        </is>
      </c>
      <c r="E688" s="180" t="n">
        <v>70</v>
      </c>
      <c r="F688" s="180" t="inlineStr">
        <is>
          <t>Single</t>
        </is>
      </c>
      <c r="G688" s="180" t="n"/>
      <c r="H688" s="180" t="inlineStr">
        <is>
          <t>129 X 407</t>
        </is>
      </c>
      <c r="I688" s="180" t="inlineStr">
        <is>
          <t>16.5 X 22.5</t>
        </is>
      </c>
      <c r="J688" s="180" t="n">
        <v>4</v>
      </c>
      <c r="K688" s="171" t="n"/>
      <c r="L688" s="14" t="n"/>
      <c r="M688" s="15" t="n">
        <v>1.269736842105263</v>
      </c>
      <c r="N688" s="14" t="n"/>
      <c r="O688" s="16" t="n"/>
    </row>
    <row r="689" ht="15.75" customHeight="1">
      <c r="A689" s="234" t="n"/>
      <c r="B689" s="234" t="n"/>
      <c r="C689" s="231" t="inlineStr">
        <is>
          <t>SCFG Red/Gray</t>
        </is>
      </c>
      <c r="D689" s="166" t="inlineStr">
        <is>
          <t>-</t>
        </is>
      </c>
      <c r="E689" s="166" t="n">
        <v>15</v>
      </c>
      <c r="F689" s="166" t="inlineStr">
        <is>
          <t>Single</t>
        </is>
      </c>
      <c r="G689" s="166" t="n"/>
      <c r="H689" s="166" t="inlineStr">
        <is>
          <t>156 X 438</t>
        </is>
      </c>
      <c r="I689" s="166" t="inlineStr">
        <is>
          <t>18 X 21</t>
        </is>
      </c>
      <c r="J689" s="166" t="n">
        <v>3</v>
      </c>
      <c r="K689" s="176" t="n"/>
      <c r="L689" s="25" t="n"/>
      <c r="M689" s="26" t="n">
        <v>0.3381642512077295</v>
      </c>
      <c r="N689" s="25" t="n"/>
      <c r="O689" s="27" t="n"/>
    </row>
    <row r="690" ht="15" customHeight="1">
      <c r="A690" s="197" t="n">
        <v>10</v>
      </c>
      <c r="B690" s="198" t="inlineStr">
        <is>
          <t>Bull DC 50</t>
        </is>
      </c>
      <c r="C690" s="179" t="inlineStr">
        <is>
          <t>CRPL</t>
        </is>
      </c>
      <c r="D690" s="180" t="inlineStr">
        <is>
          <t>Top</t>
        </is>
      </c>
      <c r="E690" s="180" t="n">
        <v>100</v>
      </c>
      <c r="F690" s="180" t="inlineStr">
        <is>
          <t>Single</t>
        </is>
      </c>
      <c r="G690" s="180" t="n"/>
      <c r="H690" s="180" t="inlineStr">
        <is>
          <t>189 X 557</t>
        </is>
      </c>
      <c r="I690" s="180" t="inlineStr">
        <is>
          <t>16 X 23</t>
        </is>
      </c>
      <c r="J690" s="180" t="n">
        <v>2</v>
      </c>
      <c r="K690" s="181" t="n"/>
      <c r="L690" s="31" t="n"/>
      <c r="M690" s="32" t="n">
        <v>1.906191369606004</v>
      </c>
      <c r="N690" s="31" t="n"/>
      <c r="O690" s="33" t="n"/>
    </row>
    <row r="691" ht="15" customHeight="1">
      <c r="A691" s="232" t="n"/>
      <c r="B691" s="232" t="n"/>
      <c r="C691" s="235" t="n"/>
      <c r="D691" s="169" t="inlineStr">
        <is>
          <t>Bottom</t>
        </is>
      </c>
      <c r="E691" s="180" t="n">
        <v>70</v>
      </c>
      <c r="F691" s="180" t="inlineStr">
        <is>
          <t>Single</t>
        </is>
      </c>
      <c r="G691" s="180" t="n"/>
      <c r="H691" s="180" t="inlineStr">
        <is>
          <t>189 X 557</t>
        </is>
      </c>
      <c r="I691" s="180" t="inlineStr">
        <is>
          <t>16 X 23</t>
        </is>
      </c>
      <c r="J691" s="180" t="n">
        <v>2</v>
      </c>
      <c r="K691" s="171" t="n"/>
      <c r="L691" s="14" t="n"/>
      <c r="M691" s="15" t="n">
        <v>1.269736842105263</v>
      </c>
      <c r="N691" s="14" t="n"/>
      <c r="O691" s="16" t="n"/>
    </row>
    <row r="692" ht="15.75" customHeight="1">
      <c r="A692" s="234" t="n"/>
      <c r="B692" s="234" t="n"/>
      <c r="C692" s="231" t="inlineStr">
        <is>
          <t>SCFG Red/Gray</t>
        </is>
      </c>
      <c r="D692" s="166" t="inlineStr">
        <is>
          <t>-</t>
        </is>
      </c>
      <c r="E692" s="166" t="n">
        <v>15</v>
      </c>
      <c r="F692" s="166" t="inlineStr">
        <is>
          <t>Single</t>
        </is>
      </c>
      <c r="G692" s="166" t="n"/>
      <c r="H692" s="166" t="inlineStr">
        <is>
          <t>216 X 584</t>
        </is>
      </c>
      <c r="I692" s="166" t="inlineStr">
        <is>
          <t>19 X 24</t>
        </is>
      </c>
      <c r="J692" s="166" t="n">
        <v>2</v>
      </c>
      <c r="K692" s="176" t="n"/>
      <c r="L692" s="25" t="n"/>
      <c r="M692" s="26" t="n">
        <v>0.3381642512077295</v>
      </c>
      <c r="N692" s="25" t="n"/>
      <c r="O692" s="27" t="n"/>
    </row>
    <row r="693" ht="15" customHeight="1">
      <c r="A693" s="197" t="n">
        <v>11</v>
      </c>
      <c r="B693" s="198" t="inlineStr">
        <is>
          <t>Bull DC 52</t>
        </is>
      </c>
      <c r="C693" s="179" t="inlineStr">
        <is>
          <t>CRPL</t>
        </is>
      </c>
      <c r="D693" s="180" t="inlineStr">
        <is>
          <t>Top</t>
        </is>
      </c>
      <c r="E693" s="180" t="n">
        <v>100</v>
      </c>
      <c r="F693" s="180" t="inlineStr">
        <is>
          <t>Single</t>
        </is>
      </c>
      <c r="G693" s="180" t="n"/>
      <c r="H693" s="180" t="inlineStr">
        <is>
          <t>242 X 575</t>
        </is>
      </c>
      <c r="I693" s="180" t="inlineStr">
        <is>
          <t>20 X 23</t>
        </is>
      </c>
      <c r="J693" s="180" t="n">
        <v>2</v>
      </c>
      <c r="K693" s="181" t="n"/>
      <c r="L693" s="31" t="n"/>
      <c r="M693" s="32" t="n">
        <v>1.906191369606004</v>
      </c>
      <c r="N693" s="31" t="n"/>
      <c r="O693" s="33" t="n"/>
    </row>
    <row r="694" ht="15" customHeight="1">
      <c r="A694" s="232" t="n"/>
      <c r="B694" s="232" t="n"/>
      <c r="C694" s="235" t="n"/>
      <c r="D694" s="169" t="inlineStr">
        <is>
          <t>Bottom</t>
        </is>
      </c>
      <c r="E694" s="180" t="n">
        <v>70</v>
      </c>
      <c r="F694" s="180" t="inlineStr">
        <is>
          <t>Single</t>
        </is>
      </c>
      <c r="G694" s="180" t="n"/>
      <c r="H694" s="180" t="inlineStr">
        <is>
          <t>242 X 575</t>
        </is>
      </c>
      <c r="I694" s="180" t="inlineStr">
        <is>
          <t>20 X 23</t>
        </is>
      </c>
      <c r="J694" s="180" t="n">
        <v>2</v>
      </c>
      <c r="K694" s="171" t="n"/>
      <c r="L694" s="14" t="n"/>
      <c r="M694" s="15" t="n">
        <v>1.269736842105263</v>
      </c>
      <c r="N694" s="14" t="n"/>
      <c r="O694" s="16" t="n"/>
    </row>
    <row r="695" ht="15.75" customHeight="1">
      <c r="A695" s="234" t="n"/>
      <c r="B695" s="234" t="n"/>
      <c r="C695" s="231" t="inlineStr">
        <is>
          <t>SCFG Red/Gray</t>
        </is>
      </c>
      <c r="D695" s="166" t="inlineStr">
        <is>
          <t>-</t>
        </is>
      </c>
      <c r="E695" s="166" t="n">
        <v>15</v>
      </c>
      <c r="F695" s="166" t="inlineStr">
        <is>
          <t>Single</t>
        </is>
      </c>
      <c r="G695" s="166" t="n"/>
      <c r="H695" s="166" t="inlineStr">
        <is>
          <t>267 X 597</t>
        </is>
      </c>
      <c r="I695" s="166" t="inlineStr">
        <is>
          <t>23 X 24</t>
        </is>
      </c>
      <c r="J695" s="166" t="n">
        <v>2</v>
      </c>
      <c r="K695" s="176" t="n"/>
      <c r="L695" s="25" t="n"/>
      <c r="M695" s="26" t="n">
        <v>0.3381642512077295</v>
      </c>
      <c r="N695" s="25" t="n"/>
      <c r="O695" s="27" t="n"/>
    </row>
    <row r="696" ht="15" customHeight="1">
      <c r="A696" s="211" t="n">
        <v>1</v>
      </c>
      <c r="B696" s="212" t="inlineStr">
        <is>
          <t>Bull DC 80 Tractor</t>
        </is>
      </c>
      <c r="C696" s="179" t="inlineStr">
        <is>
          <t>CRPL</t>
        </is>
      </c>
      <c r="D696" s="180" t="inlineStr">
        <is>
          <t>Top</t>
        </is>
      </c>
      <c r="E696" s="180" t="n">
        <v>100</v>
      </c>
      <c r="F696" s="180" t="inlineStr">
        <is>
          <t>Single</t>
        </is>
      </c>
      <c r="G696" s="180" t="n"/>
      <c r="H696" s="180" t="inlineStr">
        <is>
          <t>117 X 172</t>
        </is>
      </c>
      <c r="I696" s="180" t="inlineStr">
        <is>
          <t>16 X 22</t>
        </is>
      </c>
      <c r="J696" s="180" t="n">
        <v>9</v>
      </c>
      <c r="K696" s="227" t="n"/>
      <c r="L696" s="31" t="n"/>
      <c r="M696" s="32" t="n">
        <v>1.906191369606004</v>
      </c>
      <c r="N696" s="31" t="n"/>
      <c r="O696" s="33" t="n"/>
    </row>
    <row r="697" ht="15" customHeight="1">
      <c r="A697" s="232" t="n"/>
      <c r="B697" s="232" t="n"/>
      <c r="C697" s="235" t="n"/>
      <c r="D697" s="169" t="inlineStr">
        <is>
          <t>Bottom</t>
        </is>
      </c>
      <c r="E697" s="180" t="n">
        <v>70</v>
      </c>
      <c r="F697" s="180" t="inlineStr">
        <is>
          <t>Single</t>
        </is>
      </c>
      <c r="G697" s="180" t="n"/>
      <c r="H697" s="180" t="inlineStr">
        <is>
          <t>117 X 172</t>
        </is>
      </c>
      <c r="I697" s="180" t="inlineStr">
        <is>
          <t>16 X 22</t>
        </is>
      </c>
      <c r="J697" s="180" t="n">
        <v>9</v>
      </c>
      <c r="K697" s="228" t="n"/>
      <c r="L697" s="14" t="n"/>
      <c r="M697" s="15" t="n">
        <v>1.269736842105263</v>
      </c>
      <c r="N697" s="14" t="n"/>
      <c r="O697" s="16" t="n"/>
    </row>
    <row r="698" ht="15.75" customHeight="1">
      <c r="A698" s="234" t="n"/>
      <c r="B698" s="234" t="n"/>
      <c r="C698" s="231" t="inlineStr">
        <is>
          <t>SCFG Red/Gray</t>
        </is>
      </c>
      <c r="D698" s="166" t="inlineStr">
        <is>
          <t>-</t>
        </is>
      </c>
      <c r="E698" s="166" t="n">
        <v>15</v>
      </c>
      <c r="F698" s="166" t="inlineStr">
        <is>
          <t>Single</t>
        </is>
      </c>
      <c r="G698" s="166" t="n"/>
      <c r="H698" s="166" t="inlineStr">
        <is>
          <t>146 X 203</t>
        </is>
      </c>
      <c r="I698" s="166" t="inlineStr">
        <is>
          <t>26 X 26</t>
        </is>
      </c>
      <c r="J698" s="166" t="n">
        <v>12</v>
      </c>
      <c r="K698" s="230" t="n"/>
      <c r="L698" s="25" t="n"/>
      <c r="M698" s="26" t="n">
        <v>0.3381642512077295</v>
      </c>
      <c r="N698" s="25" t="n"/>
      <c r="O698" s="27" t="n"/>
    </row>
    <row r="699" ht="15" customHeight="1">
      <c r="A699" s="197" t="n">
        <v>2</v>
      </c>
      <c r="B699" s="198" t="inlineStr">
        <is>
          <t>Bull DC 82 Tractor</t>
        </is>
      </c>
      <c r="C699" s="184" t="inlineStr">
        <is>
          <t>CRPL</t>
        </is>
      </c>
      <c r="D699" s="180" t="inlineStr">
        <is>
          <t>Top</t>
        </is>
      </c>
      <c r="E699" s="180" t="n">
        <v>100</v>
      </c>
      <c r="F699" s="180" t="inlineStr">
        <is>
          <t>Single</t>
        </is>
      </c>
      <c r="G699" s="180" t="n"/>
      <c r="H699" s="180" t="inlineStr">
        <is>
          <t>159 X 220</t>
        </is>
      </c>
      <c r="I699" s="180" t="inlineStr">
        <is>
          <t>18.5 X 20.5</t>
        </is>
      </c>
      <c r="J699" s="180" t="n">
        <v>6</v>
      </c>
      <c r="K699" s="227" t="n"/>
      <c r="L699" s="31" t="n"/>
      <c r="M699" s="32" t="n">
        <v>1.906191369606004</v>
      </c>
      <c r="N699" s="31" t="n"/>
      <c r="O699" s="33" t="n"/>
    </row>
    <row r="700" ht="15" customHeight="1">
      <c r="A700" s="232" t="n"/>
      <c r="B700" s="232" t="n"/>
      <c r="C700" s="235" t="n"/>
      <c r="D700" s="169" t="inlineStr">
        <is>
          <t>Bottom</t>
        </is>
      </c>
      <c r="E700" s="180" t="n">
        <v>70</v>
      </c>
      <c r="F700" s="180" t="inlineStr">
        <is>
          <t>Single</t>
        </is>
      </c>
      <c r="G700" s="180" t="n"/>
      <c r="H700" s="180" t="inlineStr">
        <is>
          <t>159 X 220</t>
        </is>
      </c>
      <c r="I700" s="180" t="inlineStr">
        <is>
          <t>18.5 X 20.5</t>
        </is>
      </c>
      <c r="J700" s="180" t="n">
        <v>6</v>
      </c>
      <c r="K700" s="228" t="n"/>
      <c r="L700" s="14" t="n"/>
      <c r="M700" s="15" t="n">
        <v>1.269736842105263</v>
      </c>
      <c r="N700" s="14" t="n"/>
      <c r="O700" s="16" t="n"/>
    </row>
    <row r="701" ht="15.75" customHeight="1">
      <c r="A701" s="234" t="n"/>
      <c r="B701" s="234" t="n"/>
      <c r="C701" s="231" t="inlineStr">
        <is>
          <t>SCFG Red/Gray</t>
        </is>
      </c>
      <c r="D701" s="166" t="inlineStr">
        <is>
          <t>-</t>
        </is>
      </c>
      <c r="E701" s="166" t="n">
        <v>15</v>
      </c>
      <c r="F701" s="166" t="inlineStr">
        <is>
          <t>Single</t>
        </is>
      </c>
      <c r="G701" s="166" t="n"/>
      <c r="H701" s="166" t="inlineStr">
        <is>
          <t>187 X 251</t>
        </is>
      </c>
      <c r="I701" s="166" t="inlineStr">
        <is>
          <t>16.5 X 21.5</t>
        </is>
      </c>
      <c r="J701" s="166" t="n">
        <v>4</v>
      </c>
      <c r="K701" s="230" t="n"/>
      <c r="L701" s="25" t="n"/>
      <c r="M701" s="26" t="n">
        <v>0.3381642512077295</v>
      </c>
      <c r="N701" s="25" t="n"/>
      <c r="O701" s="27" t="n"/>
    </row>
    <row r="702" ht="15" customHeight="1">
      <c r="A702" s="197" t="n">
        <v>3</v>
      </c>
      <c r="B702" s="198" t="inlineStr">
        <is>
          <t>Bull DC 84 Tractor</t>
        </is>
      </c>
      <c r="C702" s="184" t="inlineStr">
        <is>
          <t>CRPL</t>
        </is>
      </c>
      <c r="D702" s="180" t="inlineStr">
        <is>
          <t>Top</t>
        </is>
      </c>
      <c r="E702" s="180" t="n">
        <v>100</v>
      </c>
      <c r="F702" s="180" t="inlineStr">
        <is>
          <t>Single</t>
        </is>
      </c>
      <c r="G702" s="180" t="n"/>
      <c r="H702" s="180" t="inlineStr">
        <is>
          <t>183 X 266</t>
        </is>
      </c>
      <c r="I702" s="180" t="inlineStr">
        <is>
          <t>16 X 22</t>
        </is>
      </c>
      <c r="J702" s="180" t="n">
        <v>4</v>
      </c>
      <c r="K702" s="227" t="n"/>
      <c r="L702" s="31" t="n"/>
      <c r="M702" s="32" t="n">
        <v>1.906191369606004</v>
      </c>
      <c r="N702" s="31" t="n"/>
      <c r="O702" s="33" t="n"/>
    </row>
    <row r="703" ht="15" customHeight="1">
      <c r="A703" s="232" t="n"/>
      <c r="B703" s="232" t="n"/>
      <c r="C703" s="235" t="n"/>
      <c r="D703" s="169" t="inlineStr">
        <is>
          <t>Bottom</t>
        </is>
      </c>
      <c r="E703" s="180" t="n">
        <v>70</v>
      </c>
      <c r="F703" s="180" t="inlineStr">
        <is>
          <t>Single</t>
        </is>
      </c>
      <c r="G703" s="180" t="n"/>
      <c r="H703" s="180" t="inlineStr">
        <is>
          <t>183 X 266</t>
        </is>
      </c>
      <c r="I703" s="180" t="inlineStr">
        <is>
          <t>16 X 22</t>
        </is>
      </c>
      <c r="J703" s="180" t="n">
        <v>4</v>
      </c>
      <c r="K703" s="228" t="n"/>
      <c r="L703" s="14" t="n"/>
      <c r="M703" s="15" t="n">
        <v>1.269736842105263</v>
      </c>
      <c r="N703" s="14" t="n"/>
      <c r="O703" s="16" t="n"/>
    </row>
    <row r="704" ht="15.75" customHeight="1">
      <c r="A704" s="234" t="n"/>
      <c r="B704" s="234" t="n"/>
      <c r="C704" s="231" t="inlineStr">
        <is>
          <t>SCFG Red/Gray</t>
        </is>
      </c>
      <c r="D704" s="166" t="inlineStr">
        <is>
          <t>-</t>
        </is>
      </c>
      <c r="E704" s="166" t="n">
        <v>15</v>
      </c>
      <c r="F704" s="166" t="inlineStr">
        <is>
          <t>Single</t>
        </is>
      </c>
      <c r="G704" s="166" t="n"/>
      <c r="H704" s="166" t="inlineStr">
        <is>
          <t>210 X 292</t>
        </is>
      </c>
      <c r="I704" s="166" t="inlineStr">
        <is>
          <t>18 X 25</t>
        </is>
      </c>
      <c r="J704" s="166" t="n">
        <v>4</v>
      </c>
      <c r="K704" s="230" t="n"/>
      <c r="L704" s="25" t="n"/>
      <c r="M704" s="26" t="n">
        <v>0.3381642512077295</v>
      </c>
      <c r="N704" s="25" t="n"/>
      <c r="O704" s="27" t="n"/>
    </row>
    <row r="705" ht="15" customHeight="1">
      <c r="A705" s="197" t="n">
        <v>4</v>
      </c>
      <c r="B705" s="198" t="inlineStr">
        <is>
          <t>Bull DC 86 Tractor</t>
        </is>
      </c>
      <c r="C705" s="184" t="inlineStr">
        <is>
          <t>CRPL</t>
        </is>
      </c>
      <c r="D705" s="180" t="inlineStr">
        <is>
          <t>Top</t>
        </is>
      </c>
      <c r="E705" s="180" t="n">
        <v>100</v>
      </c>
      <c r="F705" s="180" t="inlineStr">
        <is>
          <t>Single</t>
        </is>
      </c>
      <c r="G705" s="180" t="n"/>
      <c r="H705" s="180" t="inlineStr">
        <is>
          <t>221 X 317</t>
        </is>
      </c>
      <c r="I705" s="180" t="inlineStr">
        <is>
          <t>13 X 18.5</t>
        </is>
      </c>
      <c r="J705" s="180" t="n">
        <v>2</v>
      </c>
      <c r="K705" s="227" t="n"/>
      <c r="L705" s="31" t="n"/>
      <c r="M705" s="32" t="n">
        <v>1.906191369606004</v>
      </c>
      <c r="N705" s="31" t="n"/>
      <c r="O705" s="33" t="n"/>
    </row>
    <row r="706" ht="15" customHeight="1">
      <c r="A706" s="232" t="n"/>
      <c r="B706" s="232" t="n"/>
      <c r="C706" s="235" t="n"/>
      <c r="D706" s="169" t="inlineStr">
        <is>
          <t>Bottom</t>
        </is>
      </c>
      <c r="E706" s="180" t="n">
        <v>70</v>
      </c>
      <c r="F706" s="180" t="inlineStr">
        <is>
          <t>Single</t>
        </is>
      </c>
      <c r="G706" s="180" t="n"/>
      <c r="H706" s="180" t="inlineStr">
        <is>
          <t>221 X 317</t>
        </is>
      </c>
      <c r="I706" s="180" t="inlineStr">
        <is>
          <t>13 X 18.5</t>
        </is>
      </c>
      <c r="J706" s="180" t="n">
        <v>2</v>
      </c>
      <c r="K706" s="228" t="n"/>
      <c r="L706" s="14" t="n"/>
      <c r="M706" s="15" t="n">
        <v>1.269736842105263</v>
      </c>
      <c r="N706" s="14" t="n"/>
      <c r="O706" s="16" t="n"/>
    </row>
    <row r="707" ht="15.75" customHeight="1">
      <c r="A707" s="234" t="n"/>
      <c r="B707" s="234" t="n"/>
      <c r="C707" s="231" t="inlineStr">
        <is>
          <t>SCFG Red/Gray</t>
        </is>
      </c>
      <c r="D707" s="166" t="inlineStr">
        <is>
          <t>-</t>
        </is>
      </c>
      <c r="E707" s="166" t="n">
        <v>15</v>
      </c>
      <c r="F707" s="166" t="inlineStr">
        <is>
          <t>Single</t>
        </is>
      </c>
      <c r="G707" s="166" t="n"/>
      <c r="H707" s="166" t="inlineStr">
        <is>
          <t>248 X 349</t>
        </is>
      </c>
      <c r="I707" s="166" t="inlineStr">
        <is>
          <t>14.5 X 21</t>
        </is>
      </c>
      <c r="J707" s="166" t="n">
        <v>2</v>
      </c>
      <c r="K707" s="230" t="n"/>
      <c r="L707" s="25" t="n"/>
      <c r="M707" s="26" t="n">
        <v>0.3381642512077295</v>
      </c>
      <c r="N707" s="25" t="n"/>
      <c r="O707" s="27" t="n"/>
    </row>
    <row r="708" ht="15" customHeight="1">
      <c r="A708" s="197" t="n">
        <v>1</v>
      </c>
      <c r="B708" s="198" t="inlineStr">
        <is>
          <t>Bull CB 24 STS</t>
        </is>
      </c>
      <c r="C708" s="198" t="inlineStr">
        <is>
          <t>CRPL</t>
        </is>
      </c>
      <c r="D708" s="185" t="inlineStr">
        <is>
          <t>Top</t>
        </is>
      </c>
      <c r="E708" s="185" t="n">
        <v>100</v>
      </c>
      <c r="F708" s="185" t="inlineStr">
        <is>
          <t>Single</t>
        </is>
      </c>
      <c r="G708" s="185" t="n"/>
      <c r="H708" s="180" t="inlineStr">
        <is>
          <t>54 X 176</t>
        </is>
      </c>
      <c r="I708" s="180" t="inlineStr">
        <is>
          <t>21 X 22</t>
        </is>
      </c>
      <c r="J708" s="180" t="n">
        <v>24</v>
      </c>
      <c r="K708" s="207" t="n"/>
      <c r="L708" s="72" t="n"/>
      <c r="M708" s="73" t="n">
        <v>1.906191369606004</v>
      </c>
      <c r="N708" s="72" t="n"/>
      <c r="O708" s="74" t="n"/>
    </row>
    <row r="709" ht="15.75" customHeight="1">
      <c r="A709" s="234" t="n"/>
      <c r="B709" s="234" t="n"/>
      <c r="C709" s="234" t="n"/>
      <c r="D709" s="166" t="inlineStr">
        <is>
          <t>Bottom</t>
        </is>
      </c>
      <c r="E709" s="177" t="n">
        <v>70</v>
      </c>
      <c r="F709" s="177" t="inlineStr">
        <is>
          <t>Single</t>
        </is>
      </c>
      <c r="G709" s="177" t="n"/>
      <c r="H709" s="166" t="inlineStr">
        <is>
          <t>54 X 176</t>
        </is>
      </c>
      <c r="I709" s="166" t="inlineStr">
        <is>
          <t>21 X 22</t>
        </is>
      </c>
      <c r="J709" s="166" t="n">
        <v>24</v>
      </c>
      <c r="K709" s="176" t="n"/>
      <c r="L709" s="25" t="n"/>
      <c r="M709" s="26" t="n">
        <v>1.269736842105263</v>
      </c>
      <c r="N709" s="25" t="n"/>
      <c r="O709" s="27" t="n"/>
    </row>
    <row r="710" ht="15" customHeight="1">
      <c r="A710" s="197" t="n">
        <v>2</v>
      </c>
      <c r="B710" s="198" t="inlineStr">
        <is>
          <t>Bull CB 40 STS</t>
        </is>
      </c>
      <c r="C710" s="198" t="inlineStr">
        <is>
          <t>CRPL</t>
        </is>
      </c>
      <c r="D710" s="185" t="inlineStr">
        <is>
          <t>Top</t>
        </is>
      </c>
      <c r="E710" s="185" t="n">
        <v>100</v>
      </c>
      <c r="F710" s="185" t="inlineStr">
        <is>
          <t>Single</t>
        </is>
      </c>
      <c r="G710" s="185" t="n"/>
      <c r="H710" s="180" t="inlineStr">
        <is>
          <t>84 X 179</t>
        </is>
      </c>
      <c r="I710" s="180" t="inlineStr">
        <is>
          <t>23 X 23</t>
        </is>
      </c>
      <c r="J710" s="180" t="n">
        <v>18</v>
      </c>
      <c r="K710" s="207" t="n"/>
      <c r="L710" s="72" t="n"/>
      <c r="M710" s="73" t="n">
        <v>1.906191369606004</v>
      </c>
      <c r="N710" s="72" t="n"/>
      <c r="O710" s="74" t="n"/>
    </row>
    <row r="711" ht="15.75" customHeight="1">
      <c r="A711" s="234" t="n"/>
      <c r="B711" s="234" t="n"/>
      <c r="C711" s="234" t="n"/>
      <c r="D711" s="166" t="inlineStr">
        <is>
          <t>Bottom</t>
        </is>
      </c>
      <c r="E711" s="177" t="n">
        <v>70</v>
      </c>
      <c r="F711" s="177" t="inlineStr">
        <is>
          <t>Single</t>
        </is>
      </c>
      <c r="G711" s="177" t="n"/>
      <c r="H711" s="180" t="inlineStr">
        <is>
          <t>84 X 179</t>
        </is>
      </c>
      <c r="I711" s="180" t="inlineStr">
        <is>
          <t>23 X 23</t>
        </is>
      </c>
      <c r="J711" s="180" t="n">
        <v>18</v>
      </c>
      <c r="K711" s="176" t="n"/>
      <c r="L711" s="25" t="n"/>
      <c r="M711" s="26" t="n">
        <v>1.269736842105263</v>
      </c>
      <c r="N711" s="25" t="n"/>
      <c r="O711" s="27" t="n"/>
    </row>
    <row r="712" ht="15" customHeight="1">
      <c r="A712" s="197" t="n">
        <v>3</v>
      </c>
      <c r="B712" s="198" t="inlineStr">
        <is>
          <t>Bull CB 45 STS</t>
        </is>
      </c>
      <c r="C712" s="198" t="inlineStr">
        <is>
          <t>CRPL</t>
        </is>
      </c>
      <c r="D712" s="185" t="inlineStr">
        <is>
          <t>Top</t>
        </is>
      </c>
      <c r="E712" s="185" t="n">
        <v>100</v>
      </c>
      <c r="F712" s="185" t="inlineStr">
        <is>
          <t>Single</t>
        </is>
      </c>
      <c r="G712" s="185" t="n"/>
      <c r="H712" s="185" t="inlineStr">
        <is>
          <t>163 X 198</t>
        </is>
      </c>
      <c r="I712" s="185" t="inlineStr">
        <is>
          <t>14 X 17</t>
        </is>
      </c>
      <c r="J712" s="185" t="n">
        <v>4</v>
      </c>
      <c r="K712" s="207" t="n"/>
      <c r="L712" s="72" t="n"/>
      <c r="M712" s="73" t="n">
        <v>1.906191369606004</v>
      </c>
      <c r="N712" s="72" t="n"/>
      <c r="O712" s="74" t="n"/>
    </row>
    <row r="713" ht="15.75" customHeight="1">
      <c r="A713" s="234" t="n"/>
      <c r="B713" s="234" t="n"/>
      <c r="C713" s="234" t="n"/>
      <c r="D713" s="166" t="inlineStr">
        <is>
          <t>Bottom</t>
        </is>
      </c>
      <c r="E713" s="177" t="n">
        <v>70</v>
      </c>
      <c r="F713" s="177" t="inlineStr">
        <is>
          <t>Single</t>
        </is>
      </c>
      <c r="G713" s="177" t="n"/>
      <c r="H713" s="177" t="inlineStr">
        <is>
          <t>163 X 198</t>
        </is>
      </c>
      <c r="I713" s="177" t="inlineStr">
        <is>
          <t>14 X 17</t>
        </is>
      </c>
      <c r="J713" s="177" t="n">
        <v>4</v>
      </c>
      <c r="K713" s="176" t="n"/>
      <c r="L713" s="25" t="n"/>
      <c r="M713" s="26" t="n">
        <v>1.269736842105263</v>
      </c>
      <c r="N713" s="25" t="n"/>
      <c r="O713" s="27" t="n"/>
    </row>
    <row r="714" ht="15" customHeight="1">
      <c r="A714" s="197" t="n">
        <v>4</v>
      </c>
      <c r="B714" s="198" t="inlineStr">
        <is>
          <t>Bull CB 55 STS</t>
        </is>
      </c>
      <c r="C714" s="198" t="inlineStr">
        <is>
          <t>CRPL</t>
        </is>
      </c>
      <c r="D714" s="185" t="inlineStr">
        <is>
          <t>Top</t>
        </is>
      </c>
      <c r="E714" s="185" t="n">
        <v>100</v>
      </c>
      <c r="F714" s="185" t="inlineStr">
        <is>
          <t>Single</t>
        </is>
      </c>
      <c r="G714" s="185" t="n"/>
      <c r="H714" s="185" t="inlineStr">
        <is>
          <t>230 X 312</t>
        </is>
      </c>
      <c r="I714" s="185" t="inlineStr">
        <is>
          <t>13 X 19</t>
        </is>
      </c>
      <c r="J714" s="185" t="n">
        <v>2</v>
      </c>
      <c r="K714" s="207" t="n"/>
      <c r="L714" s="72" t="n"/>
      <c r="M714" s="73" t="n">
        <v>1.906191369606004</v>
      </c>
      <c r="N714" s="72" t="n"/>
      <c r="O714" s="74" t="n"/>
    </row>
    <row r="715" ht="15.75" customHeight="1">
      <c r="A715" s="234" t="n"/>
      <c r="B715" s="234" t="n"/>
      <c r="C715" s="234" t="n"/>
      <c r="D715" s="166" t="inlineStr">
        <is>
          <t>Bottom</t>
        </is>
      </c>
      <c r="E715" s="177" t="n">
        <v>70</v>
      </c>
      <c r="F715" s="177" t="inlineStr">
        <is>
          <t>Single</t>
        </is>
      </c>
      <c r="G715" s="177" t="n"/>
      <c r="H715" s="177" t="inlineStr">
        <is>
          <t>230 X 312</t>
        </is>
      </c>
      <c r="I715" s="177" t="inlineStr">
        <is>
          <t>13 X 19</t>
        </is>
      </c>
      <c r="J715" s="177" t="n">
        <v>2</v>
      </c>
      <c r="K715" s="176" t="n"/>
      <c r="L715" s="25" t="n"/>
      <c r="M715" s="26" t="n">
        <v>1.269736842105263</v>
      </c>
      <c r="N715" s="25" t="n"/>
      <c r="O715" s="27" t="n"/>
    </row>
    <row r="716" ht="15" customHeight="1">
      <c r="A716" s="197" t="n">
        <v>5</v>
      </c>
      <c r="B716" s="198" t="inlineStr">
        <is>
          <t>Bull CB 46</t>
        </is>
      </c>
      <c r="C716" s="198" t="inlineStr">
        <is>
          <t>CRPL</t>
        </is>
      </c>
      <c r="D716" s="185" t="inlineStr">
        <is>
          <t>Top</t>
        </is>
      </c>
      <c r="E716" s="185" t="n">
        <v>100</v>
      </c>
      <c r="F716" s="185" t="inlineStr">
        <is>
          <t>Single</t>
        </is>
      </c>
      <c r="G716" s="185" t="n"/>
      <c r="H716" s="185" t="inlineStr">
        <is>
          <t>129 X 407</t>
        </is>
      </c>
      <c r="I716" s="185" t="inlineStr">
        <is>
          <t>16.5 X 22.5</t>
        </is>
      </c>
      <c r="J716" s="185" t="n">
        <v>4</v>
      </c>
      <c r="K716" s="207" t="n"/>
      <c r="L716" s="72" t="n"/>
      <c r="M716" s="73" t="n">
        <v>1.906191369606004</v>
      </c>
      <c r="N716" s="72" t="n"/>
      <c r="O716" s="74" t="n"/>
    </row>
    <row r="717" ht="15.75" customHeight="1">
      <c r="A717" s="234" t="n"/>
      <c r="B717" s="234" t="n"/>
      <c r="C717" s="234" t="n"/>
      <c r="D717" s="166" t="inlineStr">
        <is>
          <t>Bottom</t>
        </is>
      </c>
      <c r="E717" s="177" t="n">
        <v>70</v>
      </c>
      <c r="F717" s="177" t="inlineStr">
        <is>
          <t>Single</t>
        </is>
      </c>
      <c r="G717" s="177" t="n"/>
      <c r="H717" s="177" t="inlineStr">
        <is>
          <t>129 X 407</t>
        </is>
      </c>
      <c r="I717" s="177" t="inlineStr">
        <is>
          <t>16.5 X 22.5</t>
        </is>
      </c>
      <c r="J717" s="177" t="n">
        <v>4</v>
      </c>
      <c r="K717" s="176" t="n"/>
      <c r="L717" s="25" t="n"/>
      <c r="M717" s="26" t="n">
        <v>1.269736842105263</v>
      </c>
      <c r="N717" s="25" t="n"/>
      <c r="O717" s="27" t="n"/>
    </row>
    <row r="718" ht="15" customHeight="1">
      <c r="A718" s="197" t="n">
        <v>6</v>
      </c>
      <c r="B718" s="198" t="inlineStr">
        <is>
          <t>Bull CB 50</t>
        </is>
      </c>
      <c r="C718" s="198" t="inlineStr">
        <is>
          <t>CRPL</t>
        </is>
      </c>
      <c r="D718" s="185" t="inlineStr">
        <is>
          <t>Top</t>
        </is>
      </c>
      <c r="E718" s="185" t="n">
        <v>100</v>
      </c>
      <c r="F718" s="185" t="inlineStr">
        <is>
          <t>Single</t>
        </is>
      </c>
      <c r="G718" s="185" t="n"/>
      <c r="H718" s="185" t="inlineStr">
        <is>
          <t>189 X 557</t>
        </is>
      </c>
      <c r="I718" s="185" t="inlineStr">
        <is>
          <t>16 X 23</t>
        </is>
      </c>
      <c r="J718" s="185" t="n">
        <v>2</v>
      </c>
      <c r="K718" s="207" t="n"/>
      <c r="L718" s="72" t="n"/>
      <c r="M718" s="73" t="n">
        <v>1.906191369606004</v>
      </c>
      <c r="N718" s="72" t="n"/>
      <c r="O718" s="74" t="n"/>
    </row>
    <row r="719" ht="15.75" customHeight="1">
      <c r="A719" s="234" t="n"/>
      <c r="B719" s="234" t="n"/>
      <c r="C719" s="234" t="n"/>
      <c r="D719" s="166" t="inlineStr">
        <is>
          <t>Bottom</t>
        </is>
      </c>
      <c r="E719" s="177" t="n">
        <v>70</v>
      </c>
      <c r="F719" s="177" t="inlineStr">
        <is>
          <t>Single</t>
        </is>
      </c>
      <c r="G719" s="177" t="n"/>
      <c r="H719" s="177" t="inlineStr">
        <is>
          <t>189 X 557</t>
        </is>
      </c>
      <c r="I719" s="177" t="inlineStr">
        <is>
          <t>16 X 23</t>
        </is>
      </c>
      <c r="J719" s="177" t="n">
        <v>2</v>
      </c>
      <c r="K719" s="176" t="n"/>
      <c r="L719" s="25" t="n"/>
      <c r="M719" s="26" t="n">
        <v>1.269736842105263</v>
      </c>
      <c r="N719" s="25" t="n"/>
      <c r="O719" s="27" t="n"/>
    </row>
  </sheetData>
  <mergeCells count="654">
    <mergeCell ref="A660:A662"/>
    <mergeCell ref="C477:C478"/>
    <mergeCell ref="A144:A146"/>
    <mergeCell ref="A573:A575"/>
    <mergeCell ref="A81:A83"/>
    <mergeCell ref="B699:B701"/>
    <mergeCell ref="B555:B557"/>
    <mergeCell ref="B36:B38"/>
    <mergeCell ref="B334:B336"/>
    <mergeCell ref="B394:B396"/>
    <mergeCell ref="B636:B638"/>
    <mergeCell ref="B570:B572"/>
    <mergeCell ref="C114:C115"/>
    <mergeCell ref="A696:A698"/>
    <mergeCell ref="A525:A527"/>
    <mergeCell ref="B271:B273"/>
    <mergeCell ref="B265:B267"/>
    <mergeCell ref="B507:B509"/>
    <mergeCell ref="B165:B167"/>
    <mergeCell ref="B621:B623"/>
    <mergeCell ref="A716:A717"/>
    <mergeCell ref="B202:B204"/>
    <mergeCell ref="C424:C425"/>
    <mergeCell ref="A84:A86"/>
    <mergeCell ref="A355:A357"/>
    <mergeCell ref="C27:C28"/>
    <mergeCell ref="B552:B554"/>
    <mergeCell ref="C513:C514"/>
    <mergeCell ref="A678:A680"/>
    <mergeCell ref="C190:C191"/>
    <mergeCell ref="A457:A459"/>
    <mergeCell ref="A286:A288"/>
    <mergeCell ref="B412:B414"/>
    <mergeCell ref="B120:B122"/>
    <mergeCell ref="B349:B351"/>
    <mergeCell ref="B178:B180"/>
    <mergeCell ref="C427:C428"/>
    <mergeCell ref="A409:A411"/>
    <mergeCell ref="C256:C257"/>
    <mergeCell ref="B451:B453"/>
    <mergeCell ref="A12:A14"/>
    <mergeCell ref="B687:B689"/>
    <mergeCell ref="A175:A177"/>
    <mergeCell ref="C45:C46"/>
    <mergeCell ref="B624:B626"/>
    <mergeCell ref="C343:C344"/>
    <mergeCell ref="C501:C502"/>
    <mergeCell ref="A373:A375"/>
    <mergeCell ref="C693:C694"/>
    <mergeCell ref="A114:A116"/>
    <mergeCell ref="A412:A414"/>
    <mergeCell ref="C630:C631"/>
    <mergeCell ref="B576:B578"/>
    <mergeCell ref="A241:A243"/>
    <mergeCell ref="A648:A650"/>
    <mergeCell ref="C409:C410"/>
    <mergeCell ref="C567:C568"/>
    <mergeCell ref="A501:A503"/>
    <mergeCell ref="A172:A174"/>
    <mergeCell ref="B75:B77"/>
    <mergeCell ref="C51:C52"/>
    <mergeCell ref="C582:C583"/>
    <mergeCell ref="B466:B467"/>
    <mergeCell ref="B102:B104"/>
    <mergeCell ref="B708:B709"/>
    <mergeCell ref="B400:B402"/>
    <mergeCell ref="B642:B644"/>
    <mergeCell ref="B39:B41"/>
    <mergeCell ref="C636:C637"/>
    <mergeCell ref="B337:B339"/>
    <mergeCell ref="A105:A107"/>
    <mergeCell ref="B573:B575"/>
    <mergeCell ref="A292:A294"/>
    <mergeCell ref="A699:A701"/>
    <mergeCell ref="A528:A530"/>
    <mergeCell ref="A307:A309"/>
    <mergeCell ref="C229:C230"/>
    <mergeCell ref="A636:A638"/>
    <mergeCell ref="C489:C490"/>
    <mergeCell ref="A165:A167"/>
    <mergeCell ref="C280:C281"/>
    <mergeCell ref="B226:B228"/>
    <mergeCell ref="C516:C517"/>
    <mergeCell ref="A621:A623"/>
    <mergeCell ref="C84:C85"/>
    <mergeCell ref="C193:C194"/>
    <mergeCell ref="A102:A104"/>
    <mergeCell ref="A400:A402"/>
    <mergeCell ref="A229:A231"/>
    <mergeCell ref="A289:A291"/>
    <mergeCell ref="B355:B357"/>
    <mergeCell ref="B415:B417"/>
    <mergeCell ref="B63:B65"/>
    <mergeCell ref="C36:C37"/>
    <mergeCell ref="B492:B494"/>
    <mergeCell ref="B292:B294"/>
    <mergeCell ref="B286:B288"/>
    <mergeCell ref="A618:A620"/>
    <mergeCell ref="B528:B530"/>
    <mergeCell ref="B690:B692"/>
    <mergeCell ref="B223:B225"/>
    <mergeCell ref="C651:C652"/>
    <mergeCell ref="A178:A180"/>
    <mergeCell ref="C48:C49"/>
    <mergeCell ref="A466:A467"/>
    <mergeCell ref="C346:C347"/>
    <mergeCell ref="A687:A689"/>
    <mergeCell ref="B352:B354"/>
    <mergeCell ref="A120:A122"/>
    <mergeCell ref="C217:C218"/>
    <mergeCell ref="C633:C634"/>
    <mergeCell ref="B579:B581"/>
    <mergeCell ref="C681:C682"/>
    <mergeCell ref="C648:C649"/>
    <mergeCell ref="C448:C449"/>
    <mergeCell ref="C504:C505"/>
    <mergeCell ref="B205:B207"/>
    <mergeCell ref="A33:A35"/>
    <mergeCell ref="C349:C350"/>
    <mergeCell ref="B241:B243"/>
    <mergeCell ref="B403:B405"/>
    <mergeCell ref="B645:B647"/>
    <mergeCell ref="B474:B476"/>
    <mergeCell ref="B501:B503"/>
    <mergeCell ref="C522:C523"/>
    <mergeCell ref="B280:B282"/>
    <mergeCell ref="B169:B171"/>
    <mergeCell ref="B516:B518"/>
    <mergeCell ref="C301:C302"/>
    <mergeCell ref="A615:A617"/>
    <mergeCell ref="C537:C538"/>
    <mergeCell ref="A642:A644"/>
    <mergeCell ref="A464:A465"/>
    <mergeCell ref="A39:A41"/>
    <mergeCell ref="A310:A312"/>
    <mergeCell ref="C232:C233"/>
    <mergeCell ref="A337:A339"/>
    <mergeCell ref="C430:C431"/>
    <mergeCell ref="C588:C589"/>
    <mergeCell ref="C72:C73"/>
    <mergeCell ref="C96:C97"/>
    <mergeCell ref="C603:C604"/>
    <mergeCell ref="A624:A626"/>
    <mergeCell ref="B421:B423"/>
    <mergeCell ref="B60:B62"/>
    <mergeCell ref="B594:B596"/>
    <mergeCell ref="A313:A315"/>
    <mergeCell ref="C436:C437"/>
    <mergeCell ref="A21:A23"/>
    <mergeCell ref="B495:B497"/>
    <mergeCell ref="B289:B291"/>
    <mergeCell ref="A57:A59"/>
    <mergeCell ref="C250:C251"/>
    <mergeCell ref="A657:A659"/>
    <mergeCell ref="C654:C655"/>
    <mergeCell ref="B84:B86"/>
    <mergeCell ref="C510:C511"/>
    <mergeCell ref="C591:C592"/>
    <mergeCell ref="C525:C526"/>
    <mergeCell ref="C214:C215"/>
    <mergeCell ref="A123:A125"/>
    <mergeCell ref="A421:A423"/>
    <mergeCell ref="C226:C227"/>
    <mergeCell ref="C93:C94"/>
    <mergeCell ref="A552:A554"/>
    <mergeCell ref="A24:A26"/>
    <mergeCell ref="B150:B152"/>
    <mergeCell ref="C576:C577"/>
    <mergeCell ref="A352:A354"/>
    <mergeCell ref="C57:C58"/>
    <mergeCell ref="B684:B686"/>
    <mergeCell ref="B513:B515"/>
    <mergeCell ref="B307:B309"/>
    <mergeCell ref="B190:B192"/>
    <mergeCell ref="A639:A641"/>
    <mergeCell ref="B21:B23"/>
    <mergeCell ref="C385:C386"/>
    <mergeCell ref="B208:B210"/>
    <mergeCell ref="B244:B246"/>
    <mergeCell ref="A370:A372"/>
    <mergeCell ref="C69:C70"/>
    <mergeCell ref="A205:A207"/>
    <mergeCell ref="A385:A387"/>
    <mergeCell ref="B606:B608"/>
    <mergeCell ref="B283:B285"/>
    <mergeCell ref="C6:C7"/>
    <mergeCell ref="C111:C112"/>
    <mergeCell ref="B519:B521"/>
    <mergeCell ref="C304:C305"/>
    <mergeCell ref="A238:A240"/>
    <mergeCell ref="C480:C481"/>
    <mergeCell ref="A42:A44"/>
    <mergeCell ref="C540:C541"/>
    <mergeCell ref="A645:A647"/>
    <mergeCell ref="A474:A476"/>
    <mergeCell ref="C702:C703"/>
    <mergeCell ref="C531:C532"/>
    <mergeCell ref="C696:C697"/>
    <mergeCell ref="B397:B399"/>
    <mergeCell ref="B310:B312"/>
    <mergeCell ref="A540:A542"/>
    <mergeCell ref="B126:B128"/>
    <mergeCell ref="B424:B426"/>
    <mergeCell ref="B666:B668"/>
    <mergeCell ref="B138:B140"/>
    <mergeCell ref="B3:B5"/>
    <mergeCell ref="A202:A204"/>
    <mergeCell ref="B301:B303"/>
    <mergeCell ref="A627:A629"/>
    <mergeCell ref="B537:B539"/>
    <mergeCell ref="A663:A665"/>
    <mergeCell ref="B232:B234"/>
    <mergeCell ref="A564:A566"/>
    <mergeCell ref="A442:A444"/>
    <mergeCell ref="A60:A62"/>
    <mergeCell ref="C253:C254"/>
    <mergeCell ref="C597:C598"/>
    <mergeCell ref="A268:A270"/>
    <mergeCell ref="B427:B429"/>
    <mergeCell ref="C534:C535"/>
    <mergeCell ref="C528:C529"/>
    <mergeCell ref="A126:A128"/>
    <mergeCell ref="C319:C320"/>
    <mergeCell ref="A424:A426"/>
    <mergeCell ref="B379:B381"/>
    <mergeCell ref="B718:B719"/>
    <mergeCell ref="C579:C580"/>
    <mergeCell ref="C457:C458"/>
    <mergeCell ref="B87:B89"/>
    <mergeCell ref="B627:B629"/>
    <mergeCell ref="B316:B318"/>
    <mergeCell ref="B543:B545"/>
    <mergeCell ref="C594:C595"/>
    <mergeCell ref="B24:B26"/>
    <mergeCell ref="A63:A65"/>
    <mergeCell ref="A150:A152"/>
    <mergeCell ref="B558:B560"/>
    <mergeCell ref="A684:A686"/>
    <mergeCell ref="A513:A515"/>
    <mergeCell ref="A99:O101"/>
    <mergeCell ref="B51:B53"/>
    <mergeCell ref="C12:C13"/>
    <mergeCell ref="B153:B155"/>
    <mergeCell ref="B591:B593"/>
    <mergeCell ref="C612:C613"/>
    <mergeCell ref="C418:C419"/>
    <mergeCell ref="C247:C248"/>
    <mergeCell ref="C412:C413"/>
    <mergeCell ref="C241:C242"/>
    <mergeCell ref="C483:C484"/>
    <mergeCell ref="A45:A47"/>
    <mergeCell ref="A343:A345"/>
    <mergeCell ref="A477:A479"/>
    <mergeCell ref="A361:O363"/>
    <mergeCell ref="C178:C179"/>
    <mergeCell ref="A87:A89"/>
    <mergeCell ref="B705:B707"/>
    <mergeCell ref="C78:C79"/>
    <mergeCell ref="C718:C719"/>
    <mergeCell ref="B382:B384"/>
    <mergeCell ref="B238:B240"/>
    <mergeCell ref="B42:B44"/>
    <mergeCell ref="C699:C700"/>
    <mergeCell ref="A193:A195"/>
    <mergeCell ref="B229:B231"/>
    <mergeCell ref="B471:B473"/>
    <mergeCell ref="C307:C308"/>
    <mergeCell ref="B253:B255"/>
    <mergeCell ref="A376:A378"/>
    <mergeCell ref="B669:B671"/>
    <mergeCell ref="A397:A399"/>
    <mergeCell ref="A468:A470"/>
    <mergeCell ref="B6:B8"/>
    <mergeCell ref="B448:B450"/>
    <mergeCell ref="B304:B306"/>
    <mergeCell ref="B298:B300"/>
    <mergeCell ref="A630:A632"/>
    <mergeCell ref="B540:B542"/>
    <mergeCell ref="C325:C326"/>
    <mergeCell ref="A666:A668"/>
    <mergeCell ref="C33:C34"/>
    <mergeCell ref="A147:A149"/>
    <mergeCell ref="C340:C341"/>
    <mergeCell ref="A594:A605"/>
    <mergeCell ref="B477:B479"/>
    <mergeCell ref="A445:A447"/>
    <mergeCell ref="C196:C197"/>
    <mergeCell ref="C600:C601"/>
    <mergeCell ref="C394:C395"/>
    <mergeCell ref="B331:B333"/>
    <mergeCell ref="B184:B186"/>
    <mergeCell ref="C433:C434"/>
    <mergeCell ref="B159:B161"/>
    <mergeCell ref="A427:A429"/>
    <mergeCell ref="B268:B270"/>
    <mergeCell ref="B693:B695"/>
    <mergeCell ref="B96:B98"/>
    <mergeCell ref="B90:B92"/>
    <mergeCell ref="B630:B632"/>
    <mergeCell ref="A379:A381"/>
    <mergeCell ref="B27:B29"/>
    <mergeCell ref="A579:A593"/>
    <mergeCell ref="A66:A68"/>
    <mergeCell ref="A522:A524"/>
    <mergeCell ref="A516:A518"/>
    <mergeCell ref="A316:A318"/>
    <mergeCell ref="C15:C16"/>
    <mergeCell ref="C313:C314"/>
    <mergeCell ref="C555:C556"/>
    <mergeCell ref="A331:A333"/>
    <mergeCell ref="C549:C550"/>
    <mergeCell ref="B250:B252"/>
    <mergeCell ref="C30:C31"/>
    <mergeCell ref="C184:C185"/>
    <mergeCell ref="C657:C658"/>
    <mergeCell ref="C486:C487"/>
    <mergeCell ref="B187:B189"/>
    <mergeCell ref="B510:B512"/>
    <mergeCell ref="A72:A74"/>
    <mergeCell ref="B108:B110"/>
    <mergeCell ref="B546:B548"/>
    <mergeCell ref="B564:B566"/>
    <mergeCell ref="C615:C616"/>
    <mergeCell ref="B45:B47"/>
    <mergeCell ref="B343:B345"/>
    <mergeCell ref="C123:C124"/>
    <mergeCell ref="B256:B258"/>
    <mergeCell ref="A705:A707"/>
    <mergeCell ref="B612:B614"/>
    <mergeCell ref="A471:A473"/>
    <mergeCell ref="C105:C106"/>
    <mergeCell ref="C639:C640"/>
    <mergeCell ref="C439:C440"/>
    <mergeCell ref="C710:C711"/>
    <mergeCell ref="C328:C329"/>
    <mergeCell ref="C675:C676"/>
    <mergeCell ref="A669:A671"/>
    <mergeCell ref="A6:A8"/>
    <mergeCell ref="A448:A450"/>
    <mergeCell ref="A277:A279"/>
    <mergeCell ref="C199:C200"/>
    <mergeCell ref="A108:A110"/>
    <mergeCell ref="B259:B261"/>
    <mergeCell ref="B567:B569"/>
    <mergeCell ref="B681:B683"/>
    <mergeCell ref="B211:B213"/>
    <mergeCell ref="B162:B164"/>
    <mergeCell ref="B702:B704"/>
    <mergeCell ref="B696:B698"/>
    <mergeCell ref="B525:B527"/>
    <mergeCell ref="A651:A653"/>
    <mergeCell ref="B561:B563"/>
    <mergeCell ref="A451:A453"/>
    <mergeCell ref="B33:B35"/>
    <mergeCell ref="C54:C55"/>
    <mergeCell ref="A159:A161"/>
    <mergeCell ref="B633:B635"/>
    <mergeCell ref="B498:B500"/>
    <mergeCell ref="A693:A695"/>
    <mergeCell ref="A382:A384"/>
    <mergeCell ref="A96:A98"/>
    <mergeCell ref="B193:B195"/>
    <mergeCell ref="A403:A405"/>
    <mergeCell ref="C621:C622"/>
    <mergeCell ref="C129:C130"/>
    <mergeCell ref="B585:B587"/>
    <mergeCell ref="C400:C401"/>
    <mergeCell ref="C316:C317"/>
    <mergeCell ref="C120:C121"/>
    <mergeCell ref="C552:C553"/>
    <mergeCell ref="C454:C455"/>
    <mergeCell ref="B522:B524"/>
    <mergeCell ref="C60:C61"/>
    <mergeCell ref="C331:C332"/>
    <mergeCell ref="B117:B119"/>
    <mergeCell ref="C714:C715"/>
    <mergeCell ref="B111:B113"/>
    <mergeCell ref="B409:B411"/>
    <mergeCell ref="B651:B653"/>
    <mergeCell ref="B480:B482"/>
    <mergeCell ref="B328:B330"/>
    <mergeCell ref="A606:A608"/>
    <mergeCell ref="B48:B50"/>
    <mergeCell ref="B346:B348"/>
    <mergeCell ref="B175:B177"/>
    <mergeCell ref="A3:A5"/>
    <mergeCell ref="C126:C127"/>
    <mergeCell ref="B582:B584"/>
    <mergeCell ref="A301:A303"/>
    <mergeCell ref="A543:A545"/>
    <mergeCell ref="A537:A539"/>
    <mergeCell ref="C220:C221"/>
    <mergeCell ref="A18:A20"/>
    <mergeCell ref="C334:C335"/>
    <mergeCell ref="C570:C571"/>
    <mergeCell ref="C42:C43"/>
    <mergeCell ref="C642:C643"/>
    <mergeCell ref="C678:C679"/>
    <mergeCell ref="B648:B650"/>
    <mergeCell ref="A612:A614"/>
    <mergeCell ref="C507:C508"/>
    <mergeCell ref="A93:A95"/>
    <mergeCell ref="A111:A113"/>
    <mergeCell ref="B710:B711"/>
    <mergeCell ref="B406:B408"/>
    <mergeCell ref="B66:B68"/>
    <mergeCell ref="C546:C547"/>
    <mergeCell ref="C442:C443"/>
    <mergeCell ref="B277:B279"/>
    <mergeCell ref="B712:B713"/>
    <mergeCell ref="B295:B297"/>
    <mergeCell ref="B105:B107"/>
    <mergeCell ref="B214:B216"/>
    <mergeCell ref="A492:A494"/>
    <mergeCell ref="B639:B641"/>
    <mergeCell ref="A169:A171"/>
    <mergeCell ref="C660:C661"/>
    <mergeCell ref="C39:C40"/>
    <mergeCell ref="A690:A692"/>
    <mergeCell ref="A162:A164"/>
    <mergeCell ref="C355:C356"/>
    <mergeCell ref="A702:A704"/>
    <mergeCell ref="A531:A533"/>
    <mergeCell ref="C391:C392"/>
    <mergeCell ref="C468:C469"/>
    <mergeCell ref="A406:A408"/>
    <mergeCell ref="A235:A237"/>
    <mergeCell ref="B132:B134"/>
    <mergeCell ref="B430:B432"/>
    <mergeCell ref="B588:B590"/>
    <mergeCell ref="C259:C260"/>
    <mergeCell ref="C666:C667"/>
    <mergeCell ref="C495:C496"/>
    <mergeCell ref="B196:B198"/>
    <mergeCell ref="A322:A324"/>
    <mergeCell ref="A558:A560"/>
    <mergeCell ref="B54:B56"/>
    <mergeCell ref="B418:B420"/>
    <mergeCell ref="B114:B116"/>
    <mergeCell ref="C75:C76"/>
    <mergeCell ref="B654:B656"/>
    <mergeCell ref="B483:B485"/>
    <mergeCell ref="B464:B465"/>
    <mergeCell ref="A609:A611"/>
    <mergeCell ref="C561:C562"/>
    <mergeCell ref="A117:A119"/>
    <mergeCell ref="A304:A306"/>
    <mergeCell ref="A546:A548"/>
    <mergeCell ref="A480:A482"/>
    <mergeCell ref="C223:C224"/>
    <mergeCell ref="A328:A330"/>
    <mergeCell ref="A132:A134"/>
    <mergeCell ref="A325:A327"/>
    <mergeCell ref="A430:A432"/>
    <mergeCell ref="A48:A50"/>
    <mergeCell ref="A319:A321"/>
    <mergeCell ref="A561:A563"/>
    <mergeCell ref="C337:C338"/>
    <mergeCell ref="C573:C574"/>
    <mergeCell ref="B445:B447"/>
    <mergeCell ref="C585:C586"/>
    <mergeCell ref="C81:C82"/>
    <mergeCell ref="C352:C353"/>
    <mergeCell ref="B18:B20"/>
    <mergeCell ref="A394:A396"/>
    <mergeCell ref="B672:B674"/>
    <mergeCell ref="B9:B11"/>
    <mergeCell ref="A208:A210"/>
    <mergeCell ref="B69:B71"/>
    <mergeCell ref="B367:B369"/>
    <mergeCell ref="B603:B605"/>
    <mergeCell ref="C445:C446"/>
    <mergeCell ref="A710:A711"/>
    <mergeCell ref="A495:A497"/>
    <mergeCell ref="C63:C64"/>
    <mergeCell ref="A712:A713"/>
    <mergeCell ref="A274:A276"/>
    <mergeCell ref="C663:C664"/>
    <mergeCell ref="B123:B125"/>
    <mergeCell ref="A633:A635"/>
    <mergeCell ref="C705:C706"/>
    <mergeCell ref="A534:A536"/>
    <mergeCell ref="C211:C212"/>
    <mergeCell ref="A15:A17"/>
    <mergeCell ref="B489:B491"/>
    <mergeCell ref="A549:A551"/>
    <mergeCell ref="C471:C472"/>
    <mergeCell ref="B141:B143"/>
    <mergeCell ref="B135:B137"/>
    <mergeCell ref="B433:B435"/>
    <mergeCell ref="B504:B506"/>
    <mergeCell ref="B531:B533"/>
    <mergeCell ref="C66:C67"/>
    <mergeCell ref="B12:B14"/>
    <mergeCell ref="B322:B324"/>
    <mergeCell ref="B72:B74"/>
    <mergeCell ref="C669:C670"/>
    <mergeCell ref="C498:C499"/>
    <mergeCell ref="B199:B201"/>
    <mergeCell ref="B235:B237"/>
    <mergeCell ref="B660:B662"/>
    <mergeCell ref="A196:A198"/>
    <mergeCell ref="B57:B59"/>
    <mergeCell ref="A498:A500"/>
    <mergeCell ref="B597:B599"/>
    <mergeCell ref="B657:B659"/>
    <mergeCell ref="B364:B366"/>
    <mergeCell ref="C618:C619"/>
    <mergeCell ref="B436:B438"/>
    <mergeCell ref="C397:C398"/>
    <mergeCell ref="A418:A420"/>
    <mergeCell ref="A489:A491"/>
    <mergeCell ref="A654:A656"/>
    <mergeCell ref="A483:A485"/>
    <mergeCell ref="A135:A137"/>
    <mergeCell ref="C712:C713"/>
    <mergeCell ref="B609:B611"/>
    <mergeCell ref="A433:A435"/>
    <mergeCell ref="C451:C452"/>
    <mergeCell ref="C687:C688"/>
    <mergeCell ref="B388:B390"/>
    <mergeCell ref="B217:B219"/>
    <mergeCell ref="A199:A201"/>
    <mergeCell ref="C382:C383"/>
    <mergeCell ref="B714:B715"/>
    <mergeCell ref="C624:C625"/>
    <mergeCell ref="B325:B327"/>
    <mergeCell ref="B319:B321"/>
    <mergeCell ref="A280:A282"/>
    <mergeCell ref="B439:B441"/>
    <mergeCell ref="B675:B677"/>
    <mergeCell ref="B716:B717"/>
    <mergeCell ref="B156:B158"/>
    <mergeCell ref="A211:A213"/>
    <mergeCell ref="B370:B372"/>
    <mergeCell ref="A138:A140"/>
    <mergeCell ref="A567:A569"/>
    <mergeCell ref="A672:A674"/>
    <mergeCell ref="A51:A53"/>
    <mergeCell ref="C415:C416"/>
    <mergeCell ref="B385:B387"/>
    <mergeCell ref="A349:A351"/>
    <mergeCell ref="C244:C245"/>
    <mergeCell ref="A346:A348"/>
    <mergeCell ref="A153:A155"/>
    <mergeCell ref="A69:A71"/>
    <mergeCell ref="A340:A342"/>
    <mergeCell ref="A367:A369"/>
    <mergeCell ref="A54:A56"/>
    <mergeCell ref="C181:C182"/>
    <mergeCell ref="C606:C607"/>
    <mergeCell ref="C102:C103"/>
    <mergeCell ref="C87:C88"/>
    <mergeCell ref="C3:C4"/>
    <mergeCell ref="C543:C544"/>
    <mergeCell ref="C310:C311"/>
    <mergeCell ref="A415:A417"/>
    <mergeCell ref="C18:C19"/>
    <mergeCell ref="B274:B276"/>
    <mergeCell ref="C558:C559"/>
    <mergeCell ref="B78:B80"/>
    <mergeCell ref="B376:B378"/>
    <mergeCell ref="B534:B536"/>
    <mergeCell ref="B15:B17"/>
    <mergeCell ref="A718:A719"/>
    <mergeCell ref="B373:B375"/>
    <mergeCell ref="B129:B131"/>
    <mergeCell ref="A504:A506"/>
    <mergeCell ref="B663:B665"/>
    <mergeCell ref="A295:A297"/>
    <mergeCell ref="C684:C685"/>
    <mergeCell ref="B144:B146"/>
    <mergeCell ref="B442:B444"/>
    <mergeCell ref="C21:C22"/>
    <mergeCell ref="B600:B602"/>
    <mergeCell ref="A555:A557"/>
    <mergeCell ref="A244:A267"/>
    <mergeCell ref="C238:C239"/>
    <mergeCell ref="A36:A38"/>
    <mergeCell ref="C474:C475"/>
    <mergeCell ref="A334:A336"/>
    <mergeCell ref="A30:A32"/>
    <mergeCell ref="A570:A572"/>
    <mergeCell ref="C492:C493"/>
    <mergeCell ref="A486:A488"/>
    <mergeCell ref="A364:A366"/>
    <mergeCell ref="B454:B456"/>
    <mergeCell ref="B93:B95"/>
    <mergeCell ref="C690:C691"/>
    <mergeCell ref="C519:C520"/>
    <mergeCell ref="B391:B393"/>
    <mergeCell ref="B220:B222"/>
    <mergeCell ref="B247:B249"/>
    <mergeCell ref="C298:C299"/>
    <mergeCell ref="B262:B264"/>
    <mergeCell ref="A90:A92"/>
    <mergeCell ref="A283:A285"/>
    <mergeCell ref="C406:C407"/>
    <mergeCell ref="A388:A390"/>
    <mergeCell ref="C235:C236"/>
    <mergeCell ref="A519:A521"/>
    <mergeCell ref="B618:B620"/>
    <mergeCell ref="B678:B680"/>
    <mergeCell ref="A27:A29"/>
    <mergeCell ref="B457:B459"/>
    <mergeCell ref="C421:C422"/>
    <mergeCell ref="B313:B315"/>
    <mergeCell ref="A141:A143"/>
    <mergeCell ref="B549:B551"/>
    <mergeCell ref="A439:A441"/>
    <mergeCell ref="A681:A683"/>
    <mergeCell ref="A510:A512"/>
    <mergeCell ref="A675:A677"/>
    <mergeCell ref="B30:B32"/>
    <mergeCell ref="C187:C188"/>
    <mergeCell ref="A156:A158"/>
    <mergeCell ref="C716:C717"/>
    <mergeCell ref="B486:B488"/>
    <mergeCell ref="A714:A715"/>
    <mergeCell ref="C672:C673"/>
    <mergeCell ref="A454:A456"/>
    <mergeCell ref="A708:A709"/>
    <mergeCell ref="C708:C709"/>
    <mergeCell ref="C9:C10"/>
    <mergeCell ref="A391:A393"/>
    <mergeCell ref="C609:C610"/>
    <mergeCell ref="C403:C404"/>
    <mergeCell ref="C645:C646"/>
    <mergeCell ref="C90:C91"/>
    <mergeCell ref="C117:C118"/>
    <mergeCell ref="C388:C389"/>
    <mergeCell ref="B340:B342"/>
    <mergeCell ref="A9:A11"/>
    <mergeCell ref="A232:A234"/>
    <mergeCell ref="B81:B83"/>
    <mergeCell ref="B615:B617"/>
    <mergeCell ref="A576:A578"/>
    <mergeCell ref="B468:B470"/>
    <mergeCell ref="A460:O462"/>
    <mergeCell ref="A78:A80"/>
    <mergeCell ref="A271:A273"/>
    <mergeCell ref="B181:B183"/>
    <mergeCell ref="A75:A77"/>
    <mergeCell ref="A507:A509"/>
    <mergeCell ref="B172:B174"/>
    <mergeCell ref="C627:C628"/>
    <mergeCell ref="A298:A300"/>
    <mergeCell ref="B147:B149"/>
    <mergeCell ref="C108:C109"/>
    <mergeCell ref="C24:C25"/>
    <mergeCell ref="A129:A131"/>
    <mergeCell ref="C322:C323"/>
    <mergeCell ref="C564:C565"/>
    <mergeCell ref="A436:A4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19"/>
  <sheetViews>
    <sheetView workbookViewId="0">
      <selection activeCell="A1" sqref="A1"/>
    </sheetView>
  </sheetViews>
  <sheetFormatPr baseColWidth="8" defaultRowHeight="15"/>
  <cols>
    <col width="7.85546875" customWidth="1" min="1" max="1"/>
    <col width="11.5703125" customWidth="1" min="2" max="2"/>
    <col width="12.7109375" customWidth="1" min="3" max="3"/>
    <col width="9.28515625" customWidth="1" min="4" max="4"/>
    <col width="6.42578125" customWidth="1" min="5" max="5"/>
    <col width="8.5703125" customWidth="1" min="6" max="6"/>
    <col width="20.7109375" customWidth="1" min="7" max="7"/>
    <col width="12.7109375" customWidth="1" min="8" max="8"/>
    <col width="12.5703125" customWidth="1" min="9" max="9"/>
    <col width="6.7109375" customWidth="1" min="10" max="10"/>
    <col width="12.85546875" customWidth="1" min="11" max="11"/>
    <col width="10.7109375" customWidth="1" min="12" max="12"/>
    <col width="6.7109375" customWidth="1" min="13" max="13"/>
    <col width="11.28515625" customWidth="1" min="14" max="14"/>
    <col width="9.85546875" customWidth="1" min="15" max="15"/>
  </cols>
  <sheetData>
    <row r="1" ht="45" customHeight="1">
      <c r="A1" s="164" t="inlineStr">
        <is>
          <t>Sr No</t>
        </is>
      </c>
      <c r="B1" s="164" t="inlineStr">
        <is>
          <t>Item Name</t>
        </is>
      </c>
      <c r="C1" s="164" t="inlineStr">
        <is>
          <t>Compound</t>
        </is>
      </c>
      <c r="D1" s="164" t="inlineStr">
        <is>
          <t>Side</t>
        </is>
      </c>
      <c r="E1" s="164" t="inlineStr">
        <is>
          <t>Thou</t>
        </is>
      </c>
      <c r="F1" s="164" t="inlineStr">
        <is>
          <t>Die Type</t>
        </is>
      </c>
      <c r="G1" s="164" t="inlineStr">
        <is>
          <t>Die Name</t>
        </is>
      </c>
      <c r="H1" s="164" t="inlineStr">
        <is>
          <t>Die Size in MM</t>
        </is>
      </c>
      <c r="I1" s="164" t="inlineStr">
        <is>
          <t>Comp Sheet Size in Inch</t>
        </is>
      </c>
      <c r="J1" s="164" t="inlineStr">
        <is>
          <t>Per sheet item</t>
        </is>
      </c>
      <c r="K1" s="164" t="inlineStr">
        <is>
          <t>order</t>
        </is>
      </c>
      <c r="L1" s="5" t="inlineStr">
        <is>
          <t>Required sheet</t>
        </is>
      </c>
      <c r="M1" s="6" t="inlineStr">
        <is>
          <t>Per sheet Gm</t>
        </is>
      </c>
      <c r="N1" s="6" t="inlineStr">
        <is>
          <t>Per sheet Weight in Gm</t>
        </is>
      </c>
      <c r="O1" s="6" t="inlineStr">
        <is>
          <t>Total kg</t>
        </is>
      </c>
    </row>
    <row r="2" ht="15" customHeight="1">
      <c r="A2" s="165" t="n"/>
      <c r="B2" s="165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5" t="n"/>
      <c r="M2" s="6" t="n"/>
      <c r="N2" s="6" t="n"/>
      <c r="O2" s="6" t="n"/>
    </row>
    <row r="3" ht="17.25" customHeight="1">
      <c r="A3" s="166" t="n">
        <v>1</v>
      </c>
      <c r="B3" s="167" t="inlineStr">
        <is>
          <t>MCX 08</t>
        </is>
      </c>
      <c r="C3" s="168" t="inlineStr">
        <is>
          <t>LVP</t>
        </is>
      </c>
      <c r="D3" s="169" t="inlineStr">
        <is>
          <t>Top</t>
        </is>
      </c>
      <c r="E3" s="169" t="n">
        <v>55</v>
      </c>
      <c r="F3" s="169" t="inlineStr">
        <is>
          <t>Single</t>
        </is>
      </c>
      <c r="G3" s="169" t="inlineStr">
        <is>
          <t>GNR 8 LVP</t>
        </is>
      </c>
      <c r="H3" s="170" t="inlineStr">
        <is>
          <t>35 X 55</t>
        </is>
      </c>
      <c r="I3" s="169" t="inlineStr">
        <is>
          <t>21 X 21</t>
        </is>
      </c>
      <c r="J3" s="169" t="n">
        <v>88</v>
      </c>
      <c r="K3" s="171" t="n"/>
      <c r="L3" s="14" t="n"/>
      <c r="M3" s="15" t="n">
        <v>1.042553191489362</v>
      </c>
      <c r="N3" s="14" t="n"/>
      <c r="O3" s="16" t="n"/>
    </row>
    <row r="4" ht="17.25" customHeight="1">
      <c r="A4" s="232" t="n"/>
      <c r="B4" s="232" t="n"/>
      <c r="C4" s="233" t="n"/>
      <c r="D4" s="169" t="inlineStr">
        <is>
          <t>Bottom</t>
        </is>
      </c>
      <c r="E4" s="169" t="n"/>
      <c r="F4" s="169" t="n"/>
      <c r="G4" s="169" t="n"/>
      <c r="H4" s="169" t="n"/>
      <c r="I4" s="169" t="n"/>
      <c r="J4" s="169" t="n"/>
      <c r="K4" s="171" t="n"/>
      <c r="L4" s="14" t="n"/>
      <c r="M4" s="15" t="e">
        <v>#N/A</v>
      </c>
      <c r="N4" s="14" t="n"/>
      <c r="O4" s="16" t="n"/>
    </row>
    <row r="5" ht="17.25" customHeight="1">
      <c r="A5" s="234" t="n"/>
      <c r="B5" s="234" t="n"/>
      <c r="C5" s="175" t="inlineStr">
        <is>
          <t>SVG</t>
        </is>
      </c>
      <c r="D5" s="166" t="inlineStr">
        <is>
          <t>-</t>
        </is>
      </c>
      <c r="E5" s="166" t="n">
        <v>22</v>
      </c>
      <c r="F5" s="166" t="inlineStr">
        <is>
          <t>Single</t>
        </is>
      </c>
      <c r="G5" s="166" t="inlineStr">
        <is>
          <t>GNR 8 SVG</t>
        </is>
      </c>
      <c r="H5" s="166" t="inlineStr">
        <is>
          <t>45 X 65</t>
        </is>
      </c>
      <c r="I5" s="166" t="inlineStr">
        <is>
          <t>21 X 22</t>
        </is>
      </c>
      <c r="J5" s="166" t="n">
        <v>70</v>
      </c>
      <c r="K5" s="176" t="n"/>
      <c r="L5" s="25" t="n"/>
      <c r="M5" s="26" t="n">
        <v>0.4398148148148148</v>
      </c>
      <c r="N5" s="25" t="n"/>
      <c r="O5" s="27" t="n"/>
    </row>
    <row r="6" ht="17.25" customHeight="1">
      <c r="A6" s="177" t="n">
        <v>2</v>
      </c>
      <c r="B6" s="178" t="inlineStr">
        <is>
          <t>MCX 10</t>
        </is>
      </c>
      <c r="C6" s="179" t="inlineStr">
        <is>
          <t>LVP</t>
        </is>
      </c>
      <c r="D6" s="180" t="inlineStr">
        <is>
          <t>Top</t>
        </is>
      </c>
      <c r="E6" s="180" t="n">
        <v>60</v>
      </c>
      <c r="F6" s="180" t="inlineStr">
        <is>
          <t>Passing</t>
        </is>
      </c>
      <c r="G6" s="180" t="inlineStr">
        <is>
          <t>MCX 10 LVP</t>
        </is>
      </c>
      <c r="H6" s="180" t="inlineStr">
        <is>
          <t>40 X 60</t>
        </is>
      </c>
      <c r="I6" s="180" t="inlineStr">
        <is>
          <t>18.5 X 24</t>
        </is>
      </c>
      <c r="J6" s="180" t="n">
        <v>90</v>
      </c>
      <c r="K6" s="181" t="n"/>
      <c r="L6" s="31" t="n"/>
      <c r="M6" s="32" t="n">
        <v>1.103988603988604</v>
      </c>
      <c r="N6" s="31" t="n"/>
      <c r="O6" s="33" t="n"/>
    </row>
    <row r="7" ht="17.25" customHeight="1">
      <c r="A7" s="232" t="n"/>
      <c r="B7" s="232" t="n"/>
      <c r="C7" s="235" t="n"/>
      <c r="D7" s="169" t="inlineStr">
        <is>
          <t>Bottom</t>
        </is>
      </c>
      <c r="E7" s="169" t="n"/>
      <c r="F7" s="169" t="n"/>
      <c r="G7" s="169" t="n"/>
      <c r="H7" s="169" t="n"/>
      <c r="I7" s="169" t="n"/>
      <c r="J7" s="169" t="n"/>
      <c r="K7" s="181" t="n"/>
      <c r="L7" s="14" t="n"/>
      <c r="M7" s="15" t="e">
        <v>#N/A</v>
      </c>
      <c r="N7" s="14" t="n"/>
      <c r="O7" s="16" t="n"/>
    </row>
    <row r="8" ht="17.25" customHeight="1">
      <c r="A8" s="234" t="n"/>
      <c r="B8" s="234" t="n"/>
      <c r="C8" s="175" t="inlineStr">
        <is>
          <t>SVG</t>
        </is>
      </c>
      <c r="D8" s="166" t="inlineStr">
        <is>
          <t>-</t>
        </is>
      </c>
      <c r="E8" s="166" t="n">
        <v>22</v>
      </c>
      <c r="F8" s="166" t="inlineStr">
        <is>
          <t>Passing</t>
        </is>
      </c>
      <c r="G8" s="166" t="inlineStr">
        <is>
          <t>MCX 10 SVG</t>
        </is>
      </c>
      <c r="H8" s="166" t="inlineStr">
        <is>
          <t>50 X 70</t>
        </is>
      </c>
      <c r="I8" s="166" t="inlineStr">
        <is>
          <t>18.5 X 25</t>
        </is>
      </c>
      <c r="J8" s="166" t="n">
        <v>66</v>
      </c>
      <c r="K8" s="181" t="n"/>
      <c r="L8" s="25" t="n"/>
      <c r="M8" s="26" t="n">
        <v>0.4398148148148148</v>
      </c>
      <c r="N8" s="25" t="n"/>
      <c r="O8" s="27" t="n"/>
    </row>
    <row r="9" ht="15" customHeight="1">
      <c r="A9" s="177" t="n">
        <v>3</v>
      </c>
      <c r="B9" s="178" t="inlineStr">
        <is>
          <t>MCX 12</t>
        </is>
      </c>
      <c r="C9" s="179" t="inlineStr">
        <is>
          <t>LVP</t>
        </is>
      </c>
      <c r="D9" s="180" t="inlineStr">
        <is>
          <t>Top</t>
        </is>
      </c>
      <c r="E9" s="180" t="n">
        <v>60</v>
      </c>
      <c r="F9" s="180" t="inlineStr">
        <is>
          <t>Passing</t>
        </is>
      </c>
      <c r="G9" s="180" t="inlineStr">
        <is>
          <t xml:space="preserve">MCX 12 LVP </t>
        </is>
      </c>
      <c r="H9" s="180" t="inlineStr">
        <is>
          <t>50 X 90</t>
        </is>
      </c>
      <c r="I9" s="180" t="inlineStr">
        <is>
          <t>18.5 X 23.5</t>
        </is>
      </c>
      <c r="J9" s="180" t="n">
        <v>48</v>
      </c>
      <c r="K9" s="181" t="n"/>
      <c r="L9" s="31" t="n"/>
      <c r="M9" s="32" t="n">
        <v>1.103988603988604</v>
      </c>
      <c r="N9" s="31" t="n"/>
      <c r="O9" s="33" t="n"/>
    </row>
    <row r="10" ht="15" customHeight="1">
      <c r="A10" s="232" t="n"/>
      <c r="B10" s="232" t="n"/>
      <c r="C10" s="235" t="n"/>
      <c r="D10" s="169" t="inlineStr">
        <is>
          <t>Bottom</t>
        </is>
      </c>
      <c r="E10" s="169" t="n"/>
      <c r="F10" s="169" t="n"/>
      <c r="G10" s="169" t="n"/>
      <c r="H10" s="169" t="n"/>
      <c r="I10" s="169" t="n"/>
      <c r="J10" s="169" t="n"/>
      <c r="K10" s="171" t="n"/>
      <c r="L10" s="14" t="n"/>
      <c r="M10" s="15" t="e">
        <v>#N/A</v>
      </c>
      <c r="N10" s="14" t="n"/>
      <c r="O10" s="16" t="n"/>
    </row>
    <row r="11" ht="15.75" customHeight="1">
      <c r="A11" s="234" t="n"/>
      <c r="B11" s="234" t="n"/>
      <c r="C11" s="175" t="inlineStr">
        <is>
          <t>SVG</t>
        </is>
      </c>
      <c r="D11" s="166" t="inlineStr">
        <is>
          <t>-</t>
        </is>
      </c>
      <c r="E11" s="166" t="n">
        <v>22</v>
      </c>
      <c r="F11" s="166" t="inlineStr">
        <is>
          <t>Passing</t>
        </is>
      </c>
      <c r="G11" s="166" t="inlineStr">
        <is>
          <t>MCX 12 SVG</t>
        </is>
      </c>
      <c r="H11" s="166" t="inlineStr">
        <is>
          <t>61 X 101</t>
        </is>
      </c>
      <c r="I11" s="166" t="inlineStr">
        <is>
          <t>19 X 21.5</t>
        </is>
      </c>
      <c r="J11" s="166" t="n">
        <v>35</v>
      </c>
      <c r="K11" s="176" t="n"/>
      <c r="L11" s="25" t="n"/>
      <c r="M11" s="26" t="n">
        <v>0.4398148148148148</v>
      </c>
      <c r="N11" s="25" t="n"/>
      <c r="O11" s="27" t="n"/>
    </row>
    <row r="12" ht="15" customHeight="1">
      <c r="A12" s="183" t="n">
        <v>4</v>
      </c>
      <c r="B12" s="178" t="inlineStr">
        <is>
          <t>MCX 14</t>
        </is>
      </c>
      <c r="C12" s="184" t="inlineStr">
        <is>
          <t>LVP</t>
        </is>
      </c>
      <c r="D12" s="180" t="inlineStr">
        <is>
          <t>Top</t>
        </is>
      </c>
      <c r="E12" s="180" t="n">
        <v>60</v>
      </c>
      <c r="F12" s="185" t="inlineStr">
        <is>
          <t>Passing</t>
        </is>
      </c>
      <c r="G12" s="180" t="inlineStr">
        <is>
          <t>MCX 14 LVP</t>
        </is>
      </c>
      <c r="H12" s="180" t="inlineStr">
        <is>
          <t>60 X 114</t>
        </is>
      </c>
      <c r="I12" s="180" t="inlineStr">
        <is>
          <t>19 X 24.5</t>
        </is>
      </c>
      <c r="J12" s="180" t="n">
        <v>35</v>
      </c>
      <c r="K12" s="181" t="n"/>
      <c r="L12" s="31" t="n"/>
      <c r="M12" s="32" t="n">
        <v>1.103988603988604</v>
      </c>
      <c r="N12" s="31" t="n"/>
      <c r="O12" s="33" t="n"/>
    </row>
    <row r="13" ht="15" customHeight="1">
      <c r="A13" s="232" t="n"/>
      <c r="B13" s="232" t="n"/>
      <c r="C13" s="235" t="n"/>
      <c r="D13" s="169" t="inlineStr">
        <is>
          <t>Bottom</t>
        </is>
      </c>
      <c r="E13" s="169" t="n"/>
      <c r="F13" s="180" t="n"/>
      <c r="G13" s="169" t="n"/>
      <c r="H13" s="169" t="n"/>
      <c r="I13" s="169" t="n"/>
      <c r="J13" s="169" t="n"/>
      <c r="K13" s="171" t="n"/>
      <c r="L13" s="14" t="n"/>
      <c r="M13" s="15" t="e">
        <v>#N/A</v>
      </c>
      <c r="N13" s="14" t="n"/>
      <c r="O13" s="16" t="n"/>
    </row>
    <row r="14" ht="15.75" customHeight="1">
      <c r="A14" s="234" t="n"/>
      <c r="B14" s="234" t="n"/>
      <c r="C14" s="175" t="inlineStr">
        <is>
          <t>SVG</t>
        </is>
      </c>
      <c r="D14" s="166" t="inlineStr">
        <is>
          <t>-</t>
        </is>
      </c>
      <c r="E14" s="166" t="n">
        <v>22</v>
      </c>
      <c r="F14" s="166" t="inlineStr">
        <is>
          <t>Passing</t>
        </is>
      </c>
      <c r="G14" s="166" t="inlineStr">
        <is>
          <t>MCX 14 SVG</t>
        </is>
      </c>
      <c r="H14" s="166" t="inlineStr">
        <is>
          <t>70 X 125</t>
        </is>
      </c>
      <c r="I14" s="166" t="inlineStr">
        <is>
          <t>21.5 X 24.5</t>
        </is>
      </c>
      <c r="J14" s="166" t="n">
        <v>32</v>
      </c>
      <c r="K14" s="176" t="n"/>
      <c r="L14" s="25" t="n"/>
      <c r="M14" s="26" t="n">
        <v>0.4398148148148148</v>
      </c>
      <c r="N14" s="25" t="n"/>
      <c r="O14" s="27" t="n"/>
    </row>
    <row r="15" ht="15" customHeight="1">
      <c r="A15" s="186" t="n">
        <v>5</v>
      </c>
      <c r="B15" s="187" t="inlineStr">
        <is>
          <t>MCX 15</t>
        </is>
      </c>
      <c r="C15" s="184" t="inlineStr">
        <is>
          <t>LVP</t>
        </is>
      </c>
      <c r="D15" s="180" t="inlineStr">
        <is>
          <t>Top</t>
        </is>
      </c>
      <c r="E15" s="180" t="n">
        <v>60</v>
      </c>
      <c r="F15" s="185" t="inlineStr">
        <is>
          <t>Passing</t>
        </is>
      </c>
      <c r="G15" s="180" t="inlineStr">
        <is>
          <t>MCX 15 LVP</t>
        </is>
      </c>
      <c r="H15" s="180" t="inlineStr">
        <is>
          <t>61 X 75</t>
        </is>
      </c>
      <c r="I15" s="180" t="inlineStr">
        <is>
          <t>19 X 23</t>
        </is>
      </c>
      <c r="J15" s="180" t="n">
        <v>49</v>
      </c>
      <c r="K15" s="181" t="n"/>
      <c r="L15" s="31" t="n"/>
      <c r="M15" s="32" t="n">
        <v>1.103988603988604</v>
      </c>
      <c r="N15" s="31" t="n"/>
      <c r="O15" s="33" t="n"/>
    </row>
    <row r="16" ht="15" customHeight="1">
      <c r="A16" s="232" t="n"/>
      <c r="B16" s="232" t="n"/>
      <c r="C16" s="235" t="n"/>
      <c r="D16" s="169" t="inlineStr">
        <is>
          <t>Bottom</t>
        </is>
      </c>
      <c r="E16" s="169" t="n"/>
      <c r="F16" s="180" t="n"/>
      <c r="G16" s="169" t="n"/>
      <c r="H16" s="169" t="n"/>
      <c r="I16" s="169" t="n"/>
      <c r="J16" s="169" t="n"/>
      <c r="K16" s="171" t="n"/>
      <c r="L16" s="14" t="n"/>
      <c r="M16" s="15" t="e">
        <v>#N/A</v>
      </c>
      <c r="N16" s="14" t="n"/>
      <c r="O16" s="16" t="n"/>
    </row>
    <row r="17" ht="15.75" customHeight="1">
      <c r="A17" s="234" t="n"/>
      <c r="B17" s="234" t="n"/>
      <c r="C17" s="175" t="inlineStr">
        <is>
          <t>SVG</t>
        </is>
      </c>
      <c r="D17" s="166" t="inlineStr">
        <is>
          <t>-</t>
        </is>
      </c>
      <c r="E17" s="166" t="n">
        <v>22</v>
      </c>
      <c r="F17" s="166" t="inlineStr">
        <is>
          <t>Passing</t>
        </is>
      </c>
      <c r="G17" s="166" t="inlineStr">
        <is>
          <t>MCX 15 SVG</t>
        </is>
      </c>
      <c r="H17" s="166" t="inlineStr">
        <is>
          <t>71 X 85</t>
        </is>
      </c>
      <c r="I17" s="166" t="inlineStr">
        <is>
          <t>18.5 X 22</t>
        </is>
      </c>
      <c r="J17" s="166" t="n">
        <v>36</v>
      </c>
      <c r="K17" s="176" t="n"/>
      <c r="L17" s="25" t="n"/>
      <c r="M17" s="26" t="n">
        <v>0.4398148148148148</v>
      </c>
      <c r="N17" s="25" t="n"/>
      <c r="O17" s="27" t="n"/>
    </row>
    <row r="18" ht="15" customHeight="1">
      <c r="A18" s="186" t="n">
        <v>6</v>
      </c>
      <c r="B18" s="187" t="inlineStr">
        <is>
          <t>MCX 18</t>
        </is>
      </c>
      <c r="C18" s="184" t="inlineStr">
        <is>
          <t>LVP</t>
        </is>
      </c>
      <c r="D18" s="180" t="inlineStr">
        <is>
          <t>Top</t>
        </is>
      </c>
      <c r="E18" s="180" t="n">
        <v>60</v>
      </c>
      <c r="F18" s="185" t="inlineStr">
        <is>
          <t>Single</t>
        </is>
      </c>
      <c r="G18" s="180" t="inlineStr">
        <is>
          <t>GNR 18 LVP</t>
        </is>
      </c>
      <c r="H18" s="180" t="inlineStr">
        <is>
          <t>60 X 86</t>
        </is>
      </c>
      <c r="I18" s="180" t="inlineStr">
        <is>
          <t>23 X 23</t>
        </is>
      </c>
      <c r="J18" s="180" t="n">
        <v>48</v>
      </c>
      <c r="K18" s="181" t="n"/>
      <c r="L18" s="31" t="n"/>
      <c r="M18" s="32" t="n">
        <v>1.103988603988604</v>
      </c>
      <c r="N18" s="31" t="n"/>
      <c r="O18" s="33" t="n"/>
    </row>
    <row r="19" ht="15" customHeight="1">
      <c r="A19" s="232" t="n"/>
      <c r="B19" s="232" t="n"/>
      <c r="C19" s="235" t="n"/>
      <c r="D19" s="169" t="inlineStr">
        <is>
          <t>Bottom</t>
        </is>
      </c>
      <c r="E19" s="169" t="n"/>
      <c r="F19" s="180" t="n"/>
      <c r="G19" s="169" t="n"/>
      <c r="H19" s="169" t="n"/>
      <c r="I19" s="169" t="n"/>
      <c r="J19" s="169" t="n"/>
      <c r="K19" s="171" t="n"/>
      <c r="L19" s="14" t="n"/>
      <c r="M19" s="15" t="e">
        <v>#N/A</v>
      </c>
      <c r="N19" s="14" t="n"/>
      <c r="O19" s="16" t="n"/>
    </row>
    <row r="20" ht="15.75" customHeight="1">
      <c r="A20" s="234" t="n"/>
      <c r="B20" s="234" t="n"/>
      <c r="C20" s="175" t="inlineStr">
        <is>
          <t>SVG</t>
        </is>
      </c>
      <c r="D20" s="166" t="inlineStr">
        <is>
          <t>-</t>
        </is>
      </c>
      <c r="E20" s="166" t="n">
        <v>22</v>
      </c>
      <c r="F20" s="166" t="inlineStr">
        <is>
          <t>Single</t>
        </is>
      </c>
      <c r="G20" s="166" t="inlineStr">
        <is>
          <t>GNR 18 SVG</t>
        </is>
      </c>
      <c r="H20" s="166" t="inlineStr">
        <is>
          <t>71 X 97</t>
        </is>
      </c>
      <c r="I20" s="166" t="inlineStr">
        <is>
          <t>22 X 23</t>
        </is>
      </c>
      <c r="J20" s="166" t="n">
        <v>35</v>
      </c>
      <c r="K20" s="176" t="n"/>
      <c r="L20" s="25" t="n"/>
      <c r="M20" s="26" t="n">
        <v>0.4398148148148148</v>
      </c>
      <c r="N20" s="25" t="n"/>
      <c r="O20" s="27" t="n"/>
    </row>
    <row r="21" ht="15" customHeight="1">
      <c r="A21" s="186" t="n">
        <v>7</v>
      </c>
      <c r="B21" s="187" t="inlineStr">
        <is>
          <t>MCX 20</t>
        </is>
      </c>
      <c r="C21" s="184" t="inlineStr">
        <is>
          <t>LVP</t>
        </is>
      </c>
      <c r="D21" s="180" t="inlineStr">
        <is>
          <t>Top</t>
        </is>
      </c>
      <c r="E21" s="180" t="n">
        <v>60</v>
      </c>
      <c r="F21" s="180" t="inlineStr">
        <is>
          <t>Passing</t>
        </is>
      </c>
      <c r="G21" s="180" t="inlineStr">
        <is>
          <t>MCX 20 LVP</t>
        </is>
      </c>
      <c r="H21" s="180" t="inlineStr">
        <is>
          <t>64 X 90</t>
        </is>
      </c>
      <c r="I21" s="180" t="inlineStr">
        <is>
          <t>17 X 23</t>
        </is>
      </c>
      <c r="J21" s="180" t="n">
        <v>36</v>
      </c>
      <c r="K21" s="181" t="n"/>
      <c r="L21" s="31" t="n"/>
      <c r="M21" s="32" t="n">
        <v>1.103988603988604</v>
      </c>
      <c r="N21" s="31" t="n"/>
      <c r="O21" s="33" t="n"/>
    </row>
    <row r="22" ht="15" customHeight="1">
      <c r="A22" s="232" t="n"/>
      <c r="B22" s="232" t="n"/>
      <c r="C22" s="235" t="n"/>
      <c r="D22" s="169" t="inlineStr">
        <is>
          <t>Bottom</t>
        </is>
      </c>
      <c r="E22" s="169" t="n"/>
      <c r="F22" s="169" t="n"/>
      <c r="G22" s="169" t="n"/>
      <c r="H22" s="169" t="n"/>
      <c r="I22" s="169" t="n"/>
      <c r="J22" s="169" t="n"/>
      <c r="K22" s="171" t="n"/>
      <c r="L22" s="14" t="n"/>
      <c r="M22" s="15" t="e">
        <v>#N/A</v>
      </c>
      <c r="N22" s="14" t="n"/>
      <c r="O22" s="16" t="n"/>
    </row>
    <row r="23" ht="15.75" customHeight="1">
      <c r="A23" s="234" t="n"/>
      <c r="B23" s="234" t="n"/>
      <c r="C23" s="175" t="inlineStr">
        <is>
          <t>SVG</t>
        </is>
      </c>
      <c r="D23" s="166" t="inlineStr">
        <is>
          <t>-</t>
        </is>
      </c>
      <c r="E23" s="166" t="n">
        <v>22</v>
      </c>
      <c r="F23" s="166" t="inlineStr">
        <is>
          <t>Passing</t>
        </is>
      </c>
      <c r="G23" s="166" t="inlineStr">
        <is>
          <t>MCX 20 SVG</t>
        </is>
      </c>
      <c r="H23" s="166" t="inlineStr">
        <is>
          <t>76 X 102</t>
        </is>
      </c>
      <c r="I23" s="166" t="inlineStr">
        <is>
          <t>17 X 22</t>
        </is>
      </c>
      <c r="J23" s="166" t="n">
        <v>25</v>
      </c>
      <c r="K23" s="176" t="n"/>
      <c r="L23" s="25" t="n"/>
      <c r="M23" s="26" t="n">
        <v>0.4398148148148148</v>
      </c>
      <c r="N23" s="25" t="n"/>
      <c r="O23" s="27" t="n"/>
    </row>
    <row r="24" ht="15" customHeight="1">
      <c r="A24" s="186" t="n">
        <v>8</v>
      </c>
      <c r="B24" s="187" t="inlineStr">
        <is>
          <t>MCX 22</t>
        </is>
      </c>
      <c r="C24" s="184" t="inlineStr">
        <is>
          <t>LVP</t>
        </is>
      </c>
      <c r="D24" s="180" t="inlineStr">
        <is>
          <t>Top</t>
        </is>
      </c>
      <c r="E24" s="180" t="n">
        <v>40</v>
      </c>
      <c r="F24" s="180" t="inlineStr">
        <is>
          <t>Single</t>
        </is>
      </c>
      <c r="G24" s="180" t="inlineStr">
        <is>
          <t>MCX 22 LVP</t>
        </is>
      </c>
      <c r="H24" s="180" t="inlineStr">
        <is>
          <t>60 X 140</t>
        </is>
      </c>
      <c r="I24" s="180" t="inlineStr">
        <is>
          <t>20 X 24</t>
        </is>
      </c>
      <c r="J24" s="180" t="n">
        <v>28</v>
      </c>
      <c r="K24" s="181" t="n"/>
      <c r="L24" s="31" t="n"/>
      <c r="M24" s="32" t="n">
        <v>0.6977821913273751</v>
      </c>
      <c r="N24" s="31" t="n"/>
      <c r="O24" s="33" t="n"/>
    </row>
    <row r="25" ht="15" customHeight="1">
      <c r="A25" s="232" t="n"/>
      <c r="B25" s="232" t="n"/>
      <c r="C25" s="235" t="n"/>
      <c r="D25" s="169" t="inlineStr">
        <is>
          <t>Bottom</t>
        </is>
      </c>
      <c r="E25" s="169" t="n">
        <v>40</v>
      </c>
      <c r="F25" s="169" t="inlineStr">
        <is>
          <t>Single</t>
        </is>
      </c>
      <c r="G25" s="180" t="inlineStr">
        <is>
          <t>MCX 22 LVP</t>
        </is>
      </c>
      <c r="H25" s="180" t="inlineStr">
        <is>
          <t>60 X 140</t>
        </is>
      </c>
      <c r="I25" s="180" t="inlineStr">
        <is>
          <t>20 X 24</t>
        </is>
      </c>
      <c r="J25" s="180" t="n">
        <v>28</v>
      </c>
      <c r="K25" s="171" t="n"/>
      <c r="L25" s="14" t="n"/>
      <c r="M25" s="15" t="n">
        <v>0.6977821913273751</v>
      </c>
      <c r="N25" s="14" t="n"/>
      <c r="O25" s="16" t="n"/>
    </row>
    <row r="26" ht="15.75" customHeight="1">
      <c r="A26" s="234" t="n"/>
      <c r="B26" s="234" t="n"/>
      <c r="C26" s="175" t="inlineStr">
        <is>
          <t>SVG</t>
        </is>
      </c>
      <c r="D26" s="166" t="inlineStr">
        <is>
          <t>-</t>
        </is>
      </c>
      <c r="E26" s="166" t="n">
        <v>22</v>
      </c>
      <c r="F26" s="166" t="inlineStr">
        <is>
          <t>Single</t>
        </is>
      </c>
      <c r="G26" s="166" t="inlineStr">
        <is>
          <t>MCX 22 SVG</t>
        </is>
      </c>
      <c r="H26" s="166" t="inlineStr">
        <is>
          <t>74 X 154</t>
        </is>
      </c>
      <c r="I26" s="166" t="inlineStr">
        <is>
          <t>22 X 24</t>
        </is>
      </c>
      <c r="J26" s="166" t="n">
        <v>28</v>
      </c>
      <c r="K26" s="176" t="n"/>
      <c r="L26" s="25" t="n"/>
      <c r="M26" s="26" t="n">
        <v>0.4398148148148148</v>
      </c>
      <c r="N26" s="25" t="n"/>
      <c r="O26" s="27" t="n"/>
    </row>
    <row r="27" ht="15" customHeight="1">
      <c r="A27" s="186" t="n">
        <v>9</v>
      </c>
      <c r="B27" s="187" t="inlineStr">
        <is>
          <t>MCX 24</t>
        </is>
      </c>
      <c r="C27" s="184" t="inlineStr">
        <is>
          <t>LVP</t>
        </is>
      </c>
      <c r="D27" s="180" t="inlineStr">
        <is>
          <t>Top</t>
        </is>
      </c>
      <c r="E27" s="180" t="n">
        <v>40</v>
      </c>
      <c r="F27" s="180" t="inlineStr">
        <is>
          <t>Single</t>
        </is>
      </c>
      <c r="G27" s="180" t="inlineStr">
        <is>
          <t>MCX 24 LVP</t>
        </is>
      </c>
      <c r="H27" s="180" t="inlineStr">
        <is>
          <t>61 X 198</t>
        </is>
      </c>
      <c r="I27" s="180" t="inlineStr">
        <is>
          <t>20 X 25</t>
        </is>
      </c>
      <c r="J27" s="180" t="n">
        <v>21</v>
      </c>
      <c r="K27" s="181" t="n"/>
      <c r="L27" s="31" t="n"/>
      <c r="M27" s="32" t="n">
        <v>0.6977821913273751</v>
      </c>
      <c r="N27" s="31" t="n"/>
      <c r="O27" s="33" t="n"/>
    </row>
    <row r="28" ht="15" customHeight="1">
      <c r="A28" s="232" t="n"/>
      <c r="B28" s="232" t="n"/>
      <c r="C28" s="235" t="n"/>
      <c r="D28" s="169" t="inlineStr">
        <is>
          <t>Bottom</t>
        </is>
      </c>
      <c r="E28" s="169" t="n">
        <v>40</v>
      </c>
      <c r="F28" s="169" t="inlineStr">
        <is>
          <t>Single</t>
        </is>
      </c>
      <c r="G28" s="180" t="inlineStr">
        <is>
          <t>MCX 24 LVP</t>
        </is>
      </c>
      <c r="H28" s="180" t="inlineStr">
        <is>
          <t>61 X 198</t>
        </is>
      </c>
      <c r="I28" s="180" t="inlineStr">
        <is>
          <t>20 X 25</t>
        </is>
      </c>
      <c r="J28" s="180" t="n">
        <v>21</v>
      </c>
      <c r="K28" s="171" t="n"/>
      <c r="L28" s="14" t="n"/>
      <c r="M28" s="15" t="n">
        <v>0.6977821913273751</v>
      </c>
      <c r="N28" s="14" t="n"/>
      <c r="O28" s="16" t="n"/>
    </row>
    <row r="29" ht="15.75" customHeight="1">
      <c r="A29" s="234" t="n"/>
      <c r="B29" s="234" t="n"/>
      <c r="C29" s="175" t="inlineStr">
        <is>
          <t>SVG</t>
        </is>
      </c>
      <c r="D29" s="166" t="inlineStr">
        <is>
          <t>-</t>
        </is>
      </c>
      <c r="E29" s="166" t="n">
        <v>22</v>
      </c>
      <c r="F29" s="166" t="inlineStr">
        <is>
          <t>Single</t>
        </is>
      </c>
      <c r="G29" s="166" t="inlineStr">
        <is>
          <t>MCX 24 SVG</t>
        </is>
      </c>
      <c r="H29" s="166" t="inlineStr">
        <is>
          <t>72 X 212</t>
        </is>
      </c>
      <c r="I29" s="166" t="inlineStr">
        <is>
          <t>20 X 25.5</t>
        </is>
      </c>
      <c r="J29" s="166" t="n">
        <v>18</v>
      </c>
      <c r="K29" s="176" t="n"/>
      <c r="L29" s="25" t="n"/>
      <c r="M29" s="26" t="n">
        <v>0.4398148148148148</v>
      </c>
      <c r="N29" s="25" t="n"/>
      <c r="O29" s="27" t="n"/>
    </row>
    <row r="30" ht="15" customHeight="1">
      <c r="A30" s="186" t="n">
        <v>10</v>
      </c>
      <c r="B30" s="187" t="inlineStr">
        <is>
          <t>MCX 25</t>
        </is>
      </c>
      <c r="C30" s="184" t="inlineStr">
        <is>
          <t>LVP</t>
        </is>
      </c>
      <c r="D30" s="180" t="inlineStr">
        <is>
          <t>Top</t>
        </is>
      </c>
      <c r="E30" s="180" t="n">
        <v>40</v>
      </c>
      <c r="F30" s="180" t="inlineStr">
        <is>
          <t>Single</t>
        </is>
      </c>
      <c r="G30" s="180" t="inlineStr">
        <is>
          <t>TOP MCX 25 LVP</t>
        </is>
      </c>
      <c r="H30" s="180" t="inlineStr">
        <is>
          <t>85 X 98</t>
        </is>
      </c>
      <c r="I30" s="180" t="inlineStr">
        <is>
          <t>22 X 23</t>
        </is>
      </c>
      <c r="J30" s="180" t="n">
        <v>30</v>
      </c>
      <c r="K30" s="181" t="n"/>
      <c r="L30" s="31" t="n"/>
      <c r="M30" s="32" t="n">
        <v>0.6977821913273751</v>
      </c>
      <c r="N30" s="31" t="n"/>
      <c r="O30" s="33" t="n"/>
    </row>
    <row r="31" ht="15" customHeight="1">
      <c r="A31" s="232" t="n"/>
      <c r="B31" s="232" t="n"/>
      <c r="C31" s="235" t="n"/>
      <c r="D31" s="169" t="inlineStr">
        <is>
          <t>Bottom</t>
        </is>
      </c>
      <c r="E31" s="169" t="n">
        <v>40</v>
      </c>
      <c r="F31" s="169" t="inlineStr">
        <is>
          <t>Single</t>
        </is>
      </c>
      <c r="G31" s="169" t="inlineStr">
        <is>
          <t>BOT.MCX 25 LVP</t>
        </is>
      </c>
      <c r="H31" s="169" t="inlineStr">
        <is>
          <t>94 X 108</t>
        </is>
      </c>
      <c r="I31" s="169" t="inlineStr">
        <is>
          <t>21 X 24</t>
        </is>
      </c>
      <c r="J31" s="169" t="n">
        <v>25</v>
      </c>
      <c r="K31" s="171" t="n"/>
      <c r="L31" s="14" t="n"/>
      <c r="M31" s="15" t="n">
        <v>0.6977821913273751</v>
      </c>
      <c r="N31" s="14" t="n"/>
      <c r="O31" s="16" t="n"/>
    </row>
    <row r="32" ht="15.75" customHeight="1">
      <c r="A32" s="234" t="n"/>
      <c r="B32" s="234" t="n"/>
      <c r="C32" s="175" t="inlineStr">
        <is>
          <t>SVG</t>
        </is>
      </c>
      <c r="D32" s="166" t="inlineStr">
        <is>
          <t>-</t>
        </is>
      </c>
      <c r="E32" s="166" t="n">
        <v>22</v>
      </c>
      <c r="F32" s="166" t="inlineStr">
        <is>
          <t>Single</t>
        </is>
      </c>
      <c r="G32" s="166" t="inlineStr">
        <is>
          <t>MCX 25 SVG</t>
        </is>
      </c>
      <c r="H32" s="166" t="inlineStr">
        <is>
          <t>108 X 120</t>
        </is>
      </c>
      <c r="I32" s="166" t="inlineStr">
        <is>
          <t>21 X 24</t>
        </is>
      </c>
      <c r="J32" s="166" t="n">
        <v>20</v>
      </c>
      <c r="K32" s="176" t="n"/>
      <c r="L32" s="25" t="n"/>
      <c r="M32" s="26" t="n">
        <v>0.4398148148148148</v>
      </c>
      <c r="N32" s="25" t="n"/>
      <c r="O32" s="27" t="n"/>
    </row>
    <row r="33" ht="15" customHeight="1">
      <c r="A33" s="186" t="n">
        <v>11</v>
      </c>
      <c r="B33" s="187" t="inlineStr">
        <is>
          <t>MCX 26</t>
        </is>
      </c>
      <c r="C33" s="184" t="inlineStr">
        <is>
          <t>LVP</t>
        </is>
      </c>
      <c r="D33" s="180" t="inlineStr">
        <is>
          <t>Top</t>
        </is>
      </c>
      <c r="E33" s="180" t="n">
        <v>40</v>
      </c>
      <c r="F33" s="180" t="inlineStr">
        <is>
          <t>Single</t>
        </is>
      </c>
      <c r="G33" s="180" t="inlineStr">
        <is>
          <t>MCX 26  LVP</t>
        </is>
      </c>
      <c r="H33" s="180" t="inlineStr">
        <is>
          <t>64 X 248</t>
        </is>
      </c>
      <c r="I33" s="180" t="inlineStr">
        <is>
          <t>21 X 24</t>
        </is>
      </c>
      <c r="J33" s="180" t="n">
        <v>16</v>
      </c>
      <c r="K33" s="181" t="n"/>
      <c r="L33" s="31" t="n"/>
      <c r="M33" s="32" t="n">
        <v>0.6977821913273751</v>
      </c>
      <c r="N33" s="31" t="n"/>
      <c r="O33" s="33" t="n"/>
    </row>
    <row r="34" ht="15" customHeight="1">
      <c r="A34" s="232" t="n"/>
      <c r="B34" s="232" t="n"/>
      <c r="C34" s="235" t="n"/>
      <c r="D34" s="169" t="inlineStr">
        <is>
          <t>Bottom</t>
        </is>
      </c>
      <c r="E34" s="169" t="n">
        <v>40</v>
      </c>
      <c r="F34" s="169" t="inlineStr">
        <is>
          <t>Single</t>
        </is>
      </c>
      <c r="G34" s="180" t="inlineStr">
        <is>
          <t>MCX 26  LVP</t>
        </is>
      </c>
      <c r="H34" s="180" t="inlineStr">
        <is>
          <t>64 X 248</t>
        </is>
      </c>
      <c r="I34" s="180" t="inlineStr">
        <is>
          <t>21 X 24</t>
        </is>
      </c>
      <c r="J34" s="180" t="n">
        <v>16</v>
      </c>
      <c r="K34" s="171" t="n"/>
      <c r="L34" s="14" t="n"/>
      <c r="M34" s="15" t="n">
        <v>0.6977821913273751</v>
      </c>
      <c r="N34" s="14" t="n"/>
      <c r="O34" s="16" t="n"/>
    </row>
    <row r="35" ht="15.75" customHeight="1">
      <c r="A35" s="234" t="n"/>
      <c r="B35" s="234" t="n"/>
      <c r="C35" s="175" t="inlineStr">
        <is>
          <t>SVG</t>
        </is>
      </c>
      <c r="D35" s="166" t="inlineStr">
        <is>
          <t>-</t>
        </is>
      </c>
      <c r="E35" s="166" t="n">
        <v>22</v>
      </c>
      <c r="F35" s="166" t="inlineStr">
        <is>
          <t>Single</t>
        </is>
      </c>
      <c r="G35" s="166" t="inlineStr">
        <is>
          <t>MCX 26 SVG</t>
        </is>
      </c>
      <c r="H35" s="166" t="inlineStr">
        <is>
          <t>76 X 260</t>
        </is>
      </c>
      <c r="I35" s="166" t="inlineStr">
        <is>
          <t>21 X 21.5</t>
        </is>
      </c>
      <c r="J35" s="166" t="n">
        <v>12</v>
      </c>
      <c r="K35" s="176" t="n"/>
      <c r="L35" s="25" t="n"/>
      <c r="M35" s="26" t="n">
        <v>0.4398148148148148</v>
      </c>
      <c r="N35" s="25" t="n"/>
      <c r="O35" s="27" t="n"/>
    </row>
    <row r="36" ht="15" customHeight="1">
      <c r="A36" s="186" t="n">
        <v>12</v>
      </c>
      <c r="B36" s="187" t="inlineStr">
        <is>
          <t>MCX 28</t>
        </is>
      </c>
      <c r="C36" s="184" t="inlineStr">
        <is>
          <t>LVP</t>
        </is>
      </c>
      <c r="D36" s="180" t="inlineStr">
        <is>
          <t>Top</t>
        </is>
      </c>
      <c r="E36" s="180" t="n">
        <v>40</v>
      </c>
      <c r="F36" s="180" t="inlineStr">
        <is>
          <t>Single</t>
        </is>
      </c>
      <c r="G36" s="180" t="inlineStr">
        <is>
          <t>MCX 28 LVP</t>
        </is>
      </c>
      <c r="H36" s="180" t="inlineStr">
        <is>
          <t>58 X 311</t>
        </is>
      </c>
      <c r="I36" s="180" t="inlineStr">
        <is>
          <t>22.5 X 25.5</t>
        </is>
      </c>
      <c r="J36" s="180" t="n">
        <v>16</v>
      </c>
      <c r="K36" s="181" t="n"/>
      <c r="L36" s="31" t="n"/>
      <c r="M36" s="32" t="n">
        <v>0.6977821913273751</v>
      </c>
      <c r="N36" s="31" t="n"/>
      <c r="O36" s="33" t="n"/>
    </row>
    <row r="37" ht="15" customHeight="1">
      <c r="A37" s="232" t="n"/>
      <c r="B37" s="232" t="n"/>
      <c r="C37" s="235" t="n"/>
      <c r="D37" s="169" t="inlineStr">
        <is>
          <t>Bottom</t>
        </is>
      </c>
      <c r="E37" s="169" t="n">
        <v>40</v>
      </c>
      <c r="F37" s="169" t="inlineStr">
        <is>
          <t>Single</t>
        </is>
      </c>
      <c r="G37" s="180" t="inlineStr">
        <is>
          <t>MCX 28 LVP</t>
        </is>
      </c>
      <c r="H37" s="180" t="inlineStr">
        <is>
          <t>58 X 311</t>
        </is>
      </c>
      <c r="I37" s="180" t="inlineStr">
        <is>
          <t>22.5 X 25.5</t>
        </is>
      </c>
      <c r="J37" s="169" t="n">
        <v>16</v>
      </c>
      <c r="K37" s="171" t="n"/>
      <c r="L37" s="14" t="n"/>
      <c r="M37" s="15" t="n">
        <v>0.6977821913273751</v>
      </c>
      <c r="N37" s="14" t="n"/>
      <c r="O37" s="16" t="n"/>
    </row>
    <row r="38" ht="15.75" customHeight="1">
      <c r="A38" s="234" t="n"/>
      <c r="B38" s="234" t="n"/>
      <c r="C38" s="175" t="inlineStr">
        <is>
          <t>SVG</t>
        </is>
      </c>
      <c r="D38" s="166" t="inlineStr">
        <is>
          <t>-</t>
        </is>
      </c>
      <c r="E38" s="166" t="n">
        <v>22</v>
      </c>
      <c r="F38" s="166" t="inlineStr">
        <is>
          <t>Single</t>
        </is>
      </c>
      <c r="G38" s="166" t="inlineStr">
        <is>
          <t>MCX 28 SVG</t>
        </is>
      </c>
      <c r="H38" s="166" t="inlineStr">
        <is>
          <t>69 X 323</t>
        </is>
      </c>
      <c r="I38" s="166" t="inlineStr">
        <is>
          <t>23 X 26.5</t>
        </is>
      </c>
      <c r="J38" s="166" t="n">
        <v>14</v>
      </c>
      <c r="K38" s="176" t="n"/>
      <c r="L38" s="25" t="n"/>
      <c r="M38" s="26" t="n">
        <v>0.4398148148148148</v>
      </c>
      <c r="N38" s="25" t="n"/>
      <c r="O38" s="27" t="n"/>
    </row>
    <row r="39" ht="15" customHeight="1">
      <c r="A39" s="186" t="n">
        <v>13</v>
      </c>
      <c r="B39" s="187" t="inlineStr">
        <is>
          <t>MCX 35</t>
        </is>
      </c>
      <c r="C39" s="184" t="inlineStr">
        <is>
          <t>LVP</t>
        </is>
      </c>
      <c r="D39" s="180" t="inlineStr">
        <is>
          <t>Top</t>
        </is>
      </c>
      <c r="E39" s="180" t="n">
        <v>40</v>
      </c>
      <c r="F39" s="180" t="inlineStr">
        <is>
          <t>Single</t>
        </is>
      </c>
      <c r="G39" s="180" t="inlineStr">
        <is>
          <t>MCX 35 TOP LVP</t>
        </is>
      </c>
      <c r="H39" s="180" t="inlineStr">
        <is>
          <t>94 X 145</t>
        </is>
      </c>
      <c r="I39" s="180" t="inlineStr">
        <is>
          <t>21 X 25</t>
        </is>
      </c>
      <c r="J39" s="180" t="n">
        <v>20</v>
      </c>
      <c r="K39" s="181" t="n"/>
      <c r="L39" s="31" t="n"/>
      <c r="M39" s="32" t="n">
        <v>0.6977821913273751</v>
      </c>
      <c r="N39" s="31" t="n"/>
      <c r="O39" s="33" t="n"/>
    </row>
    <row r="40" ht="15" customHeight="1">
      <c r="A40" s="232" t="n"/>
      <c r="B40" s="232" t="n"/>
      <c r="C40" s="235" t="n"/>
      <c r="D40" s="169" t="inlineStr">
        <is>
          <t>Bottom</t>
        </is>
      </c>
      <c r="E40" s="169" t="n">
        <v>40</v>
      </c>
      <c r="F40" s="169" t="inlineStr">
        <is>
          <t>Single</t>
        </is>
      </c>
      <c r="G40" s="169" t="inlineStr">
        <is>
          <t>MCX 35 BOT. LVP</t>
        </is>
      </c>
      <c r="H40" s="169" t="inlineStr">
        <is>
          <t>104 X 154</t>
        </is>
      </c>
      <c r="I40" s="169" t="inlineStr">
        <is>
          <t>20 X 23</t>
        </is>
      </c>
      <c r="J40" s="169" t="n">
        <v>15</v>
      </c>
      <c r="K40" s="171" t="n"/>
      <c r="L40" s="14" t="n"/>
      <c r="M40" s="15" t="n">
        <v>0.6977821913273751</v>
      </c>
      <c r="N40" s="14" t="n"/>
      <c r="O40" s="16" t="n"/>
    </row>
    <row r="41" ht="15.75" customHeight="1">
      <c r="A41" s="234" t="n"/>
      <c r="B41" s="234" t="n"/>
      <c r="C41" s="175" t="inlineStr">
        <is>
          <t>SVG</t>
        </is>
      </c>
      <c r="D41" s="166" t="inlineStr">
        <is>
          <t>-</t>
        </is>
      </c>
      <c r="E41" s="166" t="n">
        <v>22</v>
      </c>
      <c r="F41" s="166" t="inlineStr">
        <is>
          <t>Single</t>
        </is>
      </c>
      <c r="G41" s="166" t="inlineStr">
        <is>
          <t>MCX 35 SVG</t>
        </is>
      </c>
      <c r="H41" s="166" t="inlineStr">
        <is>
          <t>121 X 172</t>
        </is>
      </c>
      <c r="I41" s="166" t="inlineStr">
        <is>
          <t>21 X 22</t>
        </is>
      </c>
      <c r="J41" s="166" t="n">
        <v>12</v>
      </c>
      <c r="K41" s="176" t="n"/>
      <c r="L41" s="25" t="n"/>
      <c r="M41" s="26" t="n">
        <v>0.4398148148148148</v>
      </c>
      <c r="N41" s="25" t="n"/>
      <c r="O41" s="27" t="n"/>
    </row>
    <row r="42" ht="15" customHeight="1">
      <c r="A42" s="186" t="n">
        <v>14</v>
      </c>
      <c r="B42" s="187" t="inlineStr">
        <is>
          <t>MCX 40</t>
        </is>
      </c>
      <c r="C42" s="184" t="inlineStr">
        <is>
          <t>LVP</t>
        </is>
      </c>
      <c r="D42" s="180" t="inlineStr">
        <is>
          <t>Top</t>
        </is>
      </c>
      <c r="E42" s="180" t="n">
        <v>60</v>
      </c>
      <c r="F42" s="180" t="inlineStr">
        <is>
          <t>Single</t>
        </is>
      </c>
      <c r="G42" s="180" t="inlineStr">
        <is>
          <t>MCX 40 TOP LVP</t>
        </is>
      </c>
      <c r="H42" s="180" t="inlineStr">
        <is>
          <t>76 X 168</t>
        </is>
      </c>
      <c r="I42" s="180" t="inlineStr">
        <is>
          <t>21 X 24</t>
        </is>
      </c>
      <c r="J42" s="180" t="n">
        <v>21</v>
      </c>
      <c r="K42" s="181" t="n"/>
      <c r="L42" s="31" t="n"/>
      <c r="M42" s="32" t="n">
        <v>1.103988603988604</v>
      </c>
      <c r="N42" s="31" t="n"/>
      <c r="O42" s="33" t="n"/>
    </row>
    <row r="43" ht="15" customHeight="1">
      <c r="A43" s="232" t="n"/>
      <c r="B43" s="232" t="n"/>
      <c r="C43" s="235" t="n"/>
      <c r="D43" s="169" t="inlineStr">
        <is>
          <t>Bottom</t>
        </is>
      </c>
      <c r="E43" s="169" t="n">
        <v>40</v>
      </c>
      <c r="F43" s="169" t="inlineStr">
        <is>
          <t>Single</t>
        </is>
      </c>
      <c r="G43" s="169" t="inlineStr">
        <is>
          <t>MCX 40 BOT LVP</t>
        </is>
      </c>
      <c r="H43" s="169" t="inlineStr">
        <is>
          <t>88 X 178</t>
        </is>
      </c>
      <c r="I43" s="169" t="inlineStr">
        <is>
          <t>20 X 23</t>
        </is>
      </c>
      <c r="J43" s="169" t="n">
        <v>15</v>
      </c>
      <c r="K43" s="181" t="n"/>
      <c r="L43" s="14" t="n"/>
      <c r="M43" s="15" t="n">
        <v>0.6977821913273751</v>
      </c>
      <c r="N43" s="14" t="n"/>
      <c r="O43" s="16" t="n"/>
    </row>
    <row r="44" ht="15.75" customHeight="1">
      <c r="A44" s="234" t="n"/>
      <c r="B44" s="234" t="n"/>
      <c r="C44" s="175" t="inlineStr">
        <is>
          <t>SVG</t>
        </is>
      </c>
      <c r="D44" s="166" t="inlineStr">
        <is>
          <t>-</t>
        </is>
      </c>
      <c r="E44" s="166" t="n">
        <v>22</v>
      </c>
      <c r="F44" s="166" t="inlineStr">
        <is>
          <t>Single</t>
        </is>
      </c>
      <c r="G44" s="166" t="inlineStr">
        <is>
          <t>MCX 40 SVG</t>
        </is>
      </c>
      <c r="H44" s="166" t="inlineStr">
        <is>
          <t>103 X 193</t>
        </is>
      </c>
      <c r="I44" s="166" t="inlineStr">
        <is>
          <t>18 X 24</t>
        </is>
      </c>
      <c r="J44" s="166" t="n">
        <v>12</v>
      </c>
      <c r="K44" s="176" t="n"/>
      <c r="L44" s="25" t="n"/>
      <c r="M44" s="26" t="n">
        <v>0.4398148148148148</v>
      </c>
      <c r="N44" s="25" t="n"/>
      <c r="O44" s="27" t="n"/>
    </row>
    <row r="45" ht="15" customHeight="1">
      <c r="A45" s="186" t="n">
        <v>15</v>
      </c>
      <c r="B45" s="187" t="inlineStr">
        <is>
          <t>MCX 42</t>
        </is>
      </c>
      <c r="C45" s="184" t="inlineStr">
        <is>
          <t>LVP</t>
        </is>
      </c>
      <c r="D45" s="180" t="inlineStr">
        <is>
          <t>Top</t>
        </is>
      </c>
      <c r="E45" s="180" t="n">
        <v>60</v>
      </c>
      <c r="F45" s="180" t="inlineStr">
        <is>
          <t>Single</t>
        </is>
      </c>
      <c r="G45" s="180" t="inlineStr">
        <is>
          <t>MCX 42 TOP LVP</t>
        </is>
      </c>
      <c r="H45" s="180" t="inlineStr">
        <is>
          <t>100 X 227</t>
        </is>
      </c>
      <c r="I45" s="180" t="inlineStr">
        <is>
          <t>19 X 22</t>
        </is>
      </c>
      <c r="J45" s="180" t="n">
        <v>10</v>
      </c>
      <c r="K45" s="181" t="n"/>
      <c r="L45" s="31" t="n"/>
      <c r="M45" s="32" t="n">
        <v>1.103988603988604</v>
      </c>
      <c r="N45" s="31" t="n"/>
      <c r="O45" s="33" t="n"/>
    </row>
    <row r="46" ht="15" customHeight="1">
      <c r="A46" s="232" t="n"/>
      <c r="B46" s="232" t="n"/>
      <c r="C46" s="235" t="n"/>
      <c r="D46" s="169" t="inlineStr">
        <is>
          <t>Bottom</t>
        </is>
      </c>
      <c r="E46" s="169" t="n">
        <v>40</v>
      </c>
      <c r="F46" s="169" t="inlineStr">
        <is>
          <t>Single</t>
        </is>
      </c>
      <c r="G46" s="169" t="inlineStr">
        <is>
          <t>MCX 42 BOT LVP</t>
        </is>
      </c>
      <c r="H46" s="169" t="inlineStr">
        <is>
          <t>108 X 236</t>
        </is>
      </c>
      <c r="I46" s="169" t="inlineStr">
        <is>
          <t>20 X 24</t>
        </is>
      </c>
      <c r="J46" s="169" t="n">
        <v>10</v>
      </c>
      <c r="K46" s="171" t="n"/>
      <c r="L46" s="14" t="n"/>
      <c r="M46" s="15" t="n">
        <v>0.6977821913273751</v>
      </c>
      <c r="N46" s="14" t="n"/>
      <c r="O46" s="16" t="n"/>
    </row>
    <row r="47" ht="15.75" customHeight="1">
      <c r="A47" s="234" t="n"/>
      <c r="B47" s="234" t="n"/>
      <c r="C47" s="175" t="inlineStr">
        <is>
          <t>SVG</t>
        </is>
      </c>
      <c r="D47" s="166" t="inlineStr">
        <is>
          <t>-</t>
        </is>
      </c>
      <c r="E47" s="166" t="n">
        <v>22</v>
      </c>
      <c r="F47" s="166" t="inlineStr">
        <is>
          <t>Single</t>
        </is>
      </c>
      <c r="G47" s="166" t="inlineStr">
        <is>
          <t>MCX 42 SVG</t>
        </is>
      </c>
      <c r="H47" s="166" t="inlineStr">
        <is>
          <t>122 X 252</t>
        </is>
      </c>
      <c r="I47" s="166" t="inlineStr">
        <is>
          <t>21 X 21</t>
        </is>
      </c>
      <c r="J47" s="166" t="n">
        <v>8</v>
      </c>
      <c r="K47" s="176" t="n"/>
      <c r="L47" s="25" t="n"/>
      <c r="M47" s="26" t="n">
        <v>0.4398148148148148</v>
      </c>
      <c r="N47" s="25" t="n"/>
      <c r="O47" s="27" t="n"/>
    </row>
    <row r="48" ht="15" customHeight="1">
      <c r="A48" s="186" t="n">
        <v>16</v>
      </c>
      <c r="B48" s="187" t="inlineStr">
        <is>
          <t>MCX 44</t>
        </is>
      </c>
      <c r="C48" s="184" t="inlineStr">
        <is>
          <t>LVP</t>
        </is>
      </c>
      <c r="D48" s="180" t="inlineStr">
        <is>
          <t>Top</t>
        </is>
      </c>
      <c r="E48" s="180" t="n">
        <v>60</v>
      </c>
      <c r="F48" s="180" t="inlineStr">
        <is>
          <t>Single</t>
        </is>
      </c>
      <c r="G48" s="180" t="inlineStr">
        <is>
          <t>MCX 44 TOP LVP</t>
        </is>
      </c>
      <c r="H48" s="180" t="inlineStr">
        <is>
          <t>100 X 308</t>
        </is>
      </c>
      <c r="I48" s="180" t="inlineStr">
        <is>
          <t>18 X 25</t>
        </is>
      </c>
      <c r="J48" s="180" t="n">
        <v>8</v>
      </c>
      <c r="K48" s="181" t="n"/>
      <c r="L48" s="31" t="n"/>
      <c r="M48" s="32" t="n">
        <v>1.103988603988604</v>
      </c>
      <c r="N48" s="31" t="n"/>
      <c r="O48" s="33" t="n"/>
    </row>
    <row r="49" ht="15" customHeight="1">
      <c r="A49" s="232" t="n"/>
      <c r="B49" s="232" t="n"/>
      <c r="C49" s="235" t="n"/>
      <c r="D49" s="169" t="inlineStr">
        <is>
          <t>Bottom</t>
        </is>
      </c>
      <c r="E49" s="169" t="n">
        <v>40</v>
      </c>
      <c r="F49" s="169" t="inlineStr">
        <is>
          <t>Single</t>
        </is>
      </c>
      <c r="G49" s="169" t="inlineStr">
        <is>
          <t>MCX 44 BOT LVP</t>
        </is>
      </c>
      <c r="H49" s="169" t="inlineStr">
        <is>
          <t>110 X 320</t>
        </is>
      </c>
      <c r="I49" s="169" t="inlineStr">
        <is>
          <t>24 X 26</t>
        </is>
      </c>
      <c r="J49" s="169" t="n">
        <v>10</v>
      </c>
      <c r="K49" s="171" t="n"/>
      <c r="L49" s="14" t="n"/>
      <c r="M49" s="15" t="n">
        <v>0.6977821913273751</v>
      </c>
      <c r="N49" s="14" t="n"/>
      <c r="O49" s="16" t="n"/>
    </row>
    <row r="50" ht="15.75" customHeight="1">
      <c r="A50" s="234" t="n"/>
      <c r="B50" s="234" t="n"/>
      <c r="C50" s="175" t="inlineStr">
        <is>
          <t>SVG</t>
        </is>
      </c>
      <c r="D50" s="166" t="inlineStr">
        <is>
          <t>-</t>
        </is>
      </c>
      <c r="E50" s="166" t="n">
        <v>22</v>
      </c>
      <c r="F50" s="166" t="inlineStr">
        <is>
          <t>Single</t>
        </is>
      </c>
      <c r="G50" s="166" t="inlineStr">
        <is>
          <t>MCX 44 SVG</t>
        </is>
      </c>
      <c r="H50" s="166" t="inlineStr">
        <is>
          <t>125 X 338</t>
        </is>
      </c>
      <c r="I50" s="166" t="inlineStr">
        <is>
          <t>14 X 22</t>
        </is>
      </c>
      <c r="J50" s="166" t="n">
        <v>4</v>
      </c>
      <c r="K50" s="176" t="n"/>
      <c r="L50" s="25" t="n"/>
      <c r="M50" s="26" t="n">
        <v>0.4398148148148148</v>
      </c>
      <c r="N50" s="25" t="n"/>
      <c r="O50" s="27" t="n"/>
    </row>
    <row r="51" ht="15" customHeight="1">
      <c r="A51" s="186" t="n">
        <v>16</v>
      </c>
      <c r="B51" s="187" t="inlineStr">
        <is>
          <t>MCX 45</t>
        </is>
      </c>
      <c r="C51" s="184" t="inlineStr">
        <is>
          <t>LVP</t>
        </is>
      </c>
      <c r="D51" s="180" t="inlineStr">
        <is>
          <t>Top</t>
        </is>
      </c>
      <c r="E51" s="180" t="n">
        <v>40</v>
      </c>
      <c r="F51" s="180" t="inlineStr">
        <is>
          <t>Single</t>
        </is>
      </c>
      <c r="G51" s="180" t="inlineStr">
        <is>
          <t>MCX 45 LVP</t>
        </is>
      </c>
      <c r="H51" s="180" t="inlineStr">
        <is>
          <t>158 X 209</t>
        </is>
      </c>
      <c r="I51" s="180" t="inlineStr">
        <is>
          <t>18 X 20</t>
        </is>
      </c>
      <c r="J51" s="180" t="n">
        <v>6</v>
      </c>
      <c r="K51" s="181" t="n"/>
      <c r="L51" s="31" t="n"/>
      <c r="M51" s="32" t="n">
        <v>0.6977821913273751</v>
      </c>
      <c r="N51" s="31" t="n"/>
      <c r="O51" s="33" t="n"/>
    </row>
    <row r="52" ht="15" customHeight="1">
      <c r="A52" s="232" t="n"/>
      <c r="B52" s="232" t="n"/>
      <c r="C52" s="235" t="n"/>
      <c r="D52" s="169" t="inlineStr">
        <is>
          <t>Bottom</t>
        </is>
      </c>
      <c r="E52" s="169" t="n">
        <v>40</v>
      </c>
      <c r="F52" s="169" t="inlineStr">
        <is>
          <t>Single</t>
        </is>
      </c>
      <c r="G52" s="180" t="inlineStr">
        <is>
          <t>MCX 45 LVP</t>
        </is>
      </c>
      <c r="H52" s="180" t="inlineStr">
        <is>
          <t>158 X 209</t>
        </is>
      </c>
      <c r="I52" s="180" t="inlineStr">
        <is>
          <t>18 X 20</t>
        </is>
      </c>
      <c r="J52" s="180" t="n">
        <v>6</v>
      </c>
      <c r="K52" s="171" t="n"/>
      <c r="L52" s="14" t="n"/>
      <c r="M52" s="15" t="n">
        <v>0.6977821913273751</v>
      </c>
      <c r="N52" s="14" t="n"/>
      <c r="O52" s="16" t="n"/>
    </row>
    <row r="53" ht="15.75" customHeight="1">
      <c r="A53" s="234" t="n"/>
      <c r="B53" s="234" t="n"/>
      <c r="C53" s="175" t="inlineStr">
        <is>
          <t>SVG</t>
        </is>
      </c>
      <c r="D53" s="166" t="inlineStr">
        <is>
          <t>-</t>
        </is>
      </c>
      <c r="E53" s="166" t="n">
        <v>22</v>
      </c>
      <c r="F53" s="166" t="inlineStr">
        <is>
          <t>Single</t>
        </is>
      </c>
      <c r="G53" s="166" t="inlineStr">
        <is>
          <t>MCX 45 SVG</t>
        </is>
      </c>
      <c r="H53" s="166" t="inlineStr">
        <is>
          <t>171 X 222</t>
        </is>
      </c>
      <c r="I53" s="166" t="inlineStr">
        <is>
          <t>18.5 X 22</t>
        </is>
      </c>
      <c r="J53" s="166" t="n">
        <v>6</v>
      </c>
      <c r="K53" s="176" t="n"/>
      <c r="L53" s="25" t="n"/>
      <c r="M53" s="26" t="n">
        <v>0.4398148148148148</v>
      </c>
      <c r="N53" s="25" t="n"/>
      <c r="O53" s="27" t="n"/>
    </row>
    <row r="54" ht="15" customHeight="1">
      <c r="A54" s="186" t="n">
        <v>17</v>
      </c>
      <c r="B54" s="187" t="inlineStr">
        <is>
          <t>MCX 46</t>
        </is>
      </c>
      <c r="C54" s="184" t="inlineStr">
        <is>
          <t>LVP</t>
        </is>
      </c>
      <c r="D54" s="180" t="inlineStr">
        <is>
          <t>Top</t>
        </is>
      </c>
      <c r="E54" s="180" t="n">
        <v>40</v>
      </c>
      <c r="F54" s="180" t="inlineStr">
        <is>
          <t>Single</t>
        </is>
      </c>
      <c r="G54" s="180" t="inlineStr">
        <is>
          <t>MCX 46 LVP</t>
        </is>
      </c>
      <c r="H54" s="180" t="inlineStr">
        <is>
          <t>128 X 389</t>
        </is>
      </c>
      <c r="I54" s="180" t="inlineStr">
        <is>
          <t>16 X 23</t>
        </is>
      </c>
      <c r="J54" s="180" t="n">
        <v>4</v>
      </c>
      <c r="K54" s="181" t="n"/>
      <c r="L54" s="31" t="n"/>
      <c r="M54" s="32" t="n">
        <v>0.6977821913273751</v>
      </c>
      <c r="N54" s="31" t="n"/>
      <c r="O54" s="33" t="n"/>
    </row>
    <row r="55" ht="15" customHeight="1">
      <c r="A55" s="232" t="n"/>
      <c r="B55" s="232" t="n"/>
      <c r="C55" s="235" t="n"/>
      <c r="D55" s="169" t="inlineStr">
        <is>
          <t>Bottom</t>
        </is>
      </c>
      <c r="E55" s="169" t="n">
        <v>40</v>
      </c>
      <c r="F55" s="169" t="inlineStr">
        <is>
          <t>Single</t>
        </is>
      </c>
      <c r="G55" s="180" t="inlineStr">
        <is>
          <t>MCX 46 LVP</t>
        </is>
      </c>
      <c r="H55" s="180" t="inlineStr">
        <is>
          <t>128 X 389</t>
        </is>
      </c>
      <c r="I55" s="180" t="inlineStr">
        <is>
          <t>16 X 23</t>
        </is>
      </c>
      <c r="J55" s="180" t="n">
        <v>4</v>
      </c>
      <c r="K55" s="171" t="n"/>
      <c r="L55" s="14" t="n"/>
      <c r="M55" s="15" t="n">
        <v>0.6977821913273751</v>
      </c>
      <c r="N55" s="14" t="n"/>
      <c r="O55" s="16" t="n"/>
    </row>
    <row r="56" ht="15.75" customHeight="1">
      <c r="A56" s="234" t="n"/>
      <c r="B56" s="234" t="n"/>
      <c r="C56" s="175" t="inlineStr">
        <is>
          <t>SVG</t>
        </is>
      </c>
      <c r="D56" s="166" t="inlineStr">
        <is>
          <t>-</t>
        </is>
      </c>
      <c r="E56" s="166" t="n">
        <v>22</v>
      </c>
      <c r="F56" s="166" t="inlineStr">
        <is>
          <t>Single</t>
        </is>
      </c>
      <c r="G56" s="166" t="inlineStr">
        <is>
          <t>MCX 46 SVG</t>
        </is>
      </c>
      <c r="H56" s="166" t="inlineStr">
        <is>
          <t>145 X 406</t>
        </is>
      </c>
      <c r="I56" s="166" t="inlineStr">
        <is>
          <t>17 X 25</t>
        </is>
      </c>
      <c r="J56" s="166" t="n">
        <v>4</v>
      </c>
      <c r="K56" s="176" t="n"/>
      <c r="L56" s="25" t="n"/>
      <c r="M56" s="26" t="n">
        <v>0.4398148148148148</v>
      </c>
      <c r="N56" s="25" t="n"/>
      <c r="O56" s="27" t="n"/>
    </row>
    <row r="57" ht="15" customHeight="1">
      <c r="A57" s="186" t="n">
        <v>18</v>
      </c>
      <c r="B57" s="187" t="inlineStr">
        <is>
          <t>MCX 50</t>
        </is>
      </c>
      <c r="C57" s="184" t="inlineStr">
        <is>
          <t>LVP</t>
        </is>
      </c>
      <c r="D57" s="180" t="inlineStr">
        <is>
          <t>Top</t>
        </is>
      </c>
      <c r="E57" s="180" t="n">
        <v>60</v>
      </c>
      <c r="F57" s="180" t="inlineStr">
        <is>
          <t>Single</t>
        </is>
      </c>
      <c r="G57" s="180" t="inlineStr">
        <is>
          <t>MCX 50 LVP</t>
        </is>
      </c>
      <c r="H57" s="180" t="inlineStr">
        <is>
          <t>178 X 539</t>
        </is>
      </c>
      <c r="I57" s="180" t="inlineStr">
        <is>
          <t>22 X 23</t>
        </is>
      </c>
      <c r="J57" s="180" t="n">
        <v>3</v>
      </c>
      <c r="K57" s="181" t="n"/>
      <c r="L57" s="31" t="n"/>
      <c r="M57" s="32" t="n">
        <v>1.103988603988604</v>
      </c>
      <c r="N57" s="31" t="n"/>
      <c r="O57" s="33" t="n"/>
    </row>
    <row r="58" ht="15" customHeight="1">
      <c r="A58" s="232" t="n"/>
      <c r="B58" s="232" t="n"/>
      <c r="C58" s="235" t="n"/>
      <c r="D58" s="169" t="inlineStr">
        <is>
          <t>Bottom</t>
        </is>
      </c>
      <c r="E58" s="169" t="n">
        <v>40</v>
      </c>
      <c r="F58" s="169" t="inlineStr">
        <is>
          <t>Single</t>
        </is>
      </c>
      <c r="G58" s="180" t="inlineStr">
        <is>
          <t>MCX 50 LVP</t>
        </is>
      </c>
      <c r="H58" s="180" t="inlineStr">
        <is>
          <t>178 X 539</t>
        </is>
      </c>
      <c r="I58" s="180" t="inlineStr">
        <is>
          <t>22 X 23</t>
        </is>
      </c>
      <c r="J58" s="180" t="n">
        <v>3</v>
      </c>
      <c r="K58" s="171" t="n"/>
      <c r="L58" s="14" t="n"/>
      <c r="M58" s="15" t="n">
        <v>0.6977821913273751</v>
      </c>
      <c r="N58" s="14" t="n"/>
      <c r="O58" s="16" t="n"/>
    </row>
    <row r="59" ht="15.75" customHeight="1">
      <c r="A59" s="234" t="n"/>
      <c r="B59" s="234" t="n"/>
      <c r="C59" s="175" t="inlineStr">
        <is>
          <t>SVG</t>
        </is>
      </c>
      <c r="D59" s="166" t="inlineStr">
        <is>
          <t>-</t>
        </is>
      </c>
      <c r="E59" s="166" t="n">
        <v>22</v>
      </c>
      <c r="F59" s="166" t="inlineStr">
        <is>
          <t>Single</t>
        </is>
      </c>
      <c r="G59" s="166" t="inlineStr">
        <is>
          <t>MCX 50 SVG</t>
        </is>
      </c>
      <c r="H59" s="166" t="inlineStr">
        <is>
          <t>196 X 558</t>
        </is>
      </c>
      <c r="I59" s="166" t="inlineStr">
        <is>
          <t>22.5 X 25</t>
        </is>
      </c>
      <c r="J59" s="166" t="n">
        <v>3</v>
      </c>
      <c r="K59" s="176" t="n"/>
      <c r="L59" s="25" t="n"/>
      <c r="M59" s="26" t="n">
        <v>0.4398148148148148</v>
      </c>
      <c r="N59" s="25" t="n"/>
      <c r="O59" s="27" t="n"/>
    </row>
    <row r="60" ht="15" customHeight="1">
      <c r="A60" s="186" t="n">
        <v>19</v>
      </c>
      <c r="B60" s="187" t="inlineStr">
        <is>
          <t>MCX 52</t>
        </is>
      </c>
      <c r="C60" s="184" t="inlineStr">
        <is>
          <t>LVP</t>
        </is>
      </c>
      <c r="D60" s="180" t="inlineStr">
        <is>
          <t>Top</t>
        </is>
      </c>
      <c r="E60" s="180" t="n">
        <v>60</v>
      </c>
      <c r="F60" s="180" t="inlineStr">
        <is>
          <t>Single</t>
        </is>
      </c>
      <c r="G60" s="180" t="inlineStr">
        <is>
          <t>MCX 52/54 LVP</t>
        </is>
      </c>
      <c r="H60" s="180" t="inlineStr">
        <is>
          <t>240 X 559</t>
        </is>
      </c>
      <c r="I60" s="180" t="inlineStr">
        <is>
          <t>22 X 23</t>
        </is>
      </c>
      <c r="J60" s="180" t="n">
        <v>2</v>
      </c>
      <c r="K60" s="181" t="n"/>
      <c r="L60" s="31" t="n"/>
      <c r="M60" s="32" t="n">
        <v>1.103988603988604</v>
      </c>
      <c r="N60" s="31" t="n"/>
      <c r="O60" s="33" t="n"/>
    </row>
    <row r="61" ht="15" customHeight="1">
      <c r="A61" s="232" t="n"/>
      <c r="B61" s="232" t="n"/>
      <c r="C61" s="235" t="n"/>
      <c r="D61" s="169" t="inlineStr">
        <is>
          <t>Bottom</t>
        </is>
      </c>
      <c r="E61" s="169" t="n">
        <v>40</v>
      </c>
      <c r="F61" s="169" t="inlineStr">
        <is>
          <t>Single</t>
        </is>
      </c>
      <c r="G61" s="180" t="inlineStr">
        <is>
          <t>MCX 52/54 LVP</t>
        </is>
      </c>
      <c r="H61" s="180" t="inlineStr">
        <is>
          <t>240 X 559</t>
        </is>
      </c>
      <c r="I61" s="180" t="inlineStr">
        <is>
          <t>22 X 23</t>
        </is>
      </c>
      <c r="J61" s="180" t="n">
        <v>2</v>
      </c>
      <c r="K61" s="171" t="n"/>
      <c r="L61" s="14" t="n"/>
      <c r="M61" s="15" t="n">
        <v>0.6977821913273751</v>
      </c>
      <c r="N61" s="14" t="n"/>
      <c r="O61" s="16" t="n"/>
    </row>
    <row r="62" ht="15.75" customHeight="1">
      <c r="A62" s="234" t="n"/>
      <c r="B62" s="234" t="n"/>
      <c r="C62" s="175" t="inlineStr">
        <is>
          <t>SVG</t>
        </is>
      </c>
      <c r="D62" s="166" t="inlineStr">
        <is>
          <t>-</t>
        </is>
      </c>
      <c r="E62" s="166" t="n">
        <v>22</v>
      </c>
      <c r="F62" s="166" t="inlineStr">
        <is>
          <t>Single</t>
        </is>
      </c>
      <c r="G62" s="166" t="inlineStr">
        <is>
          <t>MCX 52/54 SVG</t>
        </is>
      </c>
      <c r="H62" s="166" t="inlineStr">
        <is>
          <t>258 X 577</t>
        </is>
      </c>
      <c r="I62" s="166" t="inlineStr">
        <is>
          <t>21 X 22.5</t>
        </is>
      </c>
      <c r="J62" s="166" t="n">
        <v>2</v>
      </c>
      <c r="K62" s="176" t="n"/>
      <c r="L62" s="25" t="n"/>
      <c r="M62" s="26" t="n">
        <v>0.4398148148148148</v>
      </c>
      <c r="N62" s="25" t="n"/>
      <c r="O62" s="27" t="n"/>
    </row>
    <row r="63" ht="15" customHeight="1">
      <c r="A63" s="186" t="n">
        <v>20</v>
      </c>
      <c r="B63" s="187" t="inlineStr">
        <is>
          <t>MCX 54</t>
        </is>
      </c>
      <c r="C63" s="184" t="inlineStr">
        <is>
          <t>LVP</t>
        </is>
      </c>
      <c r="D63" s="180" t="inlineStr">
        <is>
          <t>Top</t>
        </is>
      </c>
      <c r="E63" s="180" t="n">
        <v>60</v>
      </c>
      <c r="F63" s="180" t="inlineStr">
        <is>
          <t>Single</t>
        </is>
      </c>
      <c r="G63" s="180" t="inlineStr">
        <is>
          <t>MCX 52/54 LVP</t>
        </is>
      </c>
      <c r="H63" s="180" t="inlineStr">
        <is>
          <t>240 X 559</t>
        </is>
      </c>
      <c r="I63" s="180" t="inlineStr">
        <is>
          <t>22 X 23</t>
        </is>
      </c>
      <c r="J63" s="180" t="n">
        <v>2</v>
      </c>
      <c r="K63" s="181" t="n"/>
      <c r="L63" s="31" t="n"/>
      <c r="M63" s="32" t="n">
        <v>1.103988603988604</v>
      </c>
      <c r="N63" s="31" t="n"/>
      <c r="O63" s="33" t="n"/>
    </row>
    <row r="64" ht="15" customHeight="1">
      <c r="A64" s="232" t="n"/>
      <c r="B64" s="232" t="n"/>
      <c r="C64" s="235" t="n"/>
      <c r="D64" s="169" t="inlineStr">
        <is>
          <t>Bottom</t>
        </is>
      </c>
      <c r="E64" s="169" t="n">
        <v>40</v>
      </c>
      <c r="F64" s="169" t="inlineStr">
        <is>
          <t>Single</t>
        </is>
      </c>
      <c r="G64" s="180" t="inlineStr">
        <is>
          <t>MCX 52/54 LVP</t>
        </is>
      </c>
      <c r="H64" s="180" t="inlineStr">
        <is>
          <t>240 X 559</t>
        </is>
      </c>
      <c r="I64" s="180" t="inlineStr">
        <is>
          <t>22 X 23</t>
        </is>
      </c>
      <c r="J64" s="180" t="n">
        <v>2</v>
      </c>
      <c r="K64" s="171" t="n"/>
      <c r="L64" s="14" t="n"/>
      <c r="M64" s="15" t="n">
        <v>0.6977821913273751</v>
      </c>
      <c r="N64" s="14" t="n"/>
      <c r="O64" s="16" t="n"/>
    </row>
    <row r="65" ht="15.75" customHeight="1">
      <c r="A65" s="234" t="n"/>
      <c r="B65" s="234" t="n"/>
      <c r="C65" s="175" t="inlineStr">
        <is>
          <t>SVG</t>
        </is>
      </c>
      <c r="D65" s="166" t="inlineStr">
        <is>
          <t>-</t>
        </is>
      </c>
      <c r="E65" s="166" t="n">
        <v>22</v>
      </c>
      <c r="F65" s="166" t="inlineStr">
        <is>
          <t>Single</t>
        </is>
      </c>
      <c r="G65" s="166" t="inlineStr">
        <is>
          <t>MCX 52/54 SVG</t>
        </is>
      </c>
      <c r="H65" s="166" t="inlineStr">
        <is>
          <t>258 X 577</t>
        </is>
      </c>
      <c r="I65" s="166" t="inlineStr">
        <is>
          <t>21 X 22.5</t>
        </is>
      </c>
      <c r="J65" s="166" t="n">
        <v>2</v>
      </c>
      <c r="K65" s="176" t="n"/>
      <c r="L65" s="25" t="n"/>
      <c r="M65" s="26" t="n">
        <v>0.4398148148148148</v>
      </c>
      <c r="N65" s="25" t="n"/>
      <c r="O65" s="27" t="n"/>
    </row>
    <row r="66" ht="15" customHeight="1">
      <c r="A66" s="186" t="n">
        <v>21</v>
      </c>
      <c r="B66" s="187" t="inlineStr">
        <is>
          <t>MCX 55</t>
        </is>
      </c>
      <c r="C66" s="184" t="inlineStr">
        <is>
          <t>LVP</t>
        </is>
      </c>
      <c r="D66" s="180" t="inlineStr">
        <is>
          <t>Top</t>
        </is>
      </c>
      <c r="E66" s="180" t="n">
        <v>60</v>
      </c>
      <c r="F66" s="180" t="inlineStr">
        <is>
          <t>Single</t>
        </is>
      </c>
      <c r="G66" s="180" t="inlineStr">
        <is>
          <t>MCX 55 LVP</t>
        </is>
      </c>
      <c r="H66" s="180" t="inlineStr">
        <is>
          <t>237 X 308</t>
        </is>
      </c>
      <c r="I66" s="180" t="inlineStr">
        <is>
          <t>20 X 25</t>
        </is>
      </c>
      <c r="J66" s="180" t="n">
        <v>4</v>
      </c>
      <c r="K66" s="181" t="n"/>
      <c r="L66" s="31" t="n"/>
      <c r="M66" s="32" t="n">
        <v>1.103988603988604</v>
      </c>
      <c r="N66" s="31" t="n"/>
      <c r="O66" s="33" t="n"/>
    </row>
    <row r="67" ht="15" customHeight="1">
      <c r="A67" s="232" t="n"/>
      <c r="B67" s="232" t="n"/>
      <c r="C67" s="235" t="n"/>
      <c r="D67" s="169" t="inlineStr">
        <is>
          <t>Bottom</t>
        </is>
      </c>
      <c r="E67" s="169" t="n">
        <v>40</v>
      </c>
      <c r="F67" s="169" t="inlineStr">
        <is>
          <t>Single</t>
        </is>
      </c>
      <c r="G67" s="180" t="inlineStr">
        <is>
          <t>MCX 55 LVP</t>
        </is>
      </c>
      <c r="H67" s="180" t="inlineStr">
        <is>
          <t>237 X 308</t>
        </is>
      </c>
      <c r="I67" s="180" t="inlineStr">
        <is>
          <t>20 X 25</t>
        </is>
      </c>
      <c r="J67" s="180" t="n">
        <v>4</v>
      </c>
      <c r="K67" s="171" t="n"/>
      <c r="L67" s="14" t="n"/>
      <c r="M67" s="15" t="n">
        <v>0.6977821913273751</v>
      </c>
      <c r="N67" s="14" t="n"/>
      <c r="O67" s="16" t="n"/>
    </row>
    <row r="68" ht="15.75" customHeight="1">
      <c r="A68" s="234" t="n"/>
      <c r="B68" s="234" t="n"/>
      <c r="C68" s="175" t="inlineStr">
        <is>
          <t>SVG</t>
        </is>
      </c>
      <c r="D68" s="166" t="inlineStr">
        <is>
          <t>-</t>
        </is>
      </c>
      <c r="E68" s="166" t="n">
        <v>22</v>
      </c>
      <c r="F68" s="166" t="inlineStr">
        <is>
          <t>Single</t>
        </is>
      </c>
      <c r="G68" s="166" t="inlineStr">
        <is>
          <t>MCX 55 SVG</t>
        </is>
      </c>
      <c r="H68" s="166" t="inlineStr">
        <is>
          <t>254 X 320</t>
        </is>
      </c>
      <c r="I68" s="166" t="inlineStr">
        <is>
          <t xml:space="preserve">21 X 26 </t>
        </is>
      </c>
      <c r="J68" s="166" t="n">
        <v>4</v>
      </c>
      <c r="K68" s="176" t="n"/>
      <c r="L68" s="25" t="n"/>
      <c r="M68" s="26" t="n">
        <v>0.4398148148148148</v>
      </c>
      <c r="N68" s="25" t="n"/>
      <c r="O68" s="27" t="n"/>
    </row>
    <row r="69" ht="15" customHeight="1">
      <c r="A69" s="186" t="n">
        <v>22</v>
      </c>
      <c r="B69" s="187" t="inlineStr">
        <is>
          <t>MCX 56</t>
        </is>
      </c>
      <c r="C69" s="184" t="inlineStr">
        <is>
          <t>LVP</t>
        </is>
      </c>
      <c r="D69" s="180" t="inlineStr">
        <is>
          <t>Top</t>
        </is>
      </c>
      <c r="E69" s="180" t="n">
        <v>60</v>
      </c>
      <c r="F69" s="180" t="inlineStr">
        <is>
          <t>H.C.</t>
        </is>
      </c>
      <c r="G69" s="180" t="inlineStr">
        <is>
          <t>Hand Cutting</t>
        </is>
      </c>
      <c r="H69" s="180" t="inlineStr">
        <is>
          <t>250 X 719</t>
        </is>
      </c>
      <c r="I69" s="180" t="inlineStr">
        <is>
          <t>21 X 29</t>
        </is>
      </c>
      <c r="J69" s="180" t="n">
        <v>2</v>
      </c>
      <c r="K69" s="181" t="n"/>
      <c r="L69" s="31" t="n"/>
      <c r="M69" s="32" t="n">
        <v>1.103988603988604</v>
      </c>
      <c r="N69" s="31" t="n"/>
      <c r="O69" s="33" t="n"/>
    </row>
    <row r="70" ht="15" customHeight="1">
      <c r="A70" s="232" t="n"/>
      <c r="B70" s="232" t="n"/>
      <c r="C70" s="235" t="n"/>
      <c r="D70" s="169" t="inlineStr">
        <is>
          <t>Bottom</t>
        </is>
      </c>
      <c r="E70" s="169" t="n">
        <v>40</v>
      </c>
      <c r="F70" s="169" t="inlineStr">
        <is>
          <t>H.C.</t>
        </is>
      </c>
      <c r="G70" s="180" t="inlineStr">
        <is>
          <t>Hand Cutting</t>
        </is>
      </c>
      <c r="H70" s="169" t="inlineStr">
        <is>
          <t>250 X 719</t>
        </is>
      </c>
      <c r="I70" s="180" t="inlineStr">
        <is>
          <t>21 X 29</t>
        </is>
      </c>
      <c r="J70" s="180" t="n">
        <v>2</v>
      </c>
      <c r="K70" s="171" t="n"/>
      <c r="L70" s="14" t="n"/>
      <c r="M70" s="15" t="n">
        <v>0.6977821913273751</v>
      </c>
      <c r="N70" s="14" t="n"/>
      <c r="O70" s="16" t="n"/>
    </row>
    <row r="71" ht="15.75" customHeight="1">
      <c r="A71" s="234" t="n"/>
      <c r="B71" s="234" t="n"/>
      <c r="C71" s="175" t="inlineStr">
        <is>
          <t>SVG</t>
        </is>
      </c>
      <c r="D71" s="166" t="inlineStr">
        <is>
          <t>-</t>
        </is>
      </c>
      <c r="E71" s="166" t="n">
        <v>22</v>
      </c>
      <c r="F71" s="166" t="inlineStr">
        <is>
          <t>H.C.</t>
        </is>
      </c>
      <c r="G71" s="166" t="inlineStr">
        <is>
          <t>Hand Cutting</t>
        </is>
      </c>
      <c r="H71" s="166" t="inlineStr">
        <is>
          <t>266 X 735</t>
        </is>
      </c>
      <c r="I71" s="166" t="inlineStr">
        <is>
          <t>22 X 29</t>
        </is>
      </c>
      <c r="J71" s="166" t="n">
        <v>2</v>
      </c>
      <c r="K71" s="176" t="n"/>
      <c r="L71" s="25" t="n"/>
      <c r="M71" s="26" t="n">
        <v>0.4398148148148148</v>
      </c>
      <c r="N71" s="25" t="n"/>
      <c r="O71" s="27" t="n"/>
    </row>
    <row r="72" ht="15" customHeight="1">
      <c r="A72" s="186" t="n">
        <v>23</v>
      </c>
      <c r="B72" s="187" t="inlineStr">
        <is>
          <t>MCX 60</t>
        </is>
      </c>
      <c r="C72" s="184" t="inlineStr">
        <is>
          <t>LVP</t>
        </is>
      </c>
      <c r="D72" s="180" t="inlineStr">
        <is>
          <t>Top</t>
        </is>
      </c>
      <c r="E72" s="180" t="n">
        <v>60</v>
      </c>
      <c r="F72" s="180" t="inlineStr">
        <is>
          <t>H.C.</t>
        </is>
      </c>
      <c r="G72" s="180" t="inlineStr">
        <is>
          <t>Hand Cutting</t>
        </is>
      </c>
      <c r="H72" s="180" t="inlineStr">
        <is>
          <t>243 X 998</t>
        </is>
      </c>
      <c r="I72" s="180" t="inlineStr">
        <is>
          <t>20 X 40</t>
        </is>
      </c>
      <c r="J72" s="180" t="n">
        <v>2</v>
      </c>
      <c r="K72" s="181" t="n"/>
      <c r="L72" s="31" t="n"/>
      <c r="M72" s="32" t="n">
        <v>1.103988603988604</v>
      </c>
      <c r="N72" s="31" t="n"/>
      <c r="O72" s="33" t="n"/>
    </row>
    <row r="73" ht="15" customHeight="1">
      <c r="A73" s="232" t="n"/>
      <c r="B73" s="232" t="n"/>
      <c r="C73" s="235" t="n"/>
      <c r="D73" s="169" t="inlineStr">
        <is>
          <t>Bottom</t>
        </is>
      </c>
      <c r="E73" s="169" t="n">
        <v>40</v>
      </c>
      <c r="F73" s="169" t="inlineStr">
        <is>
          <t>H.C.</t>
        </is>
      </c>
      <c r="G73" s="180" t="inlineStr">
        <is>
          <t>Hand Cutting</t>
        </is>
      </c>
      <c r="H73" s="180" t="inlineStr">
        <is>
          <t>243 X 998</t>
        </is>
      </c>
      <c r="I73" s="180" t="inlineStr">
        <is>
          <t>20 X 40</t>
        </is>
      </c>
      <c r="J73" s="180" t="n">
        <v>2</v>
      </c>
      <c r="K73" s="171" t="n"/>
      <c r="L73" s="14" t="n"/>
      <c r="M73" s="15" t="n">
        <v>0.6977821913273751</v>
      </c>
      <c r="N73" s="14" t="n"/>
      <c r="O73" s="16" t="n"/>
    </row>
    <row r="74" ht="15.75" customHeight="1">
      <c r="A74" s="234" t="n"/>
      <c r="B74" s="234" t="n"/>
      <c r="C74" s="175" t="inlineStr">
        <is>
          <t>SVG</t>
        </is>
      </c>
      <c r="D74" s="166" t="inlineStr">
        <is>
          <t>-</t>
        </is>
      </c>
      <c r="E74" s="166" t="n">
        <v>22</v>
      </c>
      <c r="F74" s="166" t="inlineStr">
        <is>
          <t>H.C.</t>
        </is>
      </c>
      <c r="G74" s="166" t="inlineStr">
        <is>
          <t>Hand Cutting</t>
        </is>
      </c>
      <c r="H74" s="166" t="inlineStr">
        <is>
          <t>266 X 1015</t>
        </is>
      </c>
      <c r="I74" s="166" t="inlineStr">
        <is>
          <t>22 X 40.5</t>
        </is>
      </c>
      <c r="J74" s="166" t="n">
        <v>2</v>
      </c>
      <c r="K74" s="176" t="n"/>
      <c r="L74" s="25" t="n"/>
      <c r="M74" s="26" t="n">
        <v>0.4398148148148148</v>
      </c>
      <c r="N74" s="25" t="n"/>
      <c r="O74" s="27" t="n"/>
    </row>
    <row r="75" ht="15" customHeight="1">
      <c r="A75" s="186" t="n">
        <v>24</v>
      </c>
      <c r="B75" s="187" t="inlineStr">
        <is>
          <t>MCX 62</t>
        </is>
      </c>
      <c r="C75" s="184" t="inlineStr">
        <is>
          <t>LVP</t>
        </is>
      </c>
      <c r="D75" s="180" t="inlineStr">
        <is>
          <t>Top</t>
        </is>
      </c>
      <c r="E75" s="180" t="n">
        <v>60</v>
      </c>
      <c r="F75" s="180" t="inlineStr">
        <is>
          <t>H.C.</t>
        </is>
      </c>
      <c r="G75" s="180" t="inlineStr">
        <is>
          <t>Hand Cutting</t>
        </is>
      </c>
      <c r="H75" s="180" t="inlineStr">
        <is>
          <t>302 X 1027</t>
        </is>
      </c>
      <c r="I75" s="180" t="inlineStr">
        <is>
          <t>25 X 41</t>
        </is>
      </c>
      <c r="J75" s="180" t="n">
        <v>2</v>
      </c>
      <c r="K75" s="181" t="n"/>
      <c r="L75" s="31" t="n"/>
      <c r="M75" s="32" t="n">
        <v>1.103988603988604</v>
      </c>
      <c r="N75" s="31" t="n"/>
      <c r="O75" s="33" t="n"/>
    </row>
    <row r="76" ht="15" customHeight="1">
      <c r="A76" s="232" t="n"/>
      <c r="B76" s="232" t="n"/>
      <c r="C76" s="235" t="n"/>
      <c r="D76" s="169" t="inlineStr">
        <is>
          <t>Bottom</t>
        </is>
      </c>
      <c r="E76" s="169" t="n">
        <v>40</v>
      </c>
      <c r="F76" s="169" t="inlineStr">
        <is>
          <t>H.C.</t>
        </is>
      </c>
      <c r="G76" s="180" t="inlineStr">
        <is>
          <t>Hand Cutting</t>
        </is>
      </c>
      <c r="H76" s="180" t="inlineStr">
        <is>
          <t>302 X 1027</t>
        </is>
      </c>
      <c r="I76" s="180" t="inlineStr">
        <is>
          <t>25 X 41</t>
        </is>
      </c>
      <c r="J76" s="180" t="n">
        <v>2</v>
      </c>
      <c r="K76" s="171" t="n"/>
      <c r="L76" s="14" t="n"/>
      <c r="M76" s="15" t="n">
        <v>0.6977821913273751</v>
      </c>
      <c r="N76" s="14" t="n"/>
      <c r="O76" s="16" t="n"/>
    </row>
    <row r="77" ht="15.75" customHeight="1">
      <c r="A77" s="234" t="n"/>
      <c r="B77" s="234" t="n"/>
      <c r="C77" s="175" t="inlineStr">
        <is>
          <t>SVG</t>
        </is>
      </c>
      <c r="D77" s="166" t="inlineStr">
        <is>
          <t>-</t>
        </is>
      </c>
      <c r="E77" s="166" t="n">
        <v>22</v>
      </c>
      <c r="F77" s="166" t="inlineStr">
        <is>
          <t>H.C.</t>
        </is>
      </c>
      <c r="G77" s="166" t="inlineStr">
        <is>
          <t>Hand Cutting</t>
        </is>
      </c>
      <c r="H77" s="166" t="inlineStr">
        <is>
          <t>322 X 1047</t>
        </is>
      </c>
      <c r="I77" s="166" t="inlineStr">
        <is>
          <t>26.5 X 42</t>
        </is>
      </c>
      <c r="J77" s="166" t="n">
        <v>2</v>
      </c>
      <c r="K77" s="176" t="n"/>
      <c r="L77" s="25" t="n"/>
      <c r="M77" s="26" t="n">
        <v>0.4398148148148148</v>
      </c>
      <c r="N77" s="25" t="n"/>
      <c r="O77" s="27" t="n"/>
    </row>
    <row r="78" ht="15" customHeight="1">
      <c r="A78" s="186" t="n">
        <v>25</v>
      </c>
      <c r="B78" s="187" t="inlineStr">
        <is>
          <t>MCX 65</t>
        </is>
      </c>
      <c r="C78" s="184" t="inlineStr">
        <is>
          <t>LVP</t>
        </is>
      </c>
      <c r="D78" s="180" t="inlineStr">
        <is>
          <t>Top</t>
        </is>
      </c>
      <c r="E78" s="180" t="n">
        <v>60</v>
      </c>
      <c r="F78" s="180" t="inlineStr">
        <is>
          <t>Single</t>
        </is>
      </c>
      <c r="G78" s="180" t="inlineStr">
        <is>
          <t>MCX 65 LVP</t>
        </is>
      </c>
      <c r="H78" s="180" t="inlineStr">
        <is>
          <t>307 X 398</t>
        </is>
      </c>
      <c r="I78" s="180" t="inlineStr">
        <is>
          <t>16 X 25</t>
        </is>
      </c>
      <c r="J78" s="180" t="n">
        <v>2</v>
      </c>
      <c r="K78" s="181" t="n"/>
      <c r="L78" s="31" t="n"/>
      <c r="M78" s="32" t="n">
        <v>1.103988603988604</v>
      </c>
      <c r="N78" s="31" t="n"/>
      <c r="O78" s="33" t="n"/>
    </row>
    <row r="79" ht="15" customHeight="1">
      <c r="A79" s="232" t="n"/>
      <c r="B79" s="232" t="n"/>
      <c r="C79" s="235" t="n"/>
      <c r="D79" s="169" t="inlineStr">
        <is>
          <t>Bottom</t>
        </is>
      </c>
      <c r="E79" s="169" t="n">
        <v>40</v>
      </c>
      <c r="F79" s="169" t="inlineStr">
        <is>
          <t>Single</t>
        </is>
      </c>
      <c r="G79" s="180" t="inlineStr">
        <is>
          <t>MCX 65 LVP</t>
        </is>
      </c>
      <c r="H79" s="180" t="inlineStr">
        <is>
          <t>307 X 398</t>
        </is>
      </c>
      <c r="I79" s="180" t="inlineStr">
        <is>
          <t>16 X 25</t>
        </is>
      </c>
      <c r="J79" s="180" t="n">
        <v>2</v>
      </c>
      <c r="K79" s="171" t="n"/>
      <c r="L79" s="14" t="n"/>
      <c r="M79" s="15" t="n">
        <v>0.6977821913273751</v>
      </c>
      <c r="N79" s="14" t="n"/>
      <c r="O79" s="16" t="n"/>
    </row>
    <row r="80" ht="15.75" customHeight="1">
      <c r="A80" s="234" t="n"/>
      <c r="B80" s="234" t="n"/>
      <c r="C80" s="175" t="inlineStr">
        <is>
          <t>SVG</t>
        </is>
      </c>
      <c r="D80" s="166" t="inlineStr">
        <is>
          <t>-</t>
        </is>
      </c>
      <c r="E80" s="166" t="n">
        <v>22</v>
      </c>
      <c r="F80" s="166" t="inlineStr">
        <is>
          <t>Single</t>
        </is>
      </c>
      <c r="G80" s="166" t="inlineStr">
        <is>
          <t>MCX 65 SVG</t>
        </is>
      </c>
      <c r="H80" s="166" t="inlineStr">
        <is>
          <t>325 X 412</t>
        </is>
      </c>
      <c r="I80" s="166" t="inlineStr">
        <is>
          <t>16.5 X 26.5</t>
        </is>
      </c>
      <c r="J80" s="166" t="n">
        <v>2</v>
      </c>
      <c r="K80" s="176" t="n"/>
      <c r="L80" s="25" t="n"/>
      <c r="M80" s="26" t="n">
        <v>0.4398148148148148</v>
      </c>
      <c r="N80" s="25" t="n"/>
      <c r="O80" s="27" t="n"/>
    </row>
    <row r="81" ht="15" customHeight="1">
      <c r="A81" s="186" t="n">
        <v>26</v>
      </c>
      <c r="B81" s="187" t="inlineStr">
        <is>
          <t>MCX 68</t>
        </is>
      </c>
      <c r="C81" s="184" t="inlineStr">
        <is>
          <t>LVP</t>
        </is>
      </c>
      <c r="D81" s="180" t="inlineStr">
        <is>
          <t>Top</t>
        </is>
      </c>
      <c r="E81" s="180" t="n">
        <v>60</v>
      </c>
      <c r="F81" s="180" t="inlineStr">
        <is>
          <t>H.C.</t>
        </is>
      </c>
      <c r="G81" s="180" t="inlineStr">
        <is>
          <t>Hand Cutting</t>
        </is>
      </c>
      <c r="H81" s="180" t="inlineStr">
        <is>
          <t>327 X 732</t>
        </is>
      </c>
      <c r="I81" s="180" t="inlineStr">
        <is>
          <t>27 X 29</t>
        </is>
      </c>
      <c r="J81" s="180" t="n">
        <v>2</v>
      </c>
      <c r="K81" s="181" t="n"/>
      <c r="L81" s="31" t="n"/>
      <c r="M81" s="32" t="n">
        <v>1.103988603988604</v>
      </c>
      <c r="N81" s="31" t="n"/>
      <c r="O81" s="33" t="n"/>
    </row>
    <row r="82" ht="15" customHeight="1">
      <c r="A82" s="232" t="n"/>
      <c r="B82" s="232" t="n"/>
      <c r="C82" s="235" t="n"/>
      <c r="D82" s="169" t="inlineStr">
        <is>
          <t>Bottom</t>
        </is>
      </c>
      <c r="E82" s="169" t="n">
        <v>40</v>
      </c>
      <c r="F82" s="169" t="inlineStr">
        <is>
          <t>H.C.</t>
        </is>
      </c>
      <c r="G82" s="180" t="inlineStr">
        <is>
          <t>Hand Cutting</t>
        </is>
      </c>
      <c r="H82" s="180" t="inlineStr">
        <is>
          <t>327 X 732</t>
        </is>
      </c>
      <c r="I82" s="180" t="inlineStr">
        <is>
          <t>27 X 29</t>
        </is>
      </c>
      <c r="J82" s="180" t="n">
        <v>2</v>
      </c>
      <c r="K82" s="171" t="n"/>
      <c r="L82" s="14" t="n"/>
      <c r="M82" s="15" t="n">
        <v>0.6977821913273751</v>
      </c>
      <c r="N82" s="14" t="n"/>
      <c r="O82" s="16" t="n"/>
    </row>
    <row r="83" ht="15.75" customHeight="1">
      <c r="A83" s="234" t="n"/>
      <c r="B83" s="234" t="n"/>
      <c r="C83" s="175" t="inlineStr">
        <is>
          <t>SVG</t>
        </is>
      </c>
      <c r="D83" s="166" t="inlineStr">
        <is>
          <t>-</t>
        </is>
      </c>
      <c r="E83" s="166" t="n">
        <v>22</v>
      </c>
      <c r="F83" s="166" t="inlineStr">
        <is>
          <t>H.C.</t>
        </is>
      </c>
      <c r="G83" s="166" t="inlineStr">
        <is>
          <t>Hand Cutting</t>
        </is>
      </c>
      <c r="H83" s="166" t="inlineStr">
        <is>
          <t>345 X 750</t>
        </is>
      </c>
      <c r="I83" s="166" t="inlineStr">
        <is>
          <t>28 X 30</t>
        </is>
      </c>
      <c r="J83" s="166" t="n">
        <v>2</v>
      </c>
      <c r="K83" s="176" t="n"/>
      <c r="L83" s="25" t="n"/>
      <c r="M83" s="26" t="n">
        <v>0.4398148148148148</v>
      </c>
      <c r="N83" s="25" t="n"/>
      <c r="O83" s="27" t="n"/>
    </row>
    <row r="84" ht="15" customHeight="1">
      <c r="A84" s="186" t="n">
        <v>27</v>
      </c>
      <c r="B84" s="187" t="inlineStr">
        <is>
          <t>MCX 75</t>
        </is>
      </c>
      <c r="C84" s="184" t="inlineStr">
        <is>
          <t>LVP</t>
        </is>
      </c>
      <c r="D84" s="180" t="inlineStr">
        <is>
          <t>Top</t>
        </is>
      </c>
      <c r="E84" s="180" t="n">
        <v>60</v>
      </c>
      <c r="F84" s="180" t="inlineStr">
        <is>
          <t>Single</t>
        </is>
      </c>
      <c r="G84" s="180" t="inlineStr">
        <is>
          <t>MCX 75 LVP</t>
        </is>
      </c>
      <c r="H84" s="180" t="inlineStr">
        <is>
          <t>427 X 508</t>
        </is>
      </c>
      <c r="I84" s="180" t="inlineStr">
        <is>
          <t>20.5 X 34.5</t>
        </is>
      </c>
      <c r="J84" s="180" t="n">
        <v>2</v>
      </c>
      <c r="K84" s="181" t="n"/>
      <c r="L84" s="31" t="n"/>
      <c r="M84" s="32" t="n">
        <v>1.103988603988604</v>
      </c>
      <c r="N84" s="31" t="n"/>
      <c r="O84" s="33" t="n"/>
    </row>
    <row r="85" ht="15" customHeight="1">
      <c r="A85" s="232" t="n"/>
      <c r="B85" s="232" t="n"/>
      <c r="C85" s="235" t="n"/>
      <c r="D85" s="169" t="inlineStr">
        <is>
          <t>Bottom</t>
        </is>
      </c>
      <c r="E85" s="169" t="n">
        <v>40</v>
      </c>
      <c r="F85" s="169" t="inlineStr">
        <is>
          <t>Single</t>
        </is>
      </c>
      <c r="G85" s="180" t="inlineStr">
        <is>
          <t>MCX 75 LVP</t>
        </is>
      </c>
      <c r="H85" s="180" t="inlineStr">
        <is>
          <t>427 X 508</t>
        </is>
      </c>
      <c r="I85" s="180" t="inlineStr">
        <is>
          <t>20.5 X 34.5</t>
        </is>
      </c>
      <c r="J85" s="169" t="n">
        <v>2</v>
      </c>
      <c r="K85" s="171" t="n"/>
      <c r="L85" s="14" t="n"/>
      <c r="M85" s="15" t="n">
        <v>0.6977821913273751</v>
      </c>
      <c r="N85" s="14" t="n"/>
      <c r="O85" s="16" t="n"/>
    </row>
    <row r="86" ht="15.75" customHeight="1">
      <c r="A86" s="234" t="n"/>
      <c r="B86" s="234" t="n"/>
      <c r="C86" s="175" t="inlineStr">
        <is>
          <t>SVG</t>
        </is>
      </c>
      <c r="D86" s="166" t="inlineStr">
        <is>
          <t>-</t>
        </is>
      </c>
      <c r="E86" s="166" t="n">
        <v>22</v>
      </c>
      <c r="F86" s="166" t="inlineStr">
        <is>
          <t>Single</t>
        </is>
      </c>
      <c r="G86" s="166" t="inlineStr">
        <is>
          <t>MCX 75 SVG</t>
        </is>
      </c>
      <c r="H86" s="166" t="inlineStr">
        <is>
          <t>445 X 522</t>
        </is>
      </c>
      <c r="I86" s="166" t="inlineStr">
        <is>
          <t>21 X 36</t>
        </is>
      </c>
      <c r="J86" s="166" t="n">
        <v>2</v>
      </c>
      <c r="K86" s="176" t="n"/>
      <c r="L86" s="25" t="n"/>
      <c r="M86" s="26" t="n">
        <v>0.4398148148148148</v>
      </c>
      <c r="N86" s="25" t="n"/>
      <c r="O86" s="27" t="n"/>
    </row>
    <row r="87" ht="15" customHeight="1">
      <c r="A87" s="186" t="n">
        <v>28</v>
      </c>
      <c r="B87" s="187" t="inlineStr">
        <is>
          <t>MCX 80</t>
        </is>
      </c>
      <c r="C87" s="184" t="inlineStr">
        <is>
          <t>LVP</t>
        </is>
      </c>
      <c r="D87" s="180" t="inlineStr">
        <is>
          <t>Top</t>
        </is>
      </c>
      <c r="E87" s="180" t="n">
        <v>60</v>
      </c>
      <c r="F87" s="180" t="inlineStr">
        <is>
          <t>Single</t>
        </is>
      </c>
      <c r="G87" s="180" t="inlineStr">
        <is>
          <t>MCX 80 LVP</t>
        </is>
      </c>
      <c r="H87" s="180" t="inlineStr">
        <is>
          <t>127 X 192</t>
        </is>
      </c>
      <c r="I87" s="180" t="inlineStr">
        <is>
          <t>22 X 24</t>
        </is>
      </c>
      <c r="J87" s="180" t="n">
        <v>9</v>
      </c>
      <c r="K87" s="181" t="n"/>
      <c r="L87" s="31" t="n"/>
      <c r="M87" s="32" t="n">
        <v>1.103988603988604</v>
      </c>
      <c r="N87" s="31" t="n"/>
      <c r="O87" s="33" t="n"/>
    </row>
    <row r="88" ht="15" customHeight="1">
      <c r="A88" s="232" t="n"/>
      <c r="B88" s="232" t="n"/>
      <c r="C88" s="235" t="n"/>
      <c r="D88" s="169" t="inlineStr">
        <is>
          <t>Bottom</t>
        </is>
      </c>
      <c r="E88" s="169" t="n">
        <v>40</v>
      </c>
      <c r="F88" s="169" t="inlineStr">
        <is>
          <t>Single</t>
        </is>
      </c>
      <c r="G88" s="180" t="inlineStr">
        <is>
          <t>MCX 80 LVP</t>
        </is>
      </c>
      <c r="H88" s="180" t="inlineStr">
        <is>
          <t>127 X 192</t>
        </is>
      </c>
      <c r="I88" s="180" t="inlineStr">
        <is>
          <t>22 X 24</t>
        </is>
      </c>
      <c r="J88" s="180" t="n">
        <v>9</v>
      </c>
      <c r="K88" s="171" t="n"/>
      <c r="L88" s="14" t="n"/>
      <c r="M88" s="15" t="n">
        <v>0.6977821913273751</v>
      </c>
      <c r="N88" s="14" t="n"/>
      <c r="O88" s="16" t="n"/>
    </row>
    <row r="89" ht="15.75" customHeight="1">
      <c r="A89" s="234" t="n"/>
      <c r="B89" s="234" t="n"/>
      <c r="C89" s="175" t="inlineStr">
        <is>
          <t>SVG</t>
        </is>
      </c>
      <c r="D89" s="166" t="inlineStr">
        <is>
          <t>-</t>
        </is>
      </c>
      <c r="E89" s="166" t="n">
        <v>22</v>
      </c>
      <c r="F89" s="166" t="inlineStr">
        <is>
          <t>Single</t>
        </is>
      </c>
      <c r="G89" s="166" t="inlineStr">
        <is>
          <t>MCX 80 SVG</t>
        </is>
      </c>
      <c r="H89" s="166" t="inlineStr">
        <is>
          <t>139 X 201</t>
        </is>
      </c>
      <c r="I89" s="166" t="inlineStr">
        <is>
          <t>24 X 25</t>
        </is>
      </c>
      <c r="J89" s="166" t="n">
        <v>12</v>
      </c>
      <c r="K89" s="176" t="n"/>
      <c r="L89" s="25" t="n"/>
      <c r="M89" s="26" t="n">
        <v>0.4398148148148148</v>
      </c>
      <c r="N89" s="25" t="n"/>
      <c r="O89" s="27" t="n"/>
    </row>
    <row r="90" ht="15" customHeight="1">
      <c r="A90" s="186" t="n">
        <v>29</v>
      </c>
      <c r="B90" s="187" t="inlineStr">
        <is>
          <t>MCX 82</t>
        </is>
      </c>
      <c r="C90" s="184" t="inlineStr">
        <is>
          <t>LVP</t>
        </is>
      </c>
      <c r="D90" s="180" t="inlineStr">
        <is>
          <t>Top</t>
        </is>
      </c>
      <c r="E90" s="180" t="n">
        <v>60</v>
      </c>
      <c r="F90" s="180" t="inlineStr">
        <is>
          <t>Single</t>
        </is>
      </c>
      <c r="G90" s="180" t="inlineStr">
        <is>
          <t>MCX 82 LVP</t>
        </is>
      </c>
      <c r="H90" s="180" t="inlineStr">
        <is>
          <t>178 X 254</t>
        </is>
      </c>
      <c r="I90" s="180" t="inlineStr">
        <is>
          <t>21 X 23</t>
        </is>
      </c>
      <c r="J90" s="180" t="n">
        <v>6</v>
      </c>
      <c r="K90" s="181" t="n"/>
      <c r="L90" s="31" t="n"/>
      <c r="M90" s="32" t="n">
        <v>1.103988603988604</v>
      </c>
      <c r="N90" s="31" t="n"/>
      <c r="O90" s="33" t="n"/>
    </row>
    <row r="91" ht="15" customHeight="1">
      <c r="A91" s="232" t="n"/>
      <c r="B91" s="232" t="n"/>
      <c r="C91" s="235" t="n"/>
      <c r="D91" s="169" t="inlineStr">
        <is>
          <t>Bottom</t>
        </is>
      </c>
      <c r="E91" s="169" t="n">
        <v>40</v>
      </c>
      <c r="F91" s="169" t="inlineStr">
        <is>
          <t>Single</t>
        </is>
      </c>
      <c r="G91" s="180" t="inlineStr">
        <is>
          <t>MCX 82 LVP</t>
        </is>
      </c>
      <c r="H91" s="180" t="inlineStr">
        <is>
          <t>178 X 254</t>
        </is>
      </c>
      <c r="I91" s="180" t="inlineStr">
        <is>
          <t>21 X 23</t>
        </is>
      </c>
      <c r="J91" s="180" t="n">
        <v>6</v>
      </c>
      <c r="K91" s="171" t="n"/>
      <c r="L91" s="14" t="n"/>
      <c r="M91" s="15" t="n">
        <v>0.6977821913273751</v>
      </c>
      <c r="N91" s="14" t="n"/>
      <c r="O91" s="16" t="n"/>
    </row>
    <row r="92" ht="15.75" customHeight="1">
      <c r="A92" s="234" t="n"/>
      <c r="B92" s="234" t="n"/>
      <c r="C92" s="175" t="inlineStr">
        <is>
          <t>SVG</t>
        </is>
      </c>
      <c r="D92" s="166" t="inlineStr">
        <is>
          <t>-</t>
        </is>
      </c>
      <c r="E92" s="166" t="n">
        <v>22</v>
      </c>
      <c r="F92" s="166" t="inlineStr">
        <is>
          <t>Single</t>
        </is>
      </c>
      <c r="G92" s="166" t="inlineStr">
        <is>
          <t>MCX 82 SVG</t>
        </is>
      </c>
      <c r="H92" s="166" t="inlineStr">
        <is>
          <t>191 X 268</t>
        </is>
      </c>
      <c r="I92" s="166" t="inlineStr">
        <is>
          <t>22 X 24</t>
        </is>
      </c>
      <c r="J92" s="166" t="n">
        <v>6</v>
      </c>
      <c r="K92" s="176" t="n"/>
      <c r="L92" s="25" t="n"/>
      <c r="M92" s="26" t="n">
        <v>0.4398148148148148</v>
      </c>
      <c r="N92" s="25" t="n"/>
      <c r="O92" s="27" t="n"/>
    </row>
    <row r="93" ht="15" customHeight="1">
      <c r="A93" s="186" t="n">
        <v>30</v>
      </c>
      <c r="B93" s="187" t="inlineStr">
        <is>
          <t>MCX 84</t>
        </is>
      </c>
      <c r="C93" s="184" t="inlineStr">
        <is>
          <t>LVP</t>
        </is>
      </c>
      <c r="D93" s="180" t="inlineStr">
        <is>
          <t>Top</t>
        </is>
      </c>
      <c r="E93" s="180" t="n">
        <v>60</v>
      </c>
      <c r="F93" s="180" t="inlineStr">
        <is>
          <t>Single</t>
        </is>
      </c>
      <c r="G93" s="180" t="inlineStr">
        <is>
          <t>MCX 84 LVP</t>
        </is>
      </c>
      <c r="H93" s="180" t="inlineStr">
        <is>
          <t>204 X 273</t>
        </is>
      </c>
      <c r="I93" s="180" t="inlineStr">
        <is>
          <t>17 X 23</t>
        </is>
      </c>
      <c r="J93" s="180" t="n">
        <v>4</v>
      </c>
      <c r="K93" s="181" t="n"/>
      <c r="L93" s="31" t="n"/>
      <c r="M93" s="32" t="n">
        <v>1.103988603988604</v>
      </c>
      <c r="N93" s="31" t="n"/>
      <c r="O93" s="33" t="n"/>
    </row>
    <row r="94" ht="15" customHeight="1">
      <c r="A94" s="232" t="n"/>
      <c r="B94" s="232" t="n"/>
      <c r="C94" s="235" t="n"/>
      <c r="D94" s="169" t="inlineStr">
        <is>
          <t>Bottom</t>
        </is>
      </c>
      <c r="E94" s="169" t="n">
        <v>40</v>
      </c>
      <c r="F94" s="169" t="inlineStr">
        <is>
          <t>Single</t>
        </is>
      </c>
      <c r="G94" s="180" t="inlineStr">
        <is>
          <t>MCX 84 LVP</t>
        </is>
      </c>
      <c r="H94" s="180" t="inlineStr">
        <is>
          <t>204 X 273</t>
        </is>
      </c>
      <c r="I94" s="180" t="inlineStr">
        <is>
          <t>17 X 23</t>
        </is>
      </c>
      <c r="J94" s="180" t="n">
        <v>4</v>
      </c>
      <c r="K94" s="171" t="n"/>
      <c r="L94" s="14" t="n"/>
      <c r="M94" s="15" t="n">
        <v>0.6977821913273751</v>
      </c>
      <c r="N94" s="14" t="n"/>
      <c r="O94" s="16" t="n"/>
    </row>
    <row r="95" ht="15.75" customHeight="1">
      <c r="A95" s="234" t="n"/>
      <c r="B95" s="234" t="n"/>
      <c r="C95" s="175" t="inlineStr">
        <is>
          <t>SVG</t>
        </is>
      </c>
      <c r="D95" s="166" t="inlineStr">
        <is>
          <t>-</t>
        </is>
      </c>
      <c r="E95" s="166" t="n">
        <v>22</v>
      </c>
      <c r="F95" s="166" t="inlineStr">
        <is>
          <t>Single</t>
        </is>
      </c>
      <c r="G95" s="166" t="inlineStr">
        <is>
          <t>MCX 84 SVG</t>
        </is>
      </c>
      <c r="H95" s="166" t="inlineStr">
        <is>
          <t>217 X 287</t>
        </is>
      </c>
      <c r="I95" s="166" t="inlineStr">
        <is>
          <t>18 X 23.5</t>
        </is>
      </c>
      <c r="J95" s="166" t="n">
        <v>4</v>
      </c>
      <c r="K95" s="176" t="n"/>
      <c r="L95" s="25" t="n"/>
      <c r="M95" s="26" t="n">
        <v>0.4398148148148148</v>
      </c>
      <c r="N95" s="25" t="n"/>
      <c r="O95" s="27" t="n"/>
    </row>
    <row r="96" ht="15" customHeight="1">
      <c r="A96" s="186" t="n">
        <v>31</v>
      </c>
      <c r="B96" s="187" t="inlineStr">
        <is>
          <t>MCX 86</t>
        </is>
      </c>
      <c r="C96" s="184" t="inlineStr">
        <is>
          <t>LVP</t>
        </is>
      </c>
      <c r="D96" s="180" t="inlineStr">
        <is>
          <t>Top</t>
        </is>
      </c>
      <c r="E96" s="180" t="n">
        <v>60</v>
      </c>
      <c r="F96" s="180" t="inlineStr">
        <is>
          <t>Single</t>
        </is>
      </c>
      <c r="G96" s="180" t="inlineStr">
        <is>
          <t>MCX 86 LVP</t>
        </is>
      </c>
      <c r="H96" s="180" t="inlineStr">
        <is>
          <t>235 X 330</t>
        </is>
      </c>
      <c r="I96" s="180" t="inlineStr">
        <is>
          <t>14 X 20</t>
        </is>
      </c>
      <c r="J96" s="180" t="n">
        <v>2</v>
      </c>
      <c r="K96" s="181" t="n"/>
      <c r="L96" s="31" t="n"/>
      <c r="M96" s="32" t="n">
        <v>1.103988603988604</v>
      </c>
      <c r="N96" s="31" t="n"/>
      <c r="O96" s="33" t="n"/>
    </row>
    <row r="97" ht="15" customHeight="1">
      <c r="A97" s="232" t="n"/>
      <c r="B97" s="232" t="n"/>
      <c r="C97" s="235" t="n"/>
      <c r="D97" s="169" t="inlineStr">
        <is>
          <t>Bottom</t>
        </is>
      </c>
      <c r="E97" s="169" t="n">
        <v>40</v>
      </c>
      <c r="F97" s="169" t="inlineStr">
        <is>
          <t>Single</t>
        </is>
      </c>
      <c r="G97" s="180" t="inlineStr">
        <is>
          <t>MCX 86 LVP</t>
        </is>
      </c>
      <c r="H97" s="180" t="inlineStr">
        <is>
          <t>235 X 330</t>
        </is>
      </c>
      <c r="I97" s="180" t="inlineStr">
        <is>
          <t>14 X 20</t>
        </is>
      </c>
      <c r="J97" s="180" t="n">
        <v>2</v>
      </c>
      <c r="K97" s="171" t="n"/>
      <c r="L97" s="14" t="n"/>
      <c r="M97" s="15" t="n">
        <v>0.6977821913273751</v>
      </c>
      <c r="N97" s="14" t="n"/>
      <c r="O97" s="16" t="n"/>
    </row>
    <row r="98" ht="15.75" customHeight="1">
      <c r="A98" s="234" t="n"/>
      <c r="B98" s="234" t="n"/>
      <c r="C98" s="175" t="inlineStr">
        <is>
          <t>SVG</t>
        </is>
      </c>
      <c r="D98" s="166" t="inlineStr">
        <is>
          <t>-</t>
        </is>
      </c>
      <c r="E98" s="166" t="n">
        <v>22</v>
      </c>
      <c r="F98" s="166" t="inlineStr">
        <is>
          <t>Single</t>
        </is>
      </c>
      <c r="G98" s="166" t="inlineStr">
        <is>
          <t>MCX 86 SVG</t>
        </is>
      </c>
      <c r="H98" s="166" t="inlineStr">
        <is>
          <t>248 X 344</t>
        </is>
      </c>
      <c r="I98" s="166" t="inlineStr">
        <is>
          <t>21 X 28</t>
        </is>
      </c>
      <c r="J98" s="166" t="n">
        <v>4</v>
      </c>
      <c r="K98" s="176" t="n"/>
      <c r="L98" s="25" t="n"/>
      <c r="M98" s="26" t="n">
        <v>0.4398148148148148</v>
      </c>
      <c r="N98" s="25" t="n"/>
      <c r="O98" s="27" t="n"/>
    </row>
    <row r="99" ht="14.25" customHeight="1">
      <c r="A99" s="188" t="n"/>
      <c r="B99" s="236" t="n"/>
      <c r="C99" s="236" t="n"/>
      <c r="D99" s="236" t="n"/>
      <c r="E99" s="236" t="n"/>
      <c r="F99" s="236" t="n"/>
      <c r="G99" s="236" t="n"/>
      <c r="H99" s="236" t="n"/>
      <c r="I99" s="236" t="n"/>
      <c r="J99" s="236" t="n"/>
      <c r="K99" s="236" t="n"/>
      <c r="L99" s="236" t="n"/>
      <c r="M99" s="236" t="n"/>
      <c r="N99" s="236" t="n"/>
      <c r="O99" s="237" t="n"/>
    </row>
    <row r="100">
      <c r="A100" s="238" t="n"/>
      <c r="O100" s="239" t="n"/>
    </row>
    <row r="101" ht="13.5" customHeight="1">
      <c r="A101" s="240" t="n"/>
      <c r="B101" s="241" t="n"/>
      <c r="C101" s="241" t="n"/>
      <c r="D101" s="241" t="n"/>
      <c r="E101" s="241" t="n"/>
      <c r="F101" s="241" t="n"/>
      <c r="G101" s="241" t="n"/>
      <c r="H101" s="241" t="n"/>
      <c r="I101" s="241" t="n"/>
      <c r="J101" s="241" t="n"/>
      <c r="K101" s="241" t="n"/>
      <c r="L101" s="241" t="n"/>
      <c r="M101" s="241" t="n"/>
      <c r="N101" s="241" t="n"/>
      <c r="O101" s="242" t="n"/>
    </row>
    <row r="102" ht="15" customHeight="1">
      <c r="A102" s="197" t="n">
        <v>1</v>
      </c>
      <c r="B102" s="198" t="inlineStr">
        <is>
          <t>C 0</t>
        </is>
      </c>
      <c r="C102" s="184" t="inlineStr">
        <is>
          <t>Fabric</t>
        </is>
      </c>
      <c r="D102" s="180" t="inlineStr">
        <is>
          <t>Top</t>
        </is>
      </c>
      <c r="E102" s="180" t="n"/>
      <c r="F102" s="180" t="n"/>
      <c r="G102" s="180" t="n"/>
      <c r="H102" s="180" t="n"/>
      <c r="I102" s="180" t="n"/>
      <c r="J102" s="180" t="n"/>
      <c r="K102" s="181" t="n"/>
      <c r="L102" s="31" t="n"/>
      <c r="M102" s="32" t="e">
        <v>#N/A</v>
      </c>
      <c r="N102" s="31" t="n"/>
      <c r="O102" s="33" t="n"/>
    </row>
    <row r="103" ht="15" customHeight="1">
      <c r="A103" s="232" t="n"/>
      <c r="B103" s="232" t="n"/>
      <c r="C103" s="235" t="n"/>
      <c r="D103" s="169" t="inlineStr">
        <is>
          <t>Bottom</t>
        </is>
      </c>
      <c r="E103" s="169" t="n"/>
      <c r="F103" s="169" t="n"/>
      <c r="G103" s="169" t="n"/>
      <c r="H103" s="169" t="n"/>
      <c r="I103" s="169" t="n"/>
      <c r="J103" s="169" t="n"/>
      <c r="K103" s="171" t="n"/>
      <c r="L103" s="14" t="n"/>
      <c r="M103" s="15" t="e">
        <v>#N/A</v>
      </c>
      <c r="N103" s="14" t="n"/>
      <c r="O103" s="16" t="n"/>
    </row>
    <row r="104" ht="15.75" customHeight="1">
      <c r="A104" s="234" t="n"/>
      <c r="B104" s="234" t="n"/>
      <c r="C104" s="175" t="inlineStr">
        <is>
          <t>SVG</t>
        </is>
      </c>
      <c r="D104" s="166" t="inlineStr">
        <is>
          <t>-</t>
        </is>
      </c>
      <c r="E104" s="166" t="n">
        <v>22</v>
      </c>
      <c r="F104" s="166" t="inlineStr">
        <is>
          <t>Passing</t>
        </is>
      </c>
      <c r="G104" s="166" t="inlineStr">
        <is>
          <t>C 0 SVG</t>
        </is>
      </c>
      <c r="H104" s="166" t="n">
        <v>27</v>
      </c>
      <c r="I104" s="166" t="inlineStr">
        <is>
          <t>9 X 15.5</t>
        </is>
      </c>
      <c r="J104" s="166" t="n">
        <v>45</v>
      </c>
      <c r="K104" s="176" t="n"/>
      <c r="L104" s="25" t="n"/>
      <c r="M104" s="26" t="n">
        <v>0.4398148148148148</v>
      </c>
      <c r="N104" s="25" t="n"/>
      <c r="O104" s="27" t="n"/>
    </row>
    <row r="105" ht="15" customHeight="1">
      <c r="A105" s="197" t="n">
        <v>2</v>
      </c>
      <c r="B105" s="198" t="inlineStr">
        <is>
          <t>C 1</t>
        </is>
      </c>
      <c r="C105" s="184" t="inlineStr">
        <is>
          <t>Fabric</t>
        </is>
      </c>
      <c r="D105" s="180" t="inlineStr">
        <is>
          <t>Top</t>
        </is>
      </c>
      <c r="E105" s="180" t="n"/>
      <c r="F105" s="180" t="n"/>
      <c r="G105" s="180" t="n"/>
      <c r="H105" s="180" t="n"/>
      <c r="I105" s="180" t="n"/>
      <c r="J105" s="180" t="n"/>
      <c r="K105" s="181" t="n"/>
      <c r="L105" s="31" t="n"/>
      <c r="M105" s="32" t="e">
        <v>#N/A</v>
      </c>
      <c r="N105" s="31" t="n"/>
      <c r="O105" s="33" t="n"/>
    </row>
    <row r="106" ht="15" customHeight="1">
      <c r="A106" s="232" t="n"/>
      <c r="B106" s="232" t="n"/>
      <c r="C106" s="235" t="n"/>
      <c r="D106" s="169" t="inlineStr">
        <is>
          <t>Bottom</t>
        </is>
      </c>
      <c r="E106" s="169" t="n"/>
      <c r="F106" s="169" t="n"/>
      <c r="G106" s="169" t="n"/>
      <c r="H106" s="169" t="n"/>
      <c r="I106" s="169" t="n"/>
      <c r="J106" s="169" t="n"/>
      <c r="K106" s="171" t="n"/>
      <c r="L106" s="14" t="n"/>
      <c r="M106" s="15" t="e">
        <v>#N/A</v>
      </c>
      <c r="N106" s="14" t="n"/>
      <c r="O106" s="16" t="n"/>
    </row>
    <row r="107" ht="15.75" customHeight="1">
      <c r="A107" s="234" t="n"/>
      <c r="B107" s="234" t="n"/>
      <c r="C107" s="175" t="inlineStr">
        <is>
          <t>SVG</t>
        </is>
      </c>
      <c r="D107" s="166" t="inlineStr">
        <is>
          <t>-</t>
        </is>
      </c>
      <c r="E107" s="166" t="n">
        <v>22</v>
      </c>
      <c r="F107" s="166" t="inlineStr">
        <is>
          <t>Passing</t>
        </is>
      </c>
      <c r="G107" s="166" t="inlineStr">
        <is>
          <t>C1 SVG</t>
        </is>
      </c>
      <c r="H107" s="166" t="n">
        <v>38</v>
      </c>
      <c r="I107" s="166" t="inlineStr">
        <is>
          <t>15 X 18.5</t>
        </is>
      </c>
      <c r="J107" s="166" t="n">
        <v>105</v>
      </c>
      <c r="K107" s="176" t="n"/>
      <c r="L107" s="25" t="n"/>
      <c r="M107" s="26" t="n">
        <v>0.4398148148148148</v>
      </c>
      <c r="N107" s="25" t="n"/>
      <c r="O107" s="27" t="n"/>
    </row>
    <row r="108" ht="15" customHeight="1">
      <c r="A108" s="197" t="n">
        <v>3</v>
      </c>
      <c r="B108" s="198" t="inlineStr">
        <is>
          <t>C 2</t>
        </is>
      </c>
      <c r="C108" s="184" t="inlineStr">
        <is>
          <t>Fabric</t>
        </is>
      </c>
      <c r="D108" s="180" t="inlineStr">
        <is>
          <t>Top</t>
        </is>
      </c>
      <c r="E108" s="180" t="n"/>
      <c r="F108" s="180" t="n"/>
      <c r="G108" s="180" t="n"/>
      <c r="H108" s="180" t="n"/>
      <c r="I108" s="180" t="n"/>
      <c r="J108" s="180" t="n"/>
      <c r="K108" s="181" t="n"/>
      <c r="L108" s="31" t="n"/>
      <c r="M108" s="32" t="e">
        <v>#N/A</v>
      </c>
      <c r="N108" s="31" t="n"/>
      <c r="O108" s="33" t="n"/>
    </row>
    <row r="109" ht="15" customHeight="1">
      <c r="A109" s="232" t="n"/>
      <c r="B109" s="232" t="n"/>
      <c r="C109" s="235" t="n"/>
      <c r="D109" s="169" t="inlineStr">
        <is>
          <t>Bottom</t>
        </is>
      </c>
      <c r="E109" s="169" t="n"/>
      <c r="F109" s="169" t="n"/>
      <c r="G109" s="169" t="n"/>
      <c r="H109" s="169" t="n"/>
      <c r="I109" s="169" t="n"/>
      <c r="J109" s="169" t="n"/>
      <c r="K109" s="171" t="n"/>
      <c r="L109" s="14" t="n"/>
      <c r="M109" s="15" t="e">
        <v>#N/A</v>
      </c>
      <c r="N109" s="14" t="n"/>
      <c r="O109" s="16" t="n"/>
    </row>
    <row r="110" ht="15.75" customHeight="1">
      <c r="A110" s="234" t="n"/>
      <c r="B110" s="234" t="n"/>
      <c r="C110" s="175" t="inlineStr">
        <is>
          <t>SVG</t>
        </is>
      </c>
      <c r="D110" s="166" t="inlineStr">
        <is>
          <t>-</t>
        </is>
      </c>
      <c r="E110" s="166" t="n">
        <v>22</v>
      </c>
      <c r="F110" s="166" t="inlineStr">
        <is>
          <t>Passing</t>
        </is>
      </c>
      <c r="G110" s="166" t="inlineStr">
        <is>
          <t>C2 SVG</t>
        </is>
      </c>
      <c r="H110" s="166" t="n">
        <v>56</v>
      </c>
      <c r="I110" s="166" t="inlineStr">
        <is>
          <t>17.5 X 24</t>
        </is>
      </c>
      <c r="J110" s="166" t="n">
        <v>72</v>
      </c>
      <c r="K110" s="176" t="n"/>
      <c r="L110" s="25" t="n"/>
      <c r="M110" s="26" t="n">
        <v>0.4398148148148148</v>
      </c>
      <c r="N110" s="25" t="n"/>
      <c r="O110" s="27" t="n"/>
    </row>
    <row r="111" ht="15" customHeight="1">
      <c r="A111" s="197" t="n">
        <v>4</v>
      </c>
      <c r="B111" s="198" t="inlineStr">
        <is>
          <t>C 3</t>
        </is>
      </c>
      <c r="C111" s="184" t="inlineStr">
        <is>
          <t>Fabric</t>
        </is>
      </c>
      <c r="D111" s="180" t="inlineStr">
        <is>
          <t>Top</t>
        </is>
      </c>
      <c r="E111" s="180" t="n"/>
      <c r="F111" s="180" t="n"/>
      <c r="G111" s="180" t="n"/>
      <c r="H111" s="180" t="n"/>
      <c r="I111" s="180" t="n"/>
      <c r="J111" s="180" t="n"/>
      <c r="K111" s="181" t="n"/>
      <c r="L111" s="31" t="n"/>
      <c r="M111" s="32" t="e">
        <v>#N/A</v>
      </c>
      <c r="N111" s="31" t="n"/>
      <c r="O111" s="33" t="n"/>
    </row>
    <row r="112" ht="15" customHeight="1">
      <c r="A112" s="232" t="n"/>
      <c r="B112" s="232" t="n"/>
      <c r="C112" s="235" t="n"/>
      <c r="D112" s="169" t="inlineStr">
        <is>
          <t>Bottom</t>
        </is>
      </c>
      <c r="E112" s="169" t="n"/>
      <c r="F112" s="169" t="n"/>
      <c r="G112" s="169" t="n"/>
      <c r="H112" s="169" t="n"/>
      <c r="I112" s="169" t="n"/>
      <c r="J112" s="169" t="n"/>
      <c r="K112" s="171" t="n"/>
      <c r="L112" s="14" t="n"/>
      <c r="M112" s="15" t="e">
        <v>#N/A</v>
      </c>
      <c r="N112" s="14" t="n"/>
      <c r="O112" s="16" t="n"/>
    </row>
    <row r="113" ht="15.75" customHeight="1">
      <c r="A113" s="234" t="n"/>
      <c r="B113" s="234" t="n"/>
      <c r="C113" s="175" t="inlineStr">
        <is>
          <t>SVG</t>
        </is>
      </c>
      <c r="D113" s="166" t="inlineStr">
        <is>
          <t>-</t>
        </is>
      </c>
      <c r="E113" s="166" t="n">
        <v>22</v>
      </c>
      <c r="F113" s="166" t="inlineStr">
        <is>
          <t>Single</t>
        </is>
      </c>
      <c r="G113" s="166" t="inlineStr">
        <is>
          <t>C3 SVG</t>
        </is>
      </c>
      <c r="H113" s="166" t="n">
        <v>65</v>
      </c>
      <c r="I113" s="166" t="inlineStr">
        <is>
          <t>21.5 X 21.5</t>
        </is>
      </c>
      <c r="J113" s="166" t="n">
        <v>49</v>
      </c>
      <c r="K113" s="176" t="n"/>
      <c r="L113" s="25" t="n"/>
      <c r="M113" s="26" t="n">
        <v>0.4398148148148148</v>
      </c>
      <c r="N113" s="25" t="n"/>
      <c r="O113" s="27" t="n"/>
    </row>
    <row r="114" ht="15" customHeight="1">
      <c r="A114" s="197" t="n">
        <v>5</v>
      </c>
      <c r="B114" s="198" t="inlineStr">
        <is>
          <t>C 4</t>
        </is>
      </c>
      <c r="C114" s="184" t="inlineStr">
        <is>
          <t>Fabric</t>
        </is>
      </c>
      <c r="D114" s="180" t="inlineStr">
        <is>
          <t>Top</t>
        </is>
      </c>
      <c r="E114" s="180" t="n"/>
      <c r="F114" s="180" t="n"/>
      <c r="G114" s="180" t="n"/>
      <c r="H114" s="180" t="n"/>
      <c r="I114" s="180" t="n"/>
      <c r="J114" s="180" t="n"/>
      <c r="K114" s="181" t="n"/>
      <c r="L114" s="31" t="n"/>
      <c r="M114" s="32" t="e">
        <v>#N/A</v>
      </c>
      <c r="N114" s="31" t="n"/>
      <c r="O114" s="33" t="n"/>
    </row>
    <row r="115" ht="15" customHeight="1">
      <c r="A115" s="232" t="n"/>
      <c r="B115" s="232" t="n"/>
      <c r="C115" s="235" t="n"/>
      <c r="D115" s="169" t="inlineStr">
        <is>
          <t>Bottom</t>
        </is>
      </c>
      <c r="E115" s="169" t="n"/>
      <c r="F115" s="169" t="n"/>
      <c r="G115" s="169" t="n"/>
      <c r="H115" s="169" t="n"/>
      <c r="I115" s="169" t="n"/>
      <c r="J115" s="169" t="n"/>
      <c r="K115" s="171" t="n"/>
      <c r="L115" s="14" t="n"/>
      <c r="M115" s="15" t="e">
        <v>#N/A</v>
      </c>
      <c r="N115" s="14" t="n"/>
      <c r="O115" s="16" t="n"/>
    </row>
    <row r="116" ht="15.75" customHeight="1">
      <c r="A116" s="234" t="n"/>
      <c r="B116" s="234" t="n"/>
      <c r="C116" s="175" t="inlineStr">
        <is>
          <t>SVG</t>
        </is>
      </c>
      <c r="D116" s="166" t="inlineStr">
        <is>
          <t>-</t>
        </is>
      </c>
      <c r="E116" s="166" t="n">
        <v>22</v>
      </c>
      <c r="F116" s="166" t="inlineStr">
        <is>
          <t>Single</t>
        </is>
      </c>
      <c r="G116" s="166" t="inlineStr">
        <is>
          <t>C4 SVG</t>
        </is>
      </c>
      <c r="H116" s="166" t="n">
        <v>70</v>
      </c>
      <c r="I116" s="166" t="inlineStr">
        <is>
          <t>23 X 23</t>
        </is>
      </c>
      <c r="J116" s="166" t="n">
        <v>49</v>
      </c>
      <c r="K116" s="176" t="n"/>
      <c r="L116" s="25" t="n"/>
      <c r="M116" s="26" t="n">
        <v>0.4398148148148148</v>
      </c>
      <c r="N116" s="25" t="n"/>
      <c r="O116" s="27" t="n"/>
    </row>
    <row r="117" ht="15" customHeight="1">
      <c r="A117" s="197" t="n">
        <v>6</v>
      </c>
      <c r="B117" s="198" t="inlineStr">
        <is>
          <t>C 32</t>
        </is>
      </c>
      <c r="C117" s="184" t="inlineStr">
        <is>
          <t>LVP</t>
        </is>
      </c>
      <c r="D117" s="180" t="inlineStr">
        <is>
          <t>Top</t>
        </is>
      </c>
      <c r="E117" s="180" t="n">
        <v>75</v>
      </c>
      <c r="F117" s="180" t="inlineStr">
        <is>
          <t>Passing</t>
        </is>
      </c>
      <c r="G117" s="180" t="inlineStr">
        <is>
          <t>C32 LVP</t>
        </is>
      </c>
      <c r="H117" s="180" t="n">
        <v>70</v>
      </c>
      <c r="I117" s="180" t="inlineStr">
        <is>
          <t>18.5 X 21.5</t>
        </is>
      </c>
      <c r="J117" s="180" t="n">
        <v>42</v>
      </c>
      <c r="K117" s="181" t="n"/>
      <c r="L117" s="31" t="n"/>
      <c r="M117" s="32" t="n">
        <v>1.433962264150943</v>
      </c>
      <c r="N117" s="31" t="n"/>
      <c r="O117" s="33" t="n"/>
    </row>
    <row r="118" ht="15" customHeight="1">
      <c r="A118" s="232" t="n"/>
      <c r="B118" s="232" t="n"/>
      <c r="C118" s="235" t="n"/>
      <c r="D118" s="169" t="inlineStr">
        <is>
          <t>Bottom</t>
        </is>
      </c>
      <c r="E118" s="169" t="n"/>
      <c r="F118" s="169" t="n"/>
      <c r="G118" s="169" t="n"/>
      <c r="H118" s="169" t="n"/>
      <c r="I118" s="169" t="n"/>
      <c r="J118" s="169" t="n"/>
      <c r="K118" s="171" t="n"/>
      <c r="L118" s="14" t="n"/>
      <c r="M118" s="15" t="e">
        <v>#N/A</v>
      </c>
      <c r="N118" s="14" t="n"/>
      <c r="O118" s="16" t="n"/>
    </row>
    <row r="119" ht="15.75" customHeight="1">
      <c r="A119" s="234" t="n"/>
      <c r="B119" s="234" t="n"/>
      <c r="C119" s="175" t="inlineStr">
        <is>
          <t>SVG</t>
        </is>
      </c>
      <c r="D119" s="166" t="inlineStr">
        <is>
          <t>-</t>
        </is>
      </c>
      <c r="E119" s="166" t="n">
        <v>22</v>
      </c>
      <c r="F119" s="166" t="inlineStr">
        <is>
          <t>Passing</t>
        </is>
      </c>
      <c r="G119" s="166" t="inlineStr">
        <is>
          <t>C 32 SVG</t>
        </is>
      </c>
      <c r="H119" s="166" t="n">
        <v>78</v>
      </c>
      <c r="I119" s="166" t="inlineStr">
        <is>
          <t>17 X 23.5</t>
        </is>
      </c>
      <c r="J119" s="166" t="n">
        <v>35</v>
      </c>
      <c r="K119" s="176" t="n"/>
      <c r="L119" s="25" t="n"/>
      <c r="M119" s="26" t="n">
        <v>0.4398148148148148</v>
      </c>
      <c r="N119" s="25" t="n"/>
      <c r="O119" s="27" t="n"/>
    </row>
    <row r="120" ht="15" customHeight="1">
      <c r="A120" s="197" t="n">
        <v>7</v>
      </c>
      <c r="B120" s="198" t="inlineStr">
        <is>
          <t>C 42</t>
        </is>
      </c>
      <c r="C120" s="184" t="inlineStr">
        <is>
          <t>LVP</t>
        </is>
      </c>
      <c r="D120" s="180" t="inlineStr">
        <is>
          <t>Top</t>
        </is>
      </c>
      <c r="E120" s="180" t="n">
        <v>75</v>
      </c>
      <c r="F120" s="180" t="inlineStr">
        <is>
          <t>Single</t>
        </is>
      </c>
      <c r="G120" s="180" t="inlineStr">
        <is>
          <t>C42 LVP</t>
        </is>
      </c>
      <c r="H120" s="180" t="inlineStr">
        <is>
          <t>102 X 102</t>
        </is>
      </c>
      <c r="I120" s="180" t="inlineStr">
        <is>
          <t>23 X 23</t>
        </is>
      </c>
      <c r="J120" s="180" t="n">
        <v>25</v>
      </c>
      <c r="K120" s="181" t="n"/>
      <c r="L120" s="31" t="n"/>
      <c r="M120" s="32" t="n">
        <v>1.433962264150943</v>
      </c>
      <c r="N120" s="31" t="n"/>
      <c r="O120" s="33" t="n"/>
    </row>
    <row r="121" ht="15" customHeight="1">
      <c r="A121" s="232" t="n"/>
      <c r="B121" s="232" t="n"/>
      <c r="C121" s="235" t="n"/>
      <c r="D121" s="169" t="inlineStr">
        <is>
          <t>Bottom</t>
        </is>
      </c>
      <c r="E121" s="169" t="n"/>
      <c r="F121" s="169" t="n"/>
      <c r="G121" s="169" t="n"/>
      <c r="H121" s="169" t="n"/>
      <c r="I121" s="169" t="n"/>
      <c r="J121" s="169" t="n"/>
      <c r="K121" s="171" t="n"/>
      <c r="L121" s="14" t="n"/>
      <c r="M121" s="15" t="e">
        <v>#N/A</v>
      </c>
      <c r="N121" s="14" t="n"/>
      <c r="O121" s="16" t="n"/>
    </row>
    <row r="122" ht="15.75" customHeight="1">
      <c r="A122" s="234" t="n"/>
      <c r="B122" s="234" t="n"/>
      <c r="C122" s="175" t="inlineStr">
        <is>
          <t>SVG</t>
        </is>
      </c>
      <c r="D122" s="166" t="inlineStr">
        <is>
          <t>-</t>
        </is>
      </c>
      <c r="E122" s="166" t="n">
        <v>22</v>
      </c>
      <c r="F122" s="166" t="inlineStr">
        <is>
          <t>Single</t>
        </is>
      </c>
      <c r="G122" s="166" t="inlineStr">
        <is>
          <t>C42 SVG</t>
        </is>
      </c>
      <c r="H122" s="166" t="inlineStr">
        <is>
          <t>114 X 114</t>
        </is>
      </c>
      <c r="I122" s="166" t="inlineStr">
        <is>
          <t>25 X 25</t>
        </is>
      </c>
      <c r="J122" s="166" t="n">
        <v>25</v>
      </c>
      <c r="K122" s="176" t="n"/>
      <c r="L122" s="25" t="n"/>
      <c r="M122" s="26" t="n">
        <v>0.4398148148148148</v>
      </c>
      <c r="N122" s="25" t="n"/>
      <c r="O122" s="27" t="n"/>
    </row>
    <row r="123" ht="15" customHeight="1">
      <c r="A123" s="197" t="n">
        <v>8</v>
      </c>
      <c r="B123" s="198" t="inlineStr">
        <is>
          <t>C 52</t>
        </is>
      </c>
      <c r="C123" s="184" t="inlineStr">
        <is>
          <t>LVP</t>
        </is>
      </c>
      <c r="D123" s="180" t="inlineStr">
        <is>
          <t>Top</t>
        </is>
      </c>
      <c r="E123" s="180" t="n">
        <v>40</v>
      </c>
      <c r="F123" s="180" t="inlineStr">
        <is>
          <t>Single</t>
        </is>
      </c>
      <c r="G123" s="180" t="inlineStr">
        <is>
          <t>C52 LVP</t>
        </is>
      </c>
      <c r="H123" s="180" t="inlineStr">
        <is>
          <t>130 X 130</t>
        </is>
      </c>
      <c r="I123" s="180" t="inlineStr">
        <is>
          <t>22.5 X 22.5</t>
        </is>
      </c>
      <c r="J123" s="180" t="n">
        <v>16</v>
      </c>
      <c r="K123" s="181" t="n"/>
      <c r="L123" s="31" t="n"/>
      <c r="M123" s="32" t="n">
        <v>0.6977821913273751</v>
      </c>
      <c r="N123" s="31" t="n"/>
      <c r="O123" s="33" t="n"/>
    </row>
    <row r="124" ht="15" customHeight="1">
      <c r="A124" s="232" t="n"/>
      <c r="B124" s="232" t="n"/>
      <c r="C124" s="235" t="n"/>
      <c r="D124" s="169" t="inlineStr">
        <is>
          <t>Bottom</t>
        </is>
      </c>
      <c r="E124" s="169" t="n">
        <v>40</v>
      </c>
      <c r="F124" s="169" t="inlineStr">
        <is>
          <t>Single</t>
        </is>
      </c>
      <c r="G124" s="180" t="inlineStr">
        <is>
          <t>C52 LVP</t>
        </is>
      </c>
      <c r="H124" s="180" t="inlineStr">
        <is>
          <t>130 X 130</t>
        </is>
      </c>
      <c r="I124" s="180" t="inlineStr">
        <is>
          <t>22.5 X 22.5</t>
        </is>
      </c>
      <c r="J124" s="180" t="n">
        <v>16</v>
      </c>
      <c r="K124" s="171" t="n"/>
      <c r="L124" s="14" t="n"/>
      <c r="M124" s="15" t="n">
        <v>0.6977821913273751</v>
      </c>
      <c r="N124" s="14" t="n"/>
      <c r="O124" s="16" t="n"/>
    </row>
    <row r="125" ht="15.75" customHeight="1">
      <c r="A125" s="234" t="n"/>
      <c r="B125" s="234" t="n"/>
      <c r="C125" s="175" t="inlineStr">
        <is>
          <t>SVG</t>
        </is>
      </c>
      <c r="D125" s="166" t="inlineStr">
        <is>
          <t>-</t>
        </is>
      </c>
      <c r="E125" s="166" t="n">
        <v>22</v>
      </c>
      <c r="F125" s="166" t="inlineStr">
        <is>
          <t>Single</t>
        </is>
      </c>
      <c r="G125" s="166" t="inlineStr">
        <is>
          <t>C52 SVG</t>
        </is>
      </c>
      <c r="H125" s="166" t="inlineStr">
        <is>
          <t>142 X 142</t>
        </is>
      </c>
      <c r="I125" s="166" t="inlineStr">
        <is>
          <t>24.5 X 24.5</t>
        </is>
      </c>
      <c r="J125" s="166" t="n">
        <v>16</v>
      </c>
      <c r="K125" s="176" t="n"/>
      <c r="L125" s="25" t="n"/>
      <c r="M125" s="26" t="n">
        <v>0.4398148148148148</v>
      </c>
      <c r="N125" s="25" t="n"/>
      <c r="O125" s="27" t="n"/>
    </row>
    <row r="126" ht="15" customHeight="1">
      <c r="A126" s="197" t="n">
        <v>9</v>
      </c>
      <c r="B126" s="198" t="inlineStr">
        <is>
          <t>C 64</t>
        </is>
      </c>
      <c r="C126" s="184" t="inlineStr">
        <is>
          <t>LVP</t>
        </is>
      </c>
      <c r="D126" s="180" t="inlineStr">
        <is>
          <t>Top</t>
        </is>
      </c>
      <c r="E126" s="180" t="n">
        <v>40</v>
      </c>
      <c r="F126" s="180" t="inlineStr">
        <is>
          <t>Single</t>
        </is>
      </c>
      <c r="G126" s="180" t="inlineStr">
        <is>
          <t>C64 LVP</t>
        </is>
      </c>
      <c r="H126" s="180" t="inlineStr">
        <is>
          <t>143 X 143</t>
        </is>
      </c>
      <c r="I126" s="180" t="inlineStr">
        <is>
          <t>24.5 X 24.5</t>
        </is>
      </c>
      <c r="J126" s="180" t="n">
        <v>16</v>
      </c>
      <c r="K126" s="181" t="n"/>
      <c r="L126" s="31" t="n"/>
      <c r="M126" s="32" t="n">
        <v>0.6977821913273751</v>
      </c>
      <c r="N126" s="31" t="n"/>
      <c r="O126" s="33" t="n"/>
    </row>
    <row r="127" ht="15" customHeight="1">
      <c r="A127" s="232" t="n"/>
      <c r="B127" s="232" t="n"/>
      <c r="C127" s="235" t="n"/>
      <c r="D127" s="169" t="inlineStr">
        <is>
          <t>Bottom</t>
        </is>
      </c>
      <c r="E127" s="169" t="n">
        <v>40</v>
      </c>
      <c r="F127" s="169" t="inlineStr">
        <is>
          <t>Single</t>
        </is>
      </c>
      <c r="G127" s="180" t="inlineStr">
        <is>
          <t>C64 LVP</t>
        </is>
      </c>
      <c r="H127" s="180" t="inlineStr">
        <is>
          <t>143 X 143</t>
        </is>
      </c>
      <c r="I127" s="180" t="inlineStr">
        <is>
          <t>24.5 X 24.5</t>
        </is>
      </c>
      <c r="J127" s="180" t="n">
        <v>16</v>
      </c>
      <c r="K127" s="171" t="n"/>
      <c r="L127" s="14" t="n"/>
      <c r="M127" s="15" t="n">
        <v>0.6977821913273751</v>
      </c>
      <c r="N127" s="14" t="n"/>
      <c r="O127" s="16" t="n"/>
    </row>
    <row r="128" ht="15.75" customHeight="1">
      <c r="A128" s="234" t="n"/>
      <c r="B128" s="234" t="n"/>
      <c r="C128" s="175" t="inlineStr">
        <is>
          <t>SVG</t>
        </is>
      </c>
      <c r="D128" s="166" t="inlineStr">
        <is>
          <t>-</t>
        </is>
      </c>
      <c r="E128" s="166" t="n">
        <v>22</v>
      </c>
      <c r="F128" s="166" t="inlineStr">
        <is>
          <t>Single</t>
        </is>
      </c>
      <c r="G128" s="166" t="inlineStr">
        <is>
          <t>C64 SVG</t>
        </is>
      </c>
      <c r="H128" s="166" t="inlineStr">
        <is>
          <t>158 X 158</t>
        </is>
      </c>
      <c r="I128" s="166" t="inlineStr">
        <is>
          <t>20 X 20</t>
        </is>
      </c>
      <c r="J128" s="166" t="n">
        <v>9</v>
      </c>
      <c r="K128" s="176" t="n"/>
      <c r="L128" s="25" t="n"/>
      <c r="M128" s="26" t="n">
        <v>0.4398148148148148</v>
      </c>
      <c r="N128" s="25" t="n"/>
      <c r="O128" s="27" t="n"/>
    </row>
    <row r="129" ht="15" customHeight="1">
      <c r="A129" s="197" t="n">
        <v>10</v>
      </c>
      <c r="B129" s="198" t="inlineStr">
        <is>
          <t>C 74</t>
        </is>
      </c>
      <c r="C129" s="184" t="inlineStr">
        <is>
          <t>LVP</t>
        </is>
      </c>
      <c r="D129" s="180" t="inlineStr">
        <is>
          <t>Top</t>
        </is>
      </c>
      <c r="E129" s="180" t="n">
        <v>40</v>
      </c>
      <c r="F129" s="180" t="inlineStr">
        <is>
          <t>Single</t>
        </is>
      </c>
      <c r="G129" s="180" t="inlineStr">
        <is>
          <t>C74 LVP</t>
        </is>
      </c>
      <c r="H129" s="180" t="inlineStr">
        <is>
          <t>165 X 165</t>
        </is>
      </c>
      <c r="I129" s="180" t="inlineStr">
        <is>
          <t>21 X 21</t>
        </is>
      </c>
      <c r="J129" s="180" t="n">
        <v>9</v>
      </c>
      <c r="K129" s="181" t="n"/>
      <c r="L129" s="31" t="n"/>
      <c r="M129" s="32" t="n">
        <v>0.6977821913273751</v>
      </c>
      <c r="N129" s="31" t="n"/>
      <c r="O129" s="33" t="n"/>
    </row>
    <row r="130" ht="15" customHeight="1">
      <c r="A130" s="232" t="n"/>
      <c r="B130" s="232" t="n"/>
      <c r="C130" s="235" t="n"/>
      <c r="D130" s="169" t="inlineStr">
        <is>
          <t>Bottom</t>
        </is>
      </c>
      <c r="E130" s="169" t="n">
        <v>40</v>
      </c>
      <c r="F130" s="169" t="inlineStr">
        <is>
          <t>Single</t>
        </is>
      </c>
      <c r="G130" s="180" t="inlineStr">
        <is>
          <t>C74 LVP</t>
        </is>
      </c>
      <c r="H130" s="180" t="inlineStr">
        <is>
          <t>165 X 165</t>
        </is>
      </c>
      <c r="I130" s="180" t="inlineStr">
        <is>
          <t>21 X 21</t>
        </is>
      </c>
      <c r="J130" s="180" t="n">
        <v>9</v>
      </c>
      <c r="K130" s="171" t="n"/>
      <c r="L130" s="14" t="n"/>
      <c r="M130" s="15" t="n">
        <v>0.6977821913273751</v>
      </c>
      <c r="N130" s="14" t="n"/>
      <c r="O130" s="16" t="n"/>
    </row>
    <row r="131" ht="15.75" customHeight="1">
      <c r="A131" s="234" t="n"/>
      <c r="B131" s="234" t="n"/>
      <c r="C131" s="175" t="inlineStr">
        <is>
          <t>SVG</t>
        </is>
      </c>
      <c r="D131" s="166" t="inlineStr">
        <is>
          <t>-</t>
        </is>
      </c>
      <c r="E131" s="166" t="n">
        <v>22</v>
      </c>
      <c r="F131" s="166" t="inlineStr">
        <is>
          <t>Single</t>
        </is>
      </c>
      <c r="G131" s="166" t="inlineStr">
        <is>
          <t>C74 SVG</t>
        </is>
      </c>
      <c r="H131" s="166" t="inlineStr">
        <is>
          <t>182 X 182</t>
        </is>
      </c>
      <c r="I131" s="166" t="inlineStr">
        <is>
          <t>23 X 23</t>
        </is>
      </c>
      <c r="J131" s="166" t="n">
        <v>9</v>
      </c>
      <c r="K131" s="176" t="n"/>
      <c r="L131" s="25" t="n"/>
      <c r="M131" s="26" t="n">
        <v>0.4398148148148148</v>
      </c>
      <c r="N131" s="25" t="n"/>
      <c r="O131" s="27" t="n"/>
    </row>
    <row r="132" ht="15" customHeight="1">
      <c r="A132" s="197" t="n">
        <v>11</v>
      </c>
      <c r="B132" s="198" t="inlineStr">
        <is>
          <t>C 84</t>
        </is>
      </c>
      <c r="C132" s="179" t="inlineStr">
        <is>
          <t>LVP</t>
        </is>
      </c>
      <c r="D132" s="180" t="inlineStr">
        <is>
          <t>Top</t>
        </is>
      </c>
      <c r="E132" s="180" t="n">
        <v>40</v>
      </c>
      <c r="F132" s="180" t="inlineStr">
        <is>
          <t>Single</t>
        </is>
      </c>
      <c r="G132" s="180" t="inlineStr">
        <is>
          <t>C84/86 LVP</t>
        </is>
      </c>
      <c r="H132" s="180" t="inlineStr">
        <is>
          <t>191 X 191</t>
        </is>
      </c>
      <c r="I132" s="180" t="inlineStr">
        <is>
          <t>24 X 24</t>
        </is>
      </c>
      <c r="J132" s="180" t="n">
        <v>9</v>
      </c>
      <c r="K132" s="181" t="n"/>
      <c r="L132" s="31" t="n"/>
      <c r="M132" s="32" t="n">
        <v>0.6977821913273751</v>
      </c>
      <c r="N132" s="31" t="n"/>
      <c r="O132" s="33" t="n"/>
    </row>
    <row r="133" ht="15" customHeight="1">
      <c r="A133" s="232" t="n"/>
      <c r="B133" s="232" t="n"/>
      <c r="C133" s="168" t="n"/>
      <c r="D133" s="169" t="inlineStr">
        <is>
          <t>Bottom</t>
        </is>
      </c>
      <c r="E133" s="169" t="n">
        <v>40</v>
      </c>
      <c r="F133" s="169" t="inlineStr">
        <is>
          <t>Single</t>
        </is>
      </c>
      <c r="G133" s="180" t="inlineStr">
        <is>
          <t>C84/86 LVP</t>
        </is>
      </c>
      <c r="H133" s="180" t="inlineStr">
        <is>
          <t>191 X 191</t>
        </is>
      </c>
      <c r="I133" s="180" t="inlineStr">
        <is>
          <t>24 X 24</t>
        </is>
      </c>
      <c r="J133" s="180" t="n">
        <v>9</v>
      </c>
      <c r="K133" s="181" t="n"/>
      <c r="L133" s="14" t="n"/>
      <c r="M133" s="15" t="n">
        <v>0.6977821913273751</v>
      </c>
      <c r="N133" s="14" t="n"/>
      <c r="O133" s="16" t="n"/>
    </row>
    <row r="134" ht="15.75" customHeight="1">
      <c r="A134" s="234" t="n"/>
      <c r="B134" s="234" t="n"/>
      <c r="C134" s="175" t="inlineStr">
        <is>
          <t>SVG</t>
        </is>
      </c>
      <c r="D134" s="166" t="inlineStr">
        <is>
          <t>-</t>
        </is>
      </c>
      <c r="E134" s="166" t="n">
        <v>22</v>
      </c>
      <c r="F134" s="166" t="inlineStr">
        <is>
          <t>Single</t>
        </is>
      </c>
      <c r="G134" s="166" t="inlineStr">
        <is>
          <t>C84/86 SVG</t>
        </is>
      </c>
      <c r="H134" s="166" t="inlineStr">
        <is>
          <t>208 X 208</t>
        </is>
      </c>
      <c r="I134" s="166" t="inlineStr">
        <is>
          <t>26 X 26</t>
        </is>
      </c>
      <c r="J134" s="166" t="n">
        <v>9</v>
      </c>
      <c r="K134" s="181" t="n"/>
      <c r="L134" s="25" t="n"/>
      <c r="M134" s="26" t="n">
        <v>0.4398148148148148</v>
      </c>
      <c r="N134" s="25" t="n"/>
      <c r="O134" s="27" t="n"/>
    </row>
    <row r="135" ht="15" customHeight="1">
      <c r="A135" s="197" t="n">
        <v>12</v>
      </c>
      <c r="B135" s="198" t="inlineStr">
        <is>
          <t>C 86</t>
        </is>
      </c>
      <c r="C135" s="179" t="inlineStr">
        <is>
          <t>LVP</t>
        </is>
      </c>
      <c r="D135" s="180" t="inlineStr">
        <is>
          <t>Top</t>
        </is>
      </c>
      <c r="E135" s="180" t="n">
        <v>40</v>
      </c>
      <c r="F135" s="180" t="inlineStr">
        <is>
          <t>Single</t>
        </is>
      </c>
      <c r="G135" s="180" t="inlineStr">
        <is>
          <t>C84/86 LVP</t>
        </is>
      </c>
      <c r="H135" s="180" t="inlineStr">
        <is>
          <t>191 X 191</t>
        </is>
      </c>
      <c r="I135" s="180" t="inlineStr">
        <is>
          <t>24 X 24</t>
        </is>
      </c>
      <c r="J135" s="180" t="n">
        <v>9</v>
      </c>
      <c r="K135" s="181" t="n"/>
      <c r="L135" s="31" t="n"/>
      <c r="M135" s="32" t="n">
        <v>0.6977821913273751</v>
      </c>
      <c r="N135" s="31" t="n"/>
      <c r="O135" s="33" t="n"/>
    </row>
    <row r="136" ht="15" customHeight="1">
      <c r="A136" s="232" t="n"/>
      <c r="B136" s="232" t="n"/>
      <c r="C136" s="168" t="n"/>
      <c r="D136" s="169" t="inlineStr">
        <is>
          <t>Bottom</t>
        </is>
      </c>
      <c r="E136" s="169" t="n">
        <v>40</v>
      </c>
      <c r="F136" s="169" t="inlineStr">
        <is>
          <t>Single</t>
        </is>
      </c>
      <c r="G136" s="180" t="inlineStr">
        <is>
          <t>C84/86 LVP</t>
        </is>
      </c>
      <c r="H136" s="180" t="inlineStr">
        <is>
          <t>191 X 191</t>
        </is>
      </c>
      <c r="I136" s="180" t="inlineStr">
        <is>
          <t>24 X 24</t>
        </is>
      </c>
      <c r="J136" s="180" t="n">
        <v>9</v>
      </c>
      <c r="K136" s="171" t="n"/>
      <c r="L136" s="14" t="n"/>
      <c r="M136" s="15" t="n">
        <v>0.6977821913273751</v>
      </c>
      <c r="N136" s="14" t="n"/>
      <c r="O136" s="16" t="n"/>
    </row>
    <row r="137" ht="15.75" customHeight="1">
      <c r="A137" s="234" t="n"/>
      <c r="B137" s="234" t="n"/>
      <c r="C137" s="175" t="inlineStr">
        <is>
          <t>SVG</t>
        </is>
      </c>
      <c r="D137" s="166" t="inlineStr">
        <is>
          <t>-</t>
        </is>
      </c>
      <c r="E137" s="166" t="n">
        <v>22</v>
      </c>
      <c r="F137" s="166" t="inlineStr">
        <is>
          <t>Single</t>
        </is>
      </c>
      <c r="G137" s="166" t="inlineStr">
        <is>
          <t>C84/86 SVG</t>
        </is>
      </c>
      <c r="H137" s="166" t="inlineStr">
        <is>
          <t>208 X 208</t>
        </is>
      </c>
      <c r="I137" s="166" t="inlineStr">
        <is>
          <t>26 X 26</t>
        </is>
      </c>
      <c r="J137" s="166" t="n">
        <v>9</v>
      </c>
      <c r="K137" s="176" t="n"/>
      <c r="L137" s="25" t="n"/>
      <c r="M137" s="26" t="n">
        <v>0.4398148148148148</v>
      </c>
      <c r="N137" s="25" t="n"/>
      <c r="O137" s="27" t="n"/>
    </row>
    <row r="138" ht="15" customHeight="1">
      <c r="A138" s="197" t="n">
        <v>13</v>
      </c>
      <c r="B138" s="198" t="inlineStr">
        <is>
          <t>C 104</t>
        </is>
      </c>
      <c r="C138" s="179" t="inlineStr">
        <is>
          <t>LVP</t>
        </is>
      </c>
      <c r="D138" s="180" t="inlineStr">
        <is>
          <t>Top</t>
        </is>
      </c>
      <c r="E138" s="180" t="n">
        <v>40</v>
      </c>
      <c r="F138" s="180" t="inlineStr">
        <is>
          <t>Single</t>
        </is>
      </c>
      <c r="G138" s="180" t="inlineStr">
        <is>
          <t>C104 LVP</t>
        </is>
      </c>
      <c r="H138" s="180" t="inlineStr">
        <is>
          <t>247 X 247</t>
        </is>
      </c>
      <c r="I138" s="180" t="inlineStr">
        <is>
          <t>20.5 X 20.5</t>
        </is>
      </c>
      <c r="J138" s="180" t="n">
        <v>4</v>
      </c>
      <c r="K138" s="181" t="n"/>
      <c r="L138" s="31" t="n"/>
      <c r="M138" s="32" t="n">
        <v>0.6977821913273751</v>
      </c>
      <c r="N138" s="31" t="n"/>
      <c r="O138" s="33" t="n"/>
    </row>
    <row r="139" ht="15" customHeight="1">
      <c r="A139" s="232" t="n"/>
      <c r="B139" s="232" t="n"/>
      <c r="C139" s="168" t="n"/>
      <c r="D139" s="169" t="inlineStr">
        <is>
          <t>Bottom</t>
        </is>
      </c>
      <c r="E139" s="169" t="n">
        <v>40</v>
      </c>
      <c r="F139" s="169" t="inlineStr">
        <is>
          <t>Single</t>
        </is>
      </c>
      <c r="G139" s="180" t="inlineStr">
        <is>
          <t>C104 LVP</t>
        </is>
      </c>
      <c r="H139" s="180" t="inlineStr">
        <is>
          <t>247 X 247</t>
        </is>
      </c>
      <c r="I139" s="180" t="inlineStr">
        <is>
          <t>20.5 X 20.5</t>
        </is>
      </c>
      <c r="J139" s="180" t="n">
        <v>4</v>
      </c>
      <c r="K139" s="171" t="n"/>
      <c r="L139" s="14" t="n"/>
      <c r="M139" s="15" t="n">
        <v>0.6977821913273751</v>
      </c>
      <c r="N139" s="14" t="n"/>
      <c r="O139" s="16" t="n"/>
    </row>
    <row r="140" ht="15.75" customHeight="1">
      <c r="A140" s="234" t="n"/>
      <c r="B140" s="234" t="n"/>
      <c r="C140" s="175" t="inlineStr">
        <is>
          <t>SVG</t>
        </is>
      </c>
      <c r="D140" s="166" t="inlineStr">
        <is>
          <t>-</t>
        </is>
      </c>
      <c r="E140" s="166" t="n">
        <v>22</v>
      </c>
      <c r="F140" s="166" t="inlineStr">
        <is>
          <t>Single</t>
        </is>
      </c>
      <c r="G140" s="166" t="inlineStr">
        <is>
          <t>C104 SVG</t>
        </is>
      </c>
      <c r="H140" s="166" t="inlineStr">
        <is>
          <t>260 X 260</t>
        </is>
      </c>
      <c r="I140" s="166" t="inlineStr">
        <is>
          <t>21.5 X 21.5</t>
        </is>
      </c>
      <c r="J140" s="166" t="n">
        <v>4</v>
      </c>
      <c r="K140" s="176" t="n"/>
      <c r="L140" s="25" t="n"/>
      <c r="M140" s="26" t="n">
        <v>0.4398148148148148</v>
      </c>
      <c r="N140" s="25" t="n"/>
      <c r="O140" s="27" t="n"/>
    </row>
    <row r="141" ht="15" customHeight="1">
      <c r="A141" s="197" t="n">
        <v>14</v>
      </c>
      <c r="B141" s="198" t="inlineStr">
        <is>
          <t>C 106</t>
        </is>
      </c>
      <c r="C141" s="179" t="inlineStr">
        <is>
          <t>LVP</t>
        </is>
      </c>
      <c r="D141" s="180" t="inlineStr">
        <is>
          <t>Top</t>
        </is>
      </c>
      <c r="E141" s="180" t="n">
        <v>60</v>
      </c>
      <c r="F141" s="180" t="inlineStr">
        <is>
          <t>Single</t>
        </is>
      </c>
      <c r="G141" s="180" t="inlineStr">
        <is>
          <t>C104 LVP</t>
        </is>
      </c>
      <c r="H141" s="180" t="inlineStr">
        <is>
          <t>247 X 247</t>
        </is>
      </c>
      <c r="I141" s="180" t="inlineStr">
        <is>
          <t>20.5 X 20.5</t>
        </is>
      </c>
      <c r="J141" s="180" t="n">
        <v>4</v>
      </c>
      <c r="K141" s="181" t="n"/>
      <c r="L141" s="31" t="n"/>
      <c r="M141" s="32" t="n">
        <v>1.103988603988604</v>
      </c>
      <c r="N141" s="31" t="n"/>
      <c r="O141" s="33" t="n"/>
    </row>
    <row r="142" ht="15" customHeight="1">
      <c r="A142" s="232" t="n"/>
      <c r="B142" s="232" t="n"/>
      <c r="C142" s="168" t="n"/>
      <c r="D142" s="169" t="inlineStr">
        <is>
          <t>Bottom</t>
        </is>
      </c>
      <c r="E142" s="169" t="n">
        <v>40</v>
      </c>
      <c r="F142" s="169" t="inlineStr">
        <is>
          <t>Single</t>
        </is>
      </c>
      <c r="G142" s="180" t="inlineStr">
        <is>
          <t>C104 LVP</t>
        </is>
      </c>
      <c r="H142" s="180" t="inlineStr">
        <is>
          <t>247 X 247</t>
        </is>
      </c>
      <c r="I142" s="180" t="inlineStr">
        <is>
          <t>20.5 X 20.5</t>
        </is>
      </c>
      <c r="J142" s="180" t="n">
        <v>4</v>
      </c>
      <c r="K142" s="171" t="n"/>
      <c r="L142" s="14" t="n"/>
      <c r="M142" s="15" t="n">
        <v>0.6977821913273751</v>
      </c>
      <c r="N142" s="14" t="n"/>
      <c r="O142" s="16" t="n"/>
    </row>
    <row r="143" ht="15.75" customHeight="1">
      <c r="A143" s="234" t="n"/>
      <c r="B143" s="234" t="n"/>
      <c r="C143" s="175" t="inlineStr">
        <is>
          <t>SVG</t>
        </is>
      </c>
      <c r="D143" s="166" t="inlineStr">
        <is>
          <t>-</t>
        </is>
      </c>
      <c r="E143" s="166" t="n">
        <v>22</v>
      </c>
      <c r="F143" s="166" t="inlineStr">
        <is>
          <t>Single</t>
        </is>
      </c>
      <c r="G143" s="166" t="inlineStr">
        <is>
          <t>C104 SVG</t>
        </is>
      </c>
      <c r="H143" s="166" t="inlineStr">
        <is>
          <t>260 X 260</t>
        </is>
      </c>
      <c r="I143" s="166" t="inlineStr">
        <is>
          <t>21.5 X 21.5</t>
        </is>
      </c>
      <c r="J143" s="166" t="n">
        <v>4</v>
      </c>
      <c r="K143" s="176" t="n"/>
      <c r="L143" s="25" t="n"/>
      <c r="M143" s="26" t="n">
        <v>0.4398148148148148</v>
      </c>
      <c r="N143" s="25" t="n"/>
      <c r="O143" s="27" t="n"/>
    </row>
    <row r="144" ht="15" customHeight="1">
      <c r="A144" s="197" t="n">
        <v>15</v>
      </c>
      <c r="B144" s="198" t="inlineStr">
        <is>
          <t>C 108</t>
        </is>
      </c>
      <c r="C144" s="179" t="inlineStr">
        <is>
          <t>LVP</t>
        </is>
      </c>
      <c r="D144" s="180" t="inlineStr">
        <is>
          <t>Top</t>
        </is>
      </c>
      <c r="E144" s="180" t="n">
        <v>60</v>
      </c>
      <c r="F144" s="180" t="inlineStr">
        <is>
          <t>Single</t>
        </is>
      </c>
      <c r="G144" s="180" t="inlineStr">
        <is>
          <t>C104 LVP</t>
        </is>
      </c>
      <c r="H144" s="180" t="inlineStr">
        <is>
          <t>247 X 247</t>
        </is>
      </c>
      <c r="I144" s="180" t="inlineStr">
        <is>
          <t>20.5 X 20.5</t>
        </is>
      </c>
      <c r="J144" s="180" t="n">
        <v>4</v>
      </c>
      <c r="K144" s="181" t="n"/>
      <c r="L144" s="31" t="n"/>
      <c r="M144" s="32" t="n">
        <v>1.103988603988604</v>
      </c>
      <c r="N144" s="31" t="n"/>
      <c r="O144" s="33" t="n"/>
    </row>
    <row r="145" ht="15" customHeight="1">
      <c r="A145" s="232" t="n"/>
      <c r="B145" s="232" t="n"/>
      <c r="C145" s="168" t="n"/>
      <c r="D145" s="169" t="inlineStr">
        <is>
          <t>Bottom</t>
        </is>
      </c>
      <c r="E145" s="169" t="n">
        <v>40</v>
      </c>
      <c r="F145" s="169" t="inlineStr">
        <is>
          <t>Single</t>
        </is>
      </c>
      <c r="G145" s="180" t="inlineStr">
        <is>
          <t>C104 LVP</t>
        </is>
      </c>
      <c r="H145" s="180" t="inlineStr">
        <is>
          <t>247 X 247</t>
        </is>
      </c>
      <c r="I145" s="180" t="inlineStr">
        <is>
          <t>20.5 X 20.5</t>
        </is>
      </c>
      <c r="J145" s="180" t="n">
        <v>4</v>
      </c>
      <c r="K145" s="171" t="n"/>
      <c r="L145" s="14" t="n"/>
      <c r="M145" s="15" t="n">
        <v>0.6977821913273751</v>
      </c>
      <c r="N145" s="14" t="n"/>
      <c r="O145" s="16" t="n"/>
    </row>
    <row r="146" ht="15.75" customHeight="1">
      <c r="A146" s="234" t="n"/>
      <c r="B146" s="234" t="n"/>
      <c r="C146" s="175" t="inlineStr">
        <is>
          <t>SVG</t>
        </is>
      </c>
      <c r="D146" s="166" t="inlineStr">
        <is>
          <t>-</t>
        </is>
      </c>
      <c r="E146" s="166" t="n">
        <v>22</v>
      </c>
      <c r="F146" s="166" t="inlineStr">
        <is>
          <t>Single</t>
        </is>
      </c>
      <c r="G146" s="166" t="inlineStr">
        <is>
          <t>C104 SVG</t>
        </is>
      </c>
      <c r="H146" s="166" t="inlineStr">
        <is>
          <t>260 X 260</t>
        </is>
      </c>
      <c r="I146" s="166" t="inlineStr">
        <is>
          <t>21.5 X 21.5</t>
        </is>
      </c>
      <c r="J146" s="166" t="n">
        <v>4</v>
      </c>
      <c r="K146" s="176" t="n"/>
      <c r="L146" s="25" t="n"/>
      <c r="M146" s="26" t="n">
        <v>0.4398148148148148</v>
      </c>
      <c r="N146" s="25" t="n"/>
      <c r="O146" s="27" t="n"/>
    </row>
    <row r="147" ht="15" customHeight="1">
      <c r="A147" s="197" t="n">
        <v>16</v>
      </c>
      <c r="B147" s="198" t="inlineStr">
        <is>
          <t>C 126</t>
        </is>
      </c>
      <c r="C147" s="179" t="inlineStr">
        <is>
          <t>LVP</t>
        </is>
      </c>
      <c r="D147" s="180" t="inlineStr">
        <is>
          <t>Top</t>
        </is>
      </c>
      <c r="E147" s="180" t="n">
        <v>60</v>
      </c>
      <c r="F147" s="180" t="inlineStr">
        <is>
          <t>Single</t>
        </is>
      </c>
      <c r="G147" s="180" t="inlineStr">
        <is>
          <t>C126 /128 LVP</t>
        </is>
      </c>
      <c r="H147" s="180" t="inlineStr">
        <is>
          <t>289 X 289</t>
        </is>
      </c>
      <c r="I147" s="180" t="inlineStr">
        <is>
          <t>24 X 24</t>
        </is>
      </c>
      <c r="J147" s="180" t="n">
        <v>4</v>
      </c>
      <c r="K147" s="181" t="n"/>
      <c r="L147" s="31" t="n"/>
      <c r="M147" s="32" t="n">
        <v>1.103988603988604</v>
      </c>
      <c r="N147" s="31" t="n"/>
      <c r="O147" s="33" t="n"/>
    </row>
    <row r="148" ht="15" customHeight="1">
      <c r="A148" s="232" t="n"/>
      <c r="B148" s="232" t="n"/>
      <c r="C148" s="168" t="n"/>
      <c r="D148" s="169" t="inlineStr">
        <is>
          <t>Bottom</t>
        </is>
      </c>
      <c r="E148" s="169" t="n">
        <v>40</v>
      </c>
      <c r="F148" s="169" t="inlineStr">
        <is>
          <t>Single</t>
        </is>
      </c>
      <c r="G148" s="180" t="inlineStr">
        <is>
          <t>C126 /128 LVP</t>
        </is>
      </c>
      <c r="H148" s="180" t="inlineStr">
        <is>
          <t>289 X 289</t>
        </is>
      </c>
      <c r="I148" s="180" t="inlineStr">
        <is>
          <t>24 X 24</t>
        </is>
      </c>
      <c r="J148" s="180" t="n">
        <v>4</v>
      </c>
      <c r="K148" s="171" t="n"/>
      <c r="L148" s="14" t="n"/>
      <c r="M148" s="15" t="n">
        <v>0.6977821913273751</v>
      </c>
      <c r="N148" s="14" t="n"/>
      <c r="O148" s="16" t="n"/>
    </row>
    <row r="149" ht="15.75" customHeight="1">
      <c r="A149" s="234" t="n"/>
      <c r="B149" s="234" t="n"/>
      <c r="C149" s="175" t="inlineStr">
        <is>
          <t>SVG</t>
        </is>
      </c>
      <c r="D149" s="166" t="inlineStr">
        <is>
          <t>-</t>
        </is>
      </c>
      <c r="E149" s="166" t="n">
        <v>22</v>
      </c>
      <c r="F149" s="166" t="inlineStr">
        <is>
          <t>Single</t>
        </is>
      </c>
      <c r="G149" s="166" t="inlineStr">
        <is>
          <t>C126 /128 SVG</t>
        </is>
      </c>
      <c r="H149" s="166" t="inlineStr">
        <is>
          <t>308 X 308</t>
        </is>
      </c>
      <c r="I149" s="166" t="inlineStr">
        <is>
          <t>25 X 25</t>
        </is>
      </c>
      <c r="J149" s="166" t="n">
        <v>3</v>
      </c>
      <c r="K149" s="176" t="n"/>
      <c r="L149" s="25" t="n"/>
      <c r="M149" s="26" t="n">
        <v>0.4398148148148148</v>
      </c>
      <c r="N149" s="25" t="n"/>
      <c r="O149" s="27" t="n"/>
    </row>
    <row r="150" ht="15" customHeight="1">
      <c r="A150" s="197" t="n">
        <v>17</v>
      </c>
      <c r="B150" s="198" t="inlineStr">
        <is>
          <t>C 128</t>
        </is>
      </c>
      <c r="C150" s="179" t="inlineStr">
        <is>
          <t>LVP</t>
        </is>
      </c>
      <c r="D150" s="180" t="inlineStr">
        <is>
          <t>Top</t>
        </is>
      </c>
      <c r="E150" s="180" t="n">
        <v>40</v>
      </c>
      <c r="F150" s="180" t="inlineStr">
        <is>
          <t>Single</t>
        </is>
      </c>
      <c r="G150" s="180" t="inlineStr">
        <is>
          <t>C126 /128 LVP</t>
        </is>
      </c>
      <c r="H150" s="180" t="inlineStr">
        <is>
          <t>289 X 289</t>
        </is>
      </c>
      <c r="I150" s="180" t="inlineStr">
        <is>
          <t>24 X 24</t>
        </is>
      </c>
      <c r="J150" s="180" t="n">
        <v>4</v>
      </c>
      <c r="K150" s="181" t="n"/>
      <c r="L150" s="31" t="n"/>
      <c r="M150" s="32" t="n">
        <v>0.6977821913273751</v>
      </c>
      <c r="N150" s="31" t="n"/>
      <c r="O150" s="33" t="n"/>
    </row>
    <row r="151" ht="15" customHeight="1">
      <c r="A151" s="232" t="n"/>
      <c r="B151" s="232" t="n"/>
      <c r="C151" s="168" t="n"/>
      <c r="D151" s="169" t="inlineStr">
        <is>
          <t>Bottom</t>
        </is>
      </c>
      <c r="E151" s="169" t="n">
        <v>40</v>
      </c>
      <c r="F151" s="169" t="inlineStr">
        <is>
          <t>Single</t>
        </is>
      </c>
      <c r="G151" s="180" t="inlineStr">
        <is>
          <t>C126 /128 LVP</t>
        </is>
      </c>
      <c r="H151" s="180" t="inlineStr">
        <is>
          <t>289 X 289</t>
        </is>
      </c>
      <c r="I151" s="180" t="inlineStr">
        <is>
          <t>24 X 24</t>
        </is>
      </c>
      <c r="J151" s="180" t="n">
        <v>4</v>
      </c>
      <c r="K151" s="171" t="n"/>
      <c r="L151" s="14" t="n"/>
      <c r="M151" s="15" t="n">
        <v>0.6977821913273751</v>
      </c>
      <c r="N151" s="14" t="n"/>
      <c r="O151" s="16" t="n"/>
    </row>
    <row r="152" ht="15.75" customHeight="1">
      <c r="A152" s="234" t="n"/>
      <c r="B152" s="234" t="n"/>
      <c r="C152" s="175" t="inlineStr">
        <is>
          <t>SVG</t>
        </is>
      </c>
      <c r="D152" s="166" t="inlineStr">
        <is>
          <t>-</t>
        </is>
      </c>
      <c r="E152" s="166" t="n">
        <v>22</v>
      </c>
      <c r="F152" s="166" t="inlineStr">
        <is>
          <t>Single</t>
        </is>
      </c>
      <c r="G152" s="166" t="inlineStr">
        <is>
          <t>C126 /128 SVG</t>
        </is>
      </c>
      <c r="H152" s="166" t="inlineStr">
        <is>
          <t>308 X 308</t>
        </is>
      </c>
      <c r="I152" s="166" t="inlineStr">
        <is>
          <t>25 X 25</t>
        </is>
      </c>
      <c r="J152" s="166" t="n">
        <v>3</v>
      </c>
      <c r="K152" s="176" t="n"/>
      <c r="L152" s="25" t="n"/>
      <c r="M152" s="26" t="n">
        <v>0.4398148148148148</v>
      </c>
      <c r="N152" s="25" t="n"/>
      <c r="O152" s="27" t="n"/>
    </row>
    <row r="153" ht="15" customHeight="1">
      <c r="A153" s="197" t="n">
        <v>18</v>
      </c>
      <c r="B153" s="198" t="inlineStr">
        <is>
          <t>C 146</t>
        </is>
      </c>
      <c r="C153" s="179" t="inlineStr">
        <is>
          <t>LVP</t>
        </is>
      </c>
      <c r="D153" s="180" t="inlineStr">
        <is>
          <t>Top</t>
        </is>
      </c>
      <c r="E153" s="180" t="n">
        <v>40</v>
      </c>
      <c r="F153" s="180" t="inlineStr">
        <is>
          <t>Single</t>
        </is>
      </c>
      <c r="G153" s="180" t="inlineStr">
        <is>
          <t>C146 /148 LVP</t>
        </is>
      </c>
      <c r="H153" s="180" t="inlineStr">
        <is>
          <t>345 X 345</t>
        </is>
      </c>
      <c r="I153" s="180" t="inlineStr">
        <is>
          <t>14 X 14</t>
        </is>
      </c>
      <c r="J153" s="180" t="n">
        <v>1</v>
      </c>
      <c r="K153" s="181" t="n"/>
      <c r="L153" s="31" t="n"/>
      <c r="M153" s="32" t="n">
        <v>0.6977821913273751</v>
      </c>
      <c r="N153" s="31" t="n"/>
      <c r="O153" s="33" t="n"/>
    </row>
    <row r="154" ht="15" customHeight="1">
      <c r="A154" s="232" t="n"/>
      <c r="B154" s="232" t="n"/>
      <c r="C154" s="168" t="n"/>
      <c r="D154" s="169" t="inlineStr">
        <is>
          <t>Bottom</t>
        </is>
      </c>
      <c r="E154" s="169" t="n">
        <v>40</v>
      </c>
      <c r="F154" s="169" t="inlineStr">
        <is>
          <t>Single</t>
        </is>
      </c>
      <c r="G154" s="180" t="inlineStr">
        <is>
          <t>C146 /148 LVP</t>
        </is>
      </c>
      <c r="H154" s="180" t="inlineStr">
        <is>
          <t>345 X 345</t>
        </is>
      </c>
      <c r="I154" s="180" t="inlineStr">
        <is>
          <t>14 X 14</t>
        </is>
      </c>
      <c r="J154" s="180" t="n">
        <v>1</v>
      </c>
      <c r="K154" s="171" t="n"/>
      <c r="L154" s="14" t="n"/>
      <c r="M154" s="15" t="n">
        <v>0.6977821913273751</v>
      </c>
      <c r="N154" s="14" t="n"/>
      <c r="O154" s="16" t="n"/>
    </row>
    <row r="155" ht="15.75" customHeight="1">
      <c r="A155" s="234" t="n"/>
      <c r="B155" s="234" t="n"/>
      <c r="C155" s="175" t="inlineStr">
        <is>
          <t>SVG</t>
        </is>
      </c>
      <c r="D155" s="166" t="inlineStr">
        <is>
          <t>-</t>
        </is>
      </c>
      <c r="E155" s="166" t="n">
        <v>22</v>
      </c>
      <c r="F155" s="166" t="inlineStr">
        <is>
          <t>Single</t>
        </is>
      </c>
      <c r="G155" s="166" t="inlineStr">
        <is>
          <t>C146 / 148 SVG</t>
        </is>
      </c>
      <c r="H155" s="166" t="inlineStr">
        <is>
          <t>358 X 358</t>
        </is>
      </c>
      <c r="I155" s="166" t="inlineStr">
        <is>
          <t>14.5 X 14.5</t>
        </is>
      </c>
      <c r="J155" s="166" t="n">
        <v>1</v>
      </c>
      <c r="K155" s="176" t="n"/>
      <c r="L155" s="25" t="n"/>
      <c r="M155" s="26" t="n">
        <v>0.4398148148148148</v>
      </c>
      <c r="N155" s="25" t="n"/>
      <c r="O155" s="27" t="n"/>
    </row>
    <row r="156" ht="15" customHeight="1">
      <c r="A156" s="197" t="n">
        <v>19</v>
      </c>
      <c r="B156" s="198" t="inlineStr">
        <is>
          <t>C 148</t>
        </is>
      </c>
      <c r="C156" s="179" t="inlineStr">
        <is>
          <t>LVP</t>
        </is>
      </c>
      <c r="D156" s="180" t="inlineStr">
        <is>
          <t>Top</t>
        </is>
      </c>
      <c r="E156" s="180" t="n">
        <v>40</v>
      </c>
      <c r="F156" s="180" t="inlineStr">
        <is>
          <t>Single</t>
        </is>
      </c>
      <c r="G156" s="180" t="inlineStr">
        <is>
          <t>C146 /148 LVP</t>
        </is>
      </c>
      <c r="H156" s="180" t="inlineStr">
        <is>
          <t>345 X 345</t>
        </is>
      </c>
      <c r="I156" s="180" t="inlineStr">
        <is>
          <t>14 X 14</t>
        </is>
      </c>
      <c r="J156" s="180" t="n">
        <v>1</v>
      </c>
      <c r="K156" s="181" t="n"/>
      <c r="L156" s="31" t="n"/>
      <c r="M156" s="32" t="n">
        <v>0.6977821913273751</v>
      </c>
      <c r="N156" s="31" t="n"/>
      <c r="O156" s="33" t="n"/>
    </row>
    <row r="157" ht="15" customHeight="1">
      <c r="A157" s="232" t="n"/>
      <c r="B157" s="232" t="n"/>
      <c r="C157" s="168" t="n"/>
      <c r="D157" s="169" t="inlineStr">
        <is>
          <t>Bottom</t>
        </is>
      </c>
      <c r="E157" s="169" t="n">
        <v>40</v>
      </c>
      <c r="F157" s="169" t="inlineStr">
        <is>
          <t>Single</t>
        </is>
      </c>
      <c r="G157" s="180" t="inlineStr">
        <is>
          <t>C146 /148 LVP</t>
        </is>
      </c>
      <c r="H157" s="180" t="inlineStr">
        <is>
          <t>345 X 345</t>
        </is>
      </c>
      <c r="I157" s="180" t="inlineStr">
        <is>
          <t>14 X 14</t>
        </is>
      </c>
      <c r="J157" s="180" t="n">
        <v>1</v>
      </c>
      <c r="K157" s="171" t="n"/>
      <c r="L157" s="14" t="n"/>
      <c r="M157" s="15" t="n">
        <v>0.6977821913273751</v>
      </c>
      <c r="N157" s="14" t="n"/>
      <c r="O157" s="16" t="n"/>
    </row>
    <row r="158" ht="15.75" customHeight="1">
      <c r="A158" s="234" t="n"/>
      <c r="B158" s="234" t="n"/>
      <c r="C158" s="175" t="inlineStr">
        <is>
          <t>SVG</t>
        </is>
      </c>
      <c r="D158" s="166" t="inlineStr">
        <is>
          <t>-</t>
        </is>
      </c>
      <c r="E158" s="166" t="n">
        <v>22</v>
      </c>
      <c r="F158" s="166" t="inlineStr">
        <is>
          <t>Single</t>
        </is>
      </c>
      <c r="G158" s="166" t="inlineStr">
        <is>
          <t>C146 / 148 SVG</t>
        </is>
      </c>
      <c r="H158" s="166" t="inlineStr">
        <is>
          <t>358 X 358</t>
        </is>
      </c>
      <c r="I158" s="166" t="inlineStr">
        <is>
          <t>14.5 X 14.5</t>
        </is>
      </c>
      <c r="J158" s="166" t="n">
        <v>1</v>
      </c>
      <c r="K158" s="176" t="n"/>
      <c r="L158" s="25" t="n"/>
      <c r="M158" s="26" t="n">
        <v>0.4398148148148148</v>
      </c>
      <c r="N158" s="25" t="n"/>
      <c r="O158" s="27" t="n"/>
    </row>
    <row r="159" ht="15" customHeight="1">
      <c r="A159" s="197" t="n">
        <v>20</v>
      </c>
      <c r="B159" s="198" t="inlineStr">
        <is>
          <t>C 156</t>
        </is>
      </c>
      <c r="C159" s="179" t="inlineStr">
        <is>
          <t>LVP</t>
        </is>
      </c>
      <c r="D159" s="180" t="inlineStr">
        <is>
          <t>Top</t>
        </is>
      </c>
      <c r="E159" s="180" t="n">
        <v>40</v>
      </c>
      <c r="F159" s="180" t="inlineStr">
        <is>
          <t>Single</t>
        </is>
      </c>
      <c r="G159" s="180" t="inlineStr">
        <is>
          <t>C156 /158 LVP</t>
        </is>
      </c>
      <c r="H159" s="180" t="inlineStr">
        <is>
          <t>363 X 363</t>
        </is>
      </c>
      <c r="I159" s="180" t="inlineStr">
        <is>
          <t>30 X 30</t>
        </is>
      </c>
      <c r="J159" s="180" t="n">
        <v>4</v>
      </c>
      <c r="K159" s="181" t="n"/>
      <c r="L159" s="31" t="n"/>
      <c r="M159" s="32" t="n">
        <v>0.6977821913273751</v>
      </c>
      <c r="N159" s="31" t="n"/>
      <c r="O159" s="33" t="n"/>
    </row>
    <row r="160" ht="15" customHeight="1">
      <c r="A160" s="232" t="n"/>
      <c r="B160" s="232" t="n"/>
      <c r="C160" s="168" t="n"/>
      <c r="D160" s="169" t="inlineStr">
        <is>
          <t>Bottom</t>
        </is>
      </c>
      <c r="E160" s="169" t="n">
        <v>40</v>
      </c>
      <c r="F160" s="169" t="inlineStr">
        <is>
          <t>Single</t>
        </is>
      </c>
      <c r="G160" s="180" t="inlineStr">
        <is>
          <t>C156 /158 LVP</t>
        </is>
      </c>
      <c r="H160" s="180" t="inlineStr">
        <is>
          <t>363 X 363</t>
        </is>
      </c>
      <c r="I160" s="180" t="inlineStr">
        <is>
          <t>30 X 30</t>
        </is>
      </c>
      <c r="J160" s="180" t="n">
        <v>4</v>
      </c>
      <c r="K160" s="171" t="n"/>
      <c r="L160" s="14" t="n"/>
      <c r="M160" s="15" t="n">
        <v>0.6977821913273751</v>
      </c>
      <c r="N160" s="14" t="n"/>
      <c r="O160" s="16" t="n"/>
    </row>
    <row r="161" ht="15.75" customHeight="1">
      <c r="A161" s="234" t="n"/>
      <c r="B161" s="234" t="n"/>
      <c r="C161" s="175" t="inlineStr">
        <is>
          <t>SVG</t>
        </is>
      </c>
      <c r="D161" s="166" t="inlineStr">
        <is>
          <t>-</t>
        </is>
      </c>
      <c r="E161" s="166" t="n">
        <v>22</v>
      </c>
      <c r="F161" s="166" t="inlineStr">
        <is>
          <t>Single</t>
        </is>
      </c>
      <c r="G161" s="166" t="inlineStr">
        <is>
          <t>C156 /158 SVG</t>
        </is>
      </c>
      <c r="H161" s="166" t="inlineStr">
        <is>
          <t>380 X 380</t>
        </is>
      </c>
      <c r="I161" s="166" t="inlineStr">
        <is>
          <t>31 X 31</t>
        </is>
      </c>
      <c r="J161" s="166" t="n">
        <v>4</v>
      </c>
      <c r="K161" s="176" t="n"/>
      <c r="L161" s="25" t="n"/>
      <c r="M161" s="26" t="n">
        <v>0.4398148148148148</v>
      </c>
      <c r="N161" s="25" t="n"/>
      <c r="O161" s="27" t="n"/>
    </row>
    <row r="162" ht="15" customHeight="1">
      <c r="A162" s="197" t="n">
        <v>21</v>
      </c>
      <c r="B162" s="198" t="inlineStr">
        <is>
          <t>C 158</t>
        </is>
      </c>
      <c r="C162" s="179" t="inlineStr">
        <is>
          <t>LVP</t>
        </is>
      </c>
      <c r="D162" s="180" t="inlineStr">
        <is>
          <t>Top</t>
        </is>
      </c>
      <c r="E162" s="180" t="n">
        <v>40</v>
      </c>
      <c r="F162" s="180" t="inlineStr">
        <is>
          <t>Single</t>
        </is>
      </c>
      <c r="G162" s="180" t="inlineStr">
        <is>
          <t>C156 /158 LVP</t>
        </is>
      </c>
      <c r="H162" s="180" t="inlineStr">
        <is>
          <t>363 X 363</t>
        </is>
      </c>
      <c r="I162" s="180" t="inlineStr">
        <is>
          <t>30 X 30</t>
        </is>
      </c>
      <c r="J162" s="180" t="n">
        <v>4</v>
      </c>
      <c r="K162" s="181" t="n"/>
      <c r="L162" s="31" t="n"/>
      <c r="M162" s="32" t="n">
        <v>0.6977821913273751</v>
      </c>
      <c r="N162" s="31" t="n"/>
      <c r="O162" s="33" t="n"/>
    </row>
    <row r="163" ht="15" customHeight="1">
      <c r="A163" s="232" t="n"/>
      <c r="B163" s="232" t="n"/>
      <c r="C163" s="168" t="n"/>
      <c r="D163" s="169" t="inlineStr">
        <is>
          <t>Bottom</t>
        </is>
      </c>
      <c r="E163" s="169" t="n">
        <v>40</v>
      </c>
      <c r="F163" s="169" t="inlineStr">
        <is>
          <t>Single</t>
        </is>
      </c>
      <c r="G163" s="180" t="inlineStr">
        <is>
          <t>C156 /158 LVP</t>
        </is>
      </c>
      <c r="H163" s="180" t="inlineStr">
        <is>
          <t>363 X 363</t>
        </is>
      </c>
      <c r="I163" s="180" t="inlineStr">
        <is>
          <t>30 X 30</t>
        </is>
      </c>
      <c r="J163" s="180" t="n">
        <v>4</v>
      </c>
      <c r="K163" s="171" t="n"/>
      <c r="L163" s="14" t="n"/>
      <c r="M163" s="15" t="n">
        <v>0.6977821913273751</v>
      </c>
      <c r="N163" s="14" t="n"/>
      <c r="O163" s="16" t="n"/>
    </row>
    <row r="164" ht="15.75" customHeight="1">
      <c r="A164" s="234" t="n"/>
      <c r="B164" s="234" t="n"/>
      <c r="C164" s="175" t="inlineStr">
        <is>
          <t>SVG</t>
        </is>
      </c>
      <c r="D164" s="166" t="inlineStr">
        <is>
          <t>-</t>
        </is>
      </c>
      <c r="E164" s="166" t="n">
        <v>22</v>
      </c>
      <c r="F164" s="166" t="inlineStr">
        <is>
          <t>Single</t>
        </is>
      </c>
      <c r="G164" s="166" t="inlineStr">
        <is>
          <t>C156 /158 SVG</t>
        </is>
      </c>
      <c r="H164" s="166" t="inlineStr">
        <is>
          <t>380 X 380</t>
        </is>
      </c>
      <c r="I164" s="166" t="inlineStr">
        <is>
          <t>31 X 31</t>
        </is>
      </c>
      <c r="J164" s="166" t="n">
        <v>4</v>
      </c>
      <c r="K164" s="176" t="n"/>
      <c r="L164" s="25" t="n"/>
      <c r="M164" s="26" t="n">
        <v>0.4398148148148148</v>
      </c>
      <c r="N164" s="25" t="n"/>
      <c r="O164" s="27" t="n"/>
    </row>
    <row r="165" ht="15" customHeight="1">
      <c r="A165" s="197" t="n">
        <v>22</v>
      </c>
      <c r="B165" s="198" t="inlineStr">
        <is>
          <t>C 178</t>
        </is>
      </c>
      <c r="C165" s="179" t="inlineStr">
        <is>
          <t>LVP</t>
        </is>
      </c>
      <c r="D165" s="180" t="inlineStr">
        <is>
          <t>Top</t>
        </is>
      </c>
      <c r="E165" s="180" t="n">
        <v>40</v>
      </c>
      <c r="F165" s="180" t="inlineStr">
        <is>
          <t>Single</t>
        </is>
      </c>
      <c r="G165" s="180" t="inlineStr">
        <is>
          <t>C178 LVP</t>
        </is>
      </c>
      <c r="H165" s="180" t="inlineStr">
        <is>
          <t>431 X 431</t>
        </is>
      </c>
      <c r="I165" s="180" t="inlineStr">
        <is>
          <t>17.5 X 17.5</t>
        </is>
      </c>
      <c r="J165" s="180" t="n">
        <v>1</v>
      </c>
      <c r="K165" s="181" t="n"/>
      <c r="L165" s="31" t="n"/>
      <c r="M165" s="32" t="n">
        <v>0.6977821913273751</v>
      </c>
      <c r="N165" s="31" t="n"/>
      <c r="O165" s="33" t="n"/>
    </row>
    <row r="166" ht="15" customHeight="1">
      <c r="A166" s="232" t="n"/>
      <c r="B166" s="232" t="n"/>
      <c r="C166" s="168" t="n"/>
      <c r="D166" s="169" t="inlineStr">
        <is>
          <t>Bottom</t>
        </is>
      </c>
      <c r="E166" s="169" t="n">
        <v>40</v>
      </c>
      <c r="F166" s="169" t="inlineStr">
        <is>
          <t>Single</t>
        </is>
      </c>
      <c r="G166" s="180" t="inlineStr">
        <is>
          <t>C178 LVP</t>
        </is>
      </c>
      <c r="H166" s="180" t="inlineStr">
        <is>
          <t>431 X 431</t>
        </is>
      </c>
      <c r="I166" s="180" t="inlineStr">
        <is>
          <t>17.5 X 17.5</t>
        </is>
      </c>
      <c r="J166" s="180" t="n">
        <v>1</v>
      </c>
      <c r="K166" s="171" t="n"/>
      <c r="L166" s="14" t="n"/>
      <c r="M166" s="15" t="n">
        <v>0.6977821913273751</v>
      </c>
      <c r="N166" s="14" t="n"/>
      <c r="O166" s="16" t="n"/>
    </row>
    <row r="167" ht="15.75" customHeight="1">
      <c r="A167" s="234" t="n"/>
      <c r="B167" s="234" t="n"/>
      <c r="C167" s="175" t="inlineStr">
        <is>
          <t>SVG</t>
        </is>
      </c>
      <c r="D167" s="166" t="inlineStr">
        <is>
          <t>-</t>
        </is>
      </c>
      <c r="E167" s="166" t="n">
        <v>22</v>
      </c>
      <c r="F167" s="166" t="inlineStr">
        <is>
          <t>Single</t>
        </is>
      </c>
      <c r="G167" s="166" t="inlineStr">
        <is>
          <t>C178 SVG</t>
        </is>
      </c>
      <c r="H167" s="166" t="inlineStr">
        <is>
          <t>449 X 449</t>
        </is>
      </c>
      <c r="I167" s="166" t="inlineStr">
        <is>
          <t>18 X 18</t>
        </is>
      </c>
      <c r="J167" s="166" t="n">
        <v>1</v>
      </c>
      <c r="K167" s="176" t="n"/>
      <c r="L167" s="25" t="n"/>
      <c r="M167" s="26" t="n">
        <v>0.4398148148148148</v>
      </c>
      <c r="N167" s="25" t="n"/>
      <c r="O167" s="27" t="n"/>
    </row>
    <row r="168" ht="15.75" customHeight="1">
      <c r="A168" s="199" t="n"/>
      <c r="B168" s="200" t="n"/>
      <c r="C168" s="200" t="n"/>
      <c r="D168" s="201" t="n"/>
      <c r="E168" s="201" t="n"/>
      <c r="F168" s="201" t="n"/>
      <c r="G168" s="201" t="n"/>
      <c r="H168" s="201" t="n"/>
      <c r="I168" s="201" t="n"/>
      <c r="J168" s="201" t="n"/>
      <c r="K168" s="64" t="n"/>
      <c r="L168" s="64" t="n"/>
      <c r="M168" s="65" t="n"/>
      <c r="N168" s="64" t="n"/>
      <c r="O168" s="66" t="n"/>
    </row>
    <row r="169" ht="15" customHeight="1">
      <c r="A169" s="197" t="n"/>
      <c r="B169" s="198" t="inlineStr">
        <is>
          <t>GAV 10</t>
        </is>
      </c>
      <c r="C169" s="179" t="inlineStr">
        <is>
          <t>LVP</t>
        </is>
      </c>
      <c r="D169" s="180" t="inlineStr">
        <is>
          <t>Top</t>
        </is>
      </c>
      <c r="E169" s="180" t="n">
        <v>70</v>
      </c>
      <c r="F169" s="180" t="inlineStr">
        <is>
          <t>Passing</t>
        </is>
      </c>
      <c r="G169" s="180" t="inlineStr">
        <is>
          <t>GNR 10 LVP</t>
        </is>
      </c>
      <c r="H169" s="180" t="inlineStr">
        <is>
          <t>40 X 62</t>
        </is>
      </c>
      <c r="I169" s="180" t="inlineStr">
        <is>
          <t>20.5 X 22</t>
        </is>
      </c>
      <c r="J169" s="180" t="n">
        <v>88</v>
      </c>
      <c r="K169" s="202" t="n"/>
      <c r="L169" s="31" t="n"/>
      <c r="M169" s="32" t="n">
        <v>1.269736842105263</v>
      </c>
      <c r="N169" s="31" t="n"/>
      <c r="O169" s="33" t="n"/>
    </row>
    <row r="170" ht="15" customHeight="1">
      <c r="A170" s="232" t="n"/>
      <c r="B170" s="232" t="n"/>
      <c r="C170" s="168" t="n"/>
      <c r="D170" s="169" t="inlineStr">
        <is>
          <t>Bottom</t>
        </is>
      </c>
      <c r="E170" s="169" t="n"/>
      <c r="F170" s="180" t="n"/>
      <c r="G170" s="180" t="n"/>
      <c r="H170" s="180" t="n"/>
      <c r="I170" s="180" t="n"/>
      <c r="J170" s="180" t="n"/>
      <c r="K170" s="202" t="n"/>
      <c r="L170" s="14" t="n"/>
      <c r="M170" s="15" t="e">
        <v>#N/A</v>
      </c>
      <c r="N170" s="14" t="n"/>
      <c r="O170" s="16" t="n"/>
    </row>
    <row r="171" ht="15.75" customHeight="1">
      <c r="A171" s="234" t="n"/>
      <c r="B171" s="234" t="n"/>
      <c r="C171" s="175" t="inlineStr">
        <is>
          <t>SVG</t>
        </is>
      </c>
      <c r="D171" s="166" t="inlineStr">
        <is>
          <t>-</t>
        </is>
      </c>
      <c r="E171" s="166" t="n">
        <v>22</v>
      </c>
      <c r="F171" s="166" t="inlineStr">
        <is>
          <t>Passing</t>
        </is>
      </c>
      <c r="G171" s="166" t="inlineStr">
        <is>
          <t>GNR 10 SVG</t>
        </is>
      </c>
      <c r="H171" s="166" t="inlineStr">
        <is>
          <t>51 X 72</t>
        </is>
      </c>
      <c r="I171" s="166" t="inlineStr">
        <is>
          <t>19 X 23</t>
        </is>
      </c>
      <c r="J171" s="166" t="n">
        <v>60</v>
      </c>
      <c r="K171" s="202" t="n"/>
      <c r="L171" s="25" t="n"/>
      <c r="M171" s="26" t="n">
        <v>0.4398148148148148</v>
      </c>
      <c r="N171" s="25" t="n"/>
      <c r="O171" s="27" t="n"/>
    </row>
    <row r="172" ht="15" customHeight="1">
      <c r="A172" s="197" t="n"/>
      <c r="B172" s="198" t="inlineStr">
        <is>
          <t>GAV 12</t>
        </is>
      </c>
      <c r="C172" s="179" t="inlineStr">
        <is>
          <t>LVP</t>
        </is>
      </c>
      <c r="D172" s="180" t="inlineStr">
        <is>
          <t>Top</t>
        </is>
      </c>
      <c r="E172" s="180" t="n">
        <v>70</v>
      </c>
      <c r="F172" s="180" t="inlineStr">
        <is>
          <t>Passing</t>
        </is>
      </c>
      <c r="G172" s="180" t="inlineStr">
        <is>
          <t>GNR 12 LVP</t>
        </is>
      </c>
      <c r="H172" s="180" t="inlineStr">
        <is>
          <t>54 X 107</t>
        </is>
      </c>
      <c r="I172" s="180" t="inlineStr">
        <is>
          <t>22 X 23</t>
        </is>
      </c>
      <c r="J172" s="180" t="n">
        <v>45</v>
      </c>
      <c r="K172" s="181" t="n"/>
      <c r="L172" s="31" t="n"/>
      <c r="M172" s="32" t="n">
        <v>1.269736842105263</v>
      </c>
      <c r="N172" s="31" t="n"/>
      <c r="O172" s="33" t="n"/>
    </row>
    <row r="173" ht="15" customHeight="1">
      <c r="A173" s="232" t="n"/>
      <c r="B173" s="232" t="n"/>
      <c r="C173" s="168" t="n"/>
      <c r="D173" s="169" t="inlineStr">
        <is>
          <t>Bottom</t>
        </is>
      </c>
      <c r="E173" s="169" t="n"/>
      <c r="F173" s="180" t="n"/>
      <c r="G173" s="180" t="n"/>
      <c r="H173" s="180" t="n"/>
      <c r="I173" s="180" t="n"/>
      <c r="J173" s="180" t="n"/>
      <c r="K173" s="181" t="n"/>
      <c r="L173" s="14" t="n"/>
      <c r="M173" s="15" t="e">
        <v>#N/A</v>
      </c>
      <c r="N173" s="14" t="n"/>
      <c r="O173" s="16" t="n"/>
    </row>
    <row r="174" ht="15.75" customHeight="1">
      <c r="A174" s="234" t="n"/>
      <c r="B174" s="234" t="n"/>
      <c r="C174" s="175" t="inlineStr">
        <is>
          <t>SVG</t>
        </is>
      </c>
      <c r="D174" s="166" t="inlineStr">
        <is>
          <t>-</t>
        </is>
      </c>
      <c r="E174" s="166" t="n">
        <v>22</v>
      </c>
      <c r="F174" s="166" t="inlineStr">
        <is>
          <t>Passing</t>
        </is>
      </c>
      <c r="G174" s="166" t="inlineStr">
        <is>
          <t>GNR 12 SVG</t>
        </is>
      </c>
      <c r="H174" s="166" t="inlineStr">
        <is>
          <t>65 X 118</t>
        </is>
      </c>
      <c r="I174" s="166" t="inlineStr">
        <is>
          <t>20.5 X 23</t>
        </is>
      </c>
      <c r="J174" s="166" t="n">
        <v>32</v>
      </c>
      <c r="K174" s="176" t="n"/>
      <c r="L174" s="25" t="n"/>
      <c r="M174" s="26" t="n">
        <v>0.4398148148148148</v>
      </c>
      <c r="N174" s="25" t="n"/>
      <c r="O174" s="27" t="n"/>
    </row>
    <row r="175" ht="15" customHeight="1">
      <c r="A175" s="197" t="n"/>
      <c r="B175" s="198" t="inlineStr">
        <is>
          <t>GAV 14</t>
        </is>
      </c>
      <c r="C175" s="179" t="inlineStr">
        <is>
          <t>LVP</t>
        </is>
      </c>
      <c r="D175" s="180" t="inlineStr">
        <is>
          <t>Top</t>
        </is>
      </c>
      <c r="E175" s="180" t="n">
        <v>70</v>
      </c>
      <c r="F175" s="192" t="inlineStr">
        <is>
          <t>Single</t>
        </is>
      </c>
      <c r="G175" s="180" t="inlineStr">
        <is>
          <t>GNR 14 LVP</t>
        </is>
      </c>
      <c r="H175" s="180" t="inlineStr">
        <is>
          <t>65 X 117</t>
        </is>
      </c>
      <c r="I175" s="180" t="inlineStr">
        <is>
          <t>24.5 X 25.5</t>
        </is>
      </c>
      <c r="J175" s="180" t="n">
        <v>40</v>
      </c>
      <c r="K175" s="181" t="n"/>
      <c r="L175" s="31" t="n"/>
      <c r="M175" s="32" t="n">
        <v>1.269736842105263</v>
      </c>
      <c r="N175" s="31" t="n"/>
      <c r="O175" s="33" t="n"/>
    </row>
    <row r="176" ht="15" customHeight="1">
      <c r="A176" s="232" t="n"/>
      <c r="B176" s="232" t="n"/>
      <c r="C176" s="168" t="n"/>
      <c r="D176" s="169" t="inlineStr">
        <is>
          <t>Bottom</t>
        </is>
      </c>
      <c r="E176" s="169" t="n"/>
      <c r="G176" s="180" t="n"/>
      <c r="H176" s="180" t="n"/>
      <c r="I176" s="180" t="n"/>
      <c r="J176" s="180" t="n"/>
      <c r="K176" s="181" t="n"/>
      <c r="L176" s="14" t="n"/>
      <c r="M176" s="15" t="e">
        <v>#N/A</v>
      </c>
      <c r="N176" s="14" t="n"/>
      <c r="O176" s="16" t="n"/>
    </row>
    <row r="177" ht="15.75" customHeight="1">
      <c r="A177" s="234" t="n"/>
      <c r="B177" s="234" t="n"/>
      <c r="C177" s="175" t="inlineStr">
        <is>
          <t>SVG</t>
        </is>
      </c>
      <c r="D177" s="166" t="inlineStr">
        <is>
          <t>-</t>
        </is>
      </c>
      <c r="E177" s="166" t="n">
        <v>22</v>
      </c>
      <c r="F177" s="166" t="inlineStr">
        <is>
          <t>Single</t>
        </is>
      </c>
      <c r="G177" s="166" t="inlineStr">
        <is>
          <t>GNR 14 SVG</t>
        </is>
      </c>
      <c r="H177" s="166" t="inlineStr">
        <is>
          <t>75 X 128</t>
        </is>
      </c>
      <c r="I177" s="166" t="inlineStr">
        <is>
          <t>21 X 22</t>
        </is>
      </c>
      <c r="J177" s="166" t="n">
        <v>24</v>
      </c>
      <c r="K177" s="176" t="n"/>
      <c r="L177" s="25" t="n"/>
      <c r="M177" s="26" t="n">
        <v>0.4398148148148148</v>
      </c>
      <c r="N177" s="25" t="n"/>
      <c r="O177" s="27" t="n"/>
    </row>
    <row r="178" ht="15" customHeight="1">
      <c r="A178" s="186" t="n"/>
      <c r="B178" s="198" t="inlineStr">
        <is>
          <t>RAD 15</t>
        </is>
      </c>
      <c r="C178" s="184" t="inlineStr">
        <is>
          <t>LVP</t>
        </is>
      </c>
      <c r="D178" s="180" t="inlineStr">
        <is>
          <t>Top</t>
        </is>
      </c>
      <c r="E178" s="180" t="n">
        <v>60</v>
      </c>
      <c r="F178" s="185" t="inlineStr">
        <is>
          <t>Passing</t>
        </is>
      </c>
      <c r="G178" s="180" t="inlineStr">
        <is>
          <t>MCX 15 LVP</t>
        </is>
      </c>
      <c r="H178" s="180" t="inlineStr">
        <is>
          <t>61 X 75</t>
        </is>
      </c>
      <c r="I178" s="180" t="inlineStr">
        <is>
          <t>19 X 23</t>
        </is>
      </c>
      <c r="J178" s="180" t="n">
        <v>49</v>
      </c>
      <c r="K178" s="181" t="n"/>
      <c r="L178" s="31" t="n"/>
      <c r="M178" s="32" t="n">
        <v>1.103988603988604</v>
      </c>
      <c r="N178" s="31" t="n"/>
      <c r="O178" s="33" t="n"/>
    </row>
    <row r="179" ht="15" customHeight="1">
      <c r="A179" s="232" t="n"/>
      <c r="B179" s="232" t="n"/>
      <c r="C179" s="235" t="n"/>
      <c r="D179" s="169" t="inlineStr">
        <is>
          <t>Bottom</t>
        </is>
      </c>
      <c r="E179" s="169" t="n"/>
      <c r="F179" s="180" t="n"/>
      <c r="G179" s="169" t="n"/>
      <c r="H179" s="169" t="n"/>
      <c r="I179" s="169" t="n"/>
      <c r="J179" s="169" t="n"/>
      <c r="K179" s="171" t="n"/>
      <c r="L179" s="14" t="n"/>
      <c r="M179" s="15" t="e">
        <v>#N/A</v>
      </c>
      <c r="N179" s="14" t="n"/>
      <c r="O179" s="16" t="n"/>
    </row>
    <row r="180" ht="15.75" customHeight="1">
      <c r="A180" s="234" t="n"/>
      <c r="B180" s="234" t="n"/>
      <c r="C180" s="175" t="inlineStr">
        <is>
          <t>SVG</t>
        </is>
      </c>
      <c r="D180" s="166" t="inlineStr">
        <is>
          <t>-</t>
        </is>
      </c>
      <c r="E180" s="166" t="n">
        <v>22</v>
      </c>
      <c r="F180" s="166" t="inlineStr">
        <is>
          <t>Passing</t>
        </is>
      </c>
      <c r="G180" s="166" t="inlineStr">
        <is>
          <t>MCX 15 SVG</t>
        </is>
      </c>
      <c r="H180" s="166" t="inlineStr">
        <is>
          <t>71 X 85</t>
        </is>
      </c>
      <c r="I180" s="166" t="inlineStr">
        <is>
          <t>18.5 X 22</t>
        </is>
      </c>
      <c r="J180" s="166" t="n">
        <v>36</v>
      </c>
      <c r="K180" s="176" t="n"/>
      <c r="L180" s="68" t="n"/>
      <c r="M180" s="69" t="n">
        <v>0.4398148148148148</v>
      </c>
      <c r="N180" s="68" t="n"/>
      <c r="O180" s="70" t="n"/>
    </row>
    <row r="181" ht="15" customHeight="1">
      <c r="A181" s="203" t="n"/>
      <c r="B181" s="198" t="inlineStr">
        <is>
          <t>RAD 19</t>
        </is>
      </c>
      <c r="C181" s="184" t="inlineStr">
        <is>
          <t>LVP</t>
        </is>
      </c>
      <c r="D181" s="180" t="inlineStr">
        <is>
          <t>Top</t>
        </is>
      </c>
      <c r="E181" s="180" t="n">
        <v>40</v>
      </c>
      <c r="F181" s="180" t="inlineStr">
        <is>
          <t>Single</t>
        </is>
      </c>
      <c r="G181" s="180" t="inlineStr">
        <is>
          <t>New Die</t>
        </is>
      </c>
      <c r="H181" s="180" t="inlineStr">
        <is>
          <t>90 X 106</t>
        </is>
      </c>
      <c r="I181" s="180" t="inlineStr">
        <is>
          <t>23 X 24</t>
        </is>
      </c>
      <c r="J181" s="180" t="n">
        <v>30</v>
      </c>
      <c r="K181" s="181" t="n"/>
      <c r="L181" s="72" t="n"/>
      <c r="M181" s="73" t="n">
        <v>0.6977821913273751</v>
      </c>
      <c r="N181" s="72" t="n"/>
      <c r="O181" s="74" t="n"/>
    </row>
    <row r="182" ht="15" customHeight="1">
      <c r="A182" s="203" t="n"/>
      <c r="B182" s="232" t="n"/>
      <c r="C182" s="235" t="n"/>
      <c r="D182" s="169" t="inlineStr">
        <is>
          <t>Bottom</t>
        </is>
      </c>
      <c r="E182" s="169" t="n">
        <v>40</v>
      </c>
      <c r="F182" s="180" t="inlineStr">
        <is>
          <t>Single</t>
        </is>
      </c>
      <c r="G182" s="180" t="inlineStr">
        <is>
          <t>New Die</t>
        </is>
      </c>
      <c r="H182" s="180" t="inlineStr">
        <is>
          <t>90 X 106</t>
        </is>
      </c>
      <c r="I182" s="180" t="inlineStr">
        <is>
          <t>23 X 24</t>
        </is>
      </c>
      <c r="J182" s="180" t="n">
        <v>30</v>
      </c>
      <c r="K182" s="171" t="n"/>
      <c r="L182" s="14" t="n"/>
      <c r="M182" s="15" t="n">
        <v>0.6977821913273751</v>
      </c>
      <c r="N182" s="14" t="n"/>
      <c r="O182" s="16" t="n"/>
    </row>
    <row r="183" ht="15.75" customHeight="1">
      <c r="A183" s="204" t="n"/>
      <c r="B183" s="234" t="n"/>
      <c r="C183" s="175" t="inlineStr">
        <is>
          <t>SVG</t>
        </is>
      </c>
      <c r="D183" s="166" t="inlineStr">
        <is>
          <t>-</t>
        </is>
      </c>
      <c r="E183" s="166" t="n">
        <v>22</v>
      </c>
      <c r="F183" s="166" t="inlineStr">
        <is>
          <t>Single</t>
        </is>
      </c>
      <c r="G183" s="180" t="inlineStr">
        <is>
          <t>New Die</t>
        </is>
      </c>
      <c r="H183" s="166" t="inlineStr">
        <is>
          <t>103 X 118</t>
        </is>
      </c>
      <c r="I183" s="166" t="inlineStr">
        <is>
          <t>21 X 23</t>
        </is>
      </c>
      <c r="J183" s="166" t="n">
        <v>20</v>
      </c>
      <c r="K183" s="205" t="n"/>
      <c r="L183" s="25" t="n"/>
      <c r="M183" s="26" t="n">
        <v>0.4398148148148148</v>
      </c>
      <c r="N183" s="25" t="n"/>
      <c r="O183" s="27" t="n"/>
    </row>
    <row r="184" ht="15" customHeight="1">
      <c r="A184" s="203" t="n"/>
      <c r="B184" s="198" t="inlineStr">
        <is>
          <t>RAD 20</t>
        </is>
      </c>
      <c r="C184" s="184" t="inlineStr">
        <is>
          <t>LVP</t>
        </is>
      </c>
      <c r="D184" s="180" t="inlineStr">
        <is>
          <t>Top</t>
        </is>
      </c>
      <c r="E184" s="180" t="n">
        <v>60</v>
      </c>
      <c r="F184" s="180" t="inlineStr">
        <is>
          <t>Passing</t>
        </is>
      </c>
      <c r="G184" s="185" t="inlineStr">
        <is>
          <t>Turkey MCX 20 LVP</t>
        </is>
      </c>
      <c r="H184" s="206" t="inlineStr">
        <is>
          <t>65 X 110</t>
        </is>
      </c>
      <c r="I184" s="185" t="inlineStr">
        <is>
          <t>24.5 X 24</t>
        </is>
      </c>
      <c r="J184" s="185" t="n">
        <v>35</v>
      </c>
      <c r="K184" s="207" t="n"/>
      <c r="L184" s="72" t="n"/>
      <c r="M184" s="73" t="n">
        <v>1.103988603988604</v>
      </c>
      <c r="N184" s="72" t="n"/>
      <c r="O184" s="74" t="n"/>
    </row>
    <row r="185" ht="15" customHeight="1">
      <c r="A185" s="203" t="n"/>
      <c r="B185" s="232" t="n"/>
      <c r="C185" s="235" t="n"/>
      <c r="D185" s="169" t="inlineStr">
        <is>
          <t>Bottom</t>
        </is>
      </c>
      <c r="E185" s="169" t="n"/>
      <c r="F185" s="180" t="n"/>
      <c r="G185" s="169" t="n"/>
      <c r="H185" s="208" t="n"/>
      <c r="I185" s="169" t="n"/>
      <c r="J185" s="169" t="n"/>
      <c r="K185" s="171" t="n"/>
      <c r="L185" s="14" t="n"/>
      <c r="M185" s="15" t="e">
        <v>#N/A</v>
      </c>
      <c r="N185" s="14" t="n"/>
      <c r="O185" s="16" t="n"/>
    </row>
    <row r="186" ht="15.75" customHeight="1">
      <c r="A186" s="203" t="n"/>
      <c r="B186" s="234" t="n"/>
      <c r="C186" s="175" t="inlineStr">
        <is>
          <t>SVG</t>
        </is>
      </c>
      <c r="D186" s="166" t="inlineStr">
        <is>
          <t>-</t>
        </is>
      </c>
      <c r="E186" s="166" t="n">
        <v>22</v>
      </c>
      <c r="F186" s="166" t="inlineStr">
        <is>
          <t>Passing</t>
        </is>
      </c>
      <c r="G186" s="175" t="inlineStr">
        <is>
          <t>Turkey MCX 20 SVG</t>
        </is>
      </c>
      <c r="H186" s="209" t="inlineStr">
        <is>
          <t>75 X 120</t>
        </is>
      </c>
      <c r="I186" s="209" t="inlineStr">
        <is>
          <t>21 X 24</t>
        </is>
      </c>
      <c r="J186" s="205" t="n">
        <v>28</v>
      </c>
      <c r="K186" s="205" t="n"/>
      <c r="L186" s="25" t="n"/>
      <c r="M186" s="26" t="n">
        <v>0.4398148148148148</v>
      </c>
      <c r="N186" s="25" t="n"/>
      <c r="O186" s="27" t="n"/>
    </row>
    <row r="187" ht="15" customHeight="1">
      <c r="A187" s="203" t="n"/>
      <c r="B187" s="198" t="inlineStr">
        <is>
          <t>RAD 25</t>
        </is>
      </c>
      <c r="C187" s="184" t="inlineStr">
        <is>
          <t>LVP</t>
        </is>
      </c>
      <c r="D187" s="180" t="inlineStr">
        <is>
          <t>Top</t>
        </is>
      </c>
      <c r="E187" s="180" t="n">
        <v>40</v>
      </c>
      <c r="F187" s="180" t="inlineStr">
        <is>
          <t>Single</t>
        </is>
      </c>
      <c r="G187" s="180" t="inlineStr">
        <is>
          <t>New Die</t>
        </is>
      </c>
      <c r="H187" s="180" t="inlineStr">
        <is>
          <t>90 x 101</t>
        </is>
      </c>
      <c r="I187" s="180" t="inlineStr">
        <is>
          <t>22 X 24</t>
        </is>
      </c>
      <c r="J187" s="180" t="n">
        <v>30</v>
      </c>
      <c r="K187" s="181" t="n"/>
      <c r="L187" s="72" t="n"/>
      <c r="M187" s="73" t="n">
        <v>0.6977821913273751</v>
      </c>
      <c r="N187" s="72" t="n"/>
      <c r="O187" s="74" t="n"/>
    </row>
    <row r="188" ht="15" customHeight="1">
      <c r="A188" s="203" t="n"/>
      <c r="B188" s="232" t="n"/>
      <c r="C188" s="235" t="n"/>
      <c r="D188" s="169" t="inlineStr">
        <is>
          <t>Bottom</t>
        </is>
      </c>
      <c r="E188" s="169" t="n">
        <v>40</v>
      </c>
      <c r="F188" s="180" t="inlineStr">
        <is>
          <t>Single</t>
        </is>
      </c>
      <c r="G188" s="180" t="inlineStr">
        <is>
          <t>New Die</t>
        </is>
      </c>
      <c r="H188" s="169" t="inlineStr">
        <is>
          <t>100 X 111</t>
        </is>
      </c>
      <c r="I188" s="180" t="inlineStr">
        <is>
          <t>22 X 24</t>
        </is>
      </c>
      <c r="J188" s="169" t="n">
        <v>25</v>
      </c>
      <c r="K188" s="171" t="n"/>
      <c r="L188" s="14" t="n"/>
      <c r="M188" s="15" t="n">
        <v>0.6977821913273751</v>
      </c>
      <c r="N188" s="14" t="n"/>
      <c r="O188" s="16" t="n"/>
    </row>
    <row r="189" ht="15.75" customHeight="1">
      <c r="A189" s="204" t="n"/>
      <c r="B189" s="234" t="n"/>
      <c r="C189" s="175" t="inlineStr">
        <is>
          <t>SVG</t>
        </is>
      </c>
      <c r="D189" s="166" t="inlineStr">
        <is>
          <t>-</t>
        </is>
      </c>
      <c r="E189" s="166" t="n">
        <v>22</v>
      </c>
      <c r="F189" s="166" t="inlineStr">
        <is>
          <t>Single</t>
        </is>
      </c>
      <c r="G189" s="180" t="inlineStr">
        <is>
          <t>New Die</t>
        </is>
      </c>
      <c r="H189" s="166" t="inlineStr">
        <is>
          <t>113 X 123</t>
        </is>
      </c>
      <c r="I189" s="166" t="inlineStr">
        <is>
          <t>20 X 21</t>
        </is>
      </c>
      <c r="J189" s="166" t="n">
        <v>16</v>
      </c>
      <c r="K189" s="205" t="n"/>
      <c r="L189" s="25" t="n"/>
      <c r="M189" s="26" t="n">
        <v>0.4398148148148148</v>
      </c>
      <c r="N189" s="25" t="n"/>
      <c r="O189" s="27" t="n"/>
    </row>
    <row r="190" ht="15" customHeight="1">
      <c r="A190" s="203" t="n"/>
      <c r="B190" s="198" t="inlineStr">
        <is>
          <t>Gav 35</t>
        </is>
      </c>
      <c r="C190" s="184" t="inlineStr">
        <is>
          <t>LVP</t>
        </is>
      </c>
      <c r="D190" s="180" t="inlineStr">
        <is>
          <t>Top</t>
        </is>
      </c>
      <c r="E190" s="180" t="n">
        <v>40</v>
      </c>
      <c r="F190" s="180" t="inlineStr">
        <is>
          <t>Single</t>
        </is>
      </c>
      <c r="G190" s="185" t="inlineStr">
        <is>
          <t>GNR 35 TOP LVP</t>
        </is>
      </c>
      <c r="H190" s="206" t="inlineStr">
        <is>
          <t>100 X 149</t>
        </is>
      </c>
      <c r="I190" s="185" t="inlineStr">
        <is>
          <t>22 X 25.5</t>
        </is>
      </c>
      <c r="J190" s="185" t="n">
        <v>20</v>
      </c>
      <c r="K190" s="207" t="n"/>
      <c r="L190" s="72" t="n"/>
      <c r="M190" s="73" t="n">
        <v>0.6977821913273751</v>
      </c>
      <c r="N190" s="72" t="n"/>
      <c r="O190" s="74" t="n"/>
    </row>
    <row r="191" ht="15" customHeight="1">
      <c r="A191" s="203" t="n"/>
      <c r="B191" s="232" t="n"/>
      <c r="C191" s="235" t="n"/>
      <c r="D191" s="169" t="inlineStr">
        <is>
          <t>Bottom</t>
        </is>
      </c>
      <c r="E191" s="169" t="n">
        <v>40</v>
      </c>
      <c r="F191" s="180" t="inlineStr">
        <is>
          <t>Single</t>
        </is>
      </c>
      <c r="G191" s="169" t="inlineStr">
        <is>
          <t>GNR 35 TOP BOT</t>
        </is>
      </c>
      <c r="H191" s="208" t="inlineStr">
        <is>
          <t>111 X 159</t>
        </is>
      </c>
      <c r="I191" s="169" t="inlineStr">
        <is>
          <t>20 X 24.5</t>
        </is>
      </c>
      <c r="J191" s="169" t="n">
        <v>15</v>
      </c>
      <c r="K191" s="171" t="n"/>
      <c r="L191" s="14" t="n"/>
      <c r="M191" s="15" t="n">
        <v>0.6977821913273751</v>
      </c>
      <c r="N191" s="14" t="n"/>
      <c r="O191" s="16" t="n"/>
    </row>
    <row r="192" ht="15.75" customHeight="1">
      <c r="A192" s="204" t="n"/>
      <c r="B192" s="234" t="n"/>
      <c r="C192" s="175" t="inlineStr">
        <is>
          <t>SVG</t>
        </is>
      </c>
      <c r="D192" s="166" t="inlineStr">
        <is>
          <t>-</t>
        </is>
      </c>
      <c r="E192" s="166" t="n">
        <v>22</v>
      </c>
      <c r="F192" s="166" t="inlineStr">
        <is>
          <t>Single</t>
        </is>
      </c>
      <c r="G192" s="175" t="inlineStr">
        <is>
          <t>GNR 35 SVG</t>
        </is>
      </c>
      <c r="H192" s="209" t="inlineStr">
        <is>
          <t>128 X 176</t>
        </is>
      </c>
      <c r="I192" s="209" t="inlineStr">
        <is>
          <t>22 X 22</t>
        </is>
      </c>
      <c r="J192" s="205" t="n">
        <v>12</v>
      </c>
      <c r="K192" s="205" t="n"/>
      <c r="L192" s="25" t="n"/>
      <c r="M192" s="26" t="n">
        <v>0.4398148148148148</v>
      </c>
      <c r="N192" s="25" t="n"/>
      <c r="O192" s="27" t="n"/>
    </row>
    <row r="193" ht="15" customHeight="1">
      <c r="A193" s="186" t="n"/>
      <c r="B193" s="198" t="inlineStr">
        <is>
          <t>RAD 40</t>
        </is>
      </c>
      <c r="C193" s="184" t="inlineStr">
        <is>
          <t>LVP</t>
        </is>
      </c>
      <c r="D193" s="180" t="inlineStr">
        <is>
          <t>Top</t>
        </is>
      </c>
      <c r="E193" s="180" t="n">
        <v>60</v>
      </c>
      <c r="F193" s="180" t="inlineStr">
        <is>
          <t>Single</t>
        </is>
      </c>
      <c r="G193" s="180" t="inlineStr">
        <is>
          <t>MCX 40 TOP LVP</t>
        </is>
      </c>
      <c r="H193" s="180" t="inlineStr">
        <is>
          <t>76 X 168</t>
        </is>
      </c>
      <c r="I193" s="180" t="inlineStr">
        <is>
          <t>21 X 24</t>
        </is>
      </c>
      <c r="J193" s="180" t="n">
        <v>21</v>
      </c>
      <c r="K193" s="181" t="n"/>
      <c r="L193" s="31" t="n"/>
      <c r="M193" s="32" t="n">
        <v>1.103988603988604</v>
      </c>
      <c r="N193" s="31" t="n"/>
      <c r="O193" s="33" t="n"/>
    </row>
    <row r="194" ht="15" customHeight="1">
      <c r="A194" s="232" t="n"/>
      <c r="B194" s="232" t="n"/>
      <c r="C194" s="235" t="n"/>
      <c r="D194" s="169" t="inlineStr">
        <is>
          <t>Bottom</t>
        </is>
      </c>
      <c r="E194" s="169" t="n">
        <v>40</v>
      </c>
      <c r="F194" s="169" t="inlineStr">
        <is>
          <t>Single</t>
        </is>
      </c>
      <c r="G194" s="169" t="inlineStr">
        <is>
          <t>MCX 40 BOT LVP</t>
        </is>
      </c>
      <c r="H194" s="169" t="inlineStr">
        <is>
          <t>88 X 178</t>
        </is>
      </c>
      <c r="I194" s="169" t="inlineStr">
        <is>
          <t>20 X 23</t>
        </is>
      </c>
      <c r="J194" s="169" t="n">
        <v>15</v>
      </c>
      <c r="K194" s="171" t="n"/>
      <c r="L194" s="14" t="n"/>
      <c r="M194" s="15" t="n">
        <v>0.6977821913273751</v>
      </c>
      <c r="N194" s="14" t="n"/>
      <c r="O194" s="16" t="n"/>
    </row>
    <row r="195" ht="15.75" customHeight="1">
      <c r="A195" s="234" t="n"/>
      <c r="B195" s="234" t="n"/>
      <c r="C195" s="175" t="inlineStr">
        <is>
          <t>SVG</t>
        </is>
      </c>
      <c r="D195" s="166" t="inlineStr">
        <is>
          <t>-</t>
        </is>
      </c>
      <c r="E195" s="166" t="n">
        <v>22</v>
      </c>
      <c r="F195" s="166" t="inlineStr">
        <is>
          <t>Single</t>
        </is>
      </c>
      <c r="G195" s="166" t="inlineStr">
        <is>
          <t>MCX 40 SVG</t>
        </is>
      </c>
      <c r="H195" s="166" t="inlineStr">
        <is>
          <t>103 X 193</t>
        </is>
      </c>
      <c r="I195" s="166" t="inlineStr">
        <is>
          <t>18 X 24</t>
        </is>
      </c>
      <c r="J195" s="166" t="n">
        <v>12</v>
      </c>
      <c r="K195" s="176" t="n"/>
      <c r="L195" s="25" t="n"/>
      <c r="M195" s="26" t="n">
        <v>0.4398148148148148</v>
      </c>
      <c r="N195" s="25" t="n"/>
      <c r="O195" s="27" t="n"/>
    </row>
    <row r="196" ht="15" customHeight="1">
      <c r="A196" s="186" t="n"/>
      <c r="B196" s="198" t="inlineStr">
        <is>
          <t>RAD 42</t>
        </is>
      </c>
      <c r="C196" s="184" t="inlineStr">
        <is>
          <t>LVP</t>
        </is>
      </c>
      <c r="D196" s="180" t="inlineStr">
        <is>
          <t>Top</t>
        </is>
      </c>
      <c r="E196" s="180" t="n">
        <v>60</v>
      </c>
      <c r="F196" s="180" t="inlineStr">
        <is>
          <t>Single</t>
        </is>
      </c>
      <c r="G196" s="180" t="inlineStr">
        <is>
          <t>MCX 42 TOP LVP</t>
        </is>
      </c>
      <c r="H196" s="180" t="inlineStr">
        <is>
          <t>100 X 227</t>
        </is>
      </c>
      <c r="I196" s="180" t="inlineStr">
        <is>
          <t>19 X 22</t>
        </is>
      </c>
      <c r="J196" s="180" t="n">
        <v>10</v>
      </c>
      <c r="K196" s="181" t="n"/>
      <c r="L196" s="31" t="n"/>
      <c r="M196" s="32" t="n">
        <v>1.103988603988604</v>
      </c>
      <c r="N196" s="31" t="n"/>
      <c r="O196" s="33" t="n"/>
    </row>
    <row r="197" ht="15" customHeight="1">
      <c r="A197" s="232" t="n"/>
      <c r="B197" s="232" t="n"/>
      <c r="C197" s="235" t="n"/>
      <c r="D197" s="169" t="inlineStr">
        <is>
          <t>Bottom</t>
        </is>
      </c>
      <c r="E197" s="169" t="n">
        <v>40</v>
      </c>
      <c r="F197" s="169" t="inlineStr">
        <is>
          <t>Single</t>
        </is>
      </c>
      <c r="G197" s="169" t="inlineStr">
        <is>
          <t>MCX 42 BOT LVP</t>
        </is>
      </c>
      <c r="H197" s="169" t="inlineStr">
        <is>
          <t>108 X 236</t>
        </is>
      </c>
      <c r="I197" s="169" t="inlineStr">
        <is>
          <t>20 X 24</t>
        </is>
      </c>
      <c r="J197" s="169" t="n">
        <v>10</v>
      </c>
      <c r="K197" s="171" t="n"/>
      <c r="L197" s="14" t="n"/>
      <c r="M197" s="15" t="n">
        <v>0.6977821913273751</v>
      </c>
      <c r="N197" s="14" t="n"/>
      <c r="O197" s="16" t="n"/>
    </row>
    <row r="198" ht="15.75" customHeight="1">
      <c r="A198" s="234" t="n"/>
      <c r="B198" s="234" t="n"/>
      <c r="C198" s="175" t="inlineStr">
        <is>
          <t>SVG</t>
        </is>
      </c>
      <c r="D198" s="166" t="inlineStr">
        <is>
          <t>-</t>
        </is>
      </c>
      <c r="E198" s="166" t="n">
        <v>22</v>
      </c>
      <c r="F198" s="166" t="inlineStr">
        <is>
          <t>Single</t>
        </is>
      </c>
      <c r="G198" s="166" t="inlineStr">
        <is>
          <t>MCX 42 SVG</t>
        </is>
      </c>
      <c r="H198" s="166" t="inlineStr">
        <is>
          <t>122 X 252</t>
        </is>
      </c>
      <c r="I198" s="166" t="inlineStr">
        <is>
          <t>21 X 21</t>
        </is>
      </c>
      <c r="J198" s="166" t="n">
        <v>8</v>
      </c>
      <c r="K198" s="176" t="n"/>
      <c r="L198" s="25" t="n"/>
      <c r="M198" s="26" t="n">
        <v>0.4398148148148148</v>
      </c>
      <c r="N198" s="25" t="n"/>
      <c r="O198" s="27" t="n"/>
    </row>
    <row r="199" ht="15" customHeight="1">
      <c r="A199" s="186" t="n"/>
      <c r="B199" s="198" t="inlineStr">
        <is>
          <t>RAD 45</t>
        </is>
      </c>
      <c r="C199" s="184" t="inlineStr">
        <is>
          <t>LVP</t>
        </is>
      </c>
      <c r="D199" s="180" t="inlineStr">
        <is>
          <t>Top</t>
        </is>
      </c>
      <c r="E199" s="180" t="n">
        <v>40</v>
      </c>
      <c r="F199" s="180" t="inlineStr">
        <is>
          <t>Single</t>
        </is>
      </c>
      <c r="G199" s="180" t="inlineStr">
        <is>
          <t>MCX 45 LVP</t>
        </is>
      </c>
      <c r="H199" s="180" t="inlineStr">
        <is>
          <t>158 X 209</t>
        </is>
      </c>
      <c r="I199" s="180" t="inlineStr">
        <is>
          <t>18 X 20</t>
        </is>
      </c>
      <c r="J199" s="180" t="n">
        <v>6</v>
      </c>
      <c r="K199" s="181" t="n"/>
      <c r="L199" s="31" t="n"/>
      <c r="M199" s="32" t="n">
        <v>0.6977821913273751</v>
      </c>
      <c r="N199" s="31" t="n"/>
      <c r="O199" s="33" t="n"/>
    </row>
    <row r="200" ht="15" customHeight="1">
      <c r="A200" s="232" t="n"/>
      <c r="B200" s="232" t="n"/>
      <c r="C200" s="235" t="n"/>
      <c r="D200" s="169" t="inlineStr">
        <is>
          <t>Bottom</t>
        </is>
      </c>
      <c r="E200" s="169" t="n">
        <v>40</v>
      </c>
      <c r="F200" s="169" t="inlineStr">
        <is>
          <t>Single</t>
        </is>
      </c>
      <c r="G200" s="180" t="inlineStr">
        <is>
          <t>MCX 45 LVP</t>
        </is>
      </c>
      <c r="H200" s="180" t="inlineStr">
        <is>
          <t>158 X 209</t>
        </is>
      </c>
      <c r="I200" s="180" t="inlineStr">
        <is>
          <t>18 X 20</t>
        </is>
      </c>
      <c r="J200" s="180" t="n">
        <v>6</v>
      </c>
      <c r="K200" s="171" t="n"/>
      <c r="L200" s="14" t="n"/>
      <c r="M200" s="15" t="n">
        <v>0.6977821913273751</v>
      </c>
      <c r="N200" s="14" t="n"/>
      <c r="O200" s="16" t="n"/>
    </row>
    <row r="201" ht="15.75" customHeight="1">
      <c r="A201" s="234" t="n"/>
      <c r="B201" s="234" t="n"/>
      <c r="C201" s="175" t="inlineStr">
        <is>
          <t>SVG</t>
        </is>
      </c>
      <c r="D201" s="166" t="inlineStr">
        <is>
          <t>-</t>
        </is>
      </c>
      <c r="E201" s="166" t="n">
        <v>22</v>
      </c>
      <c r="F201" s="166" t="inlineStr">
        <is>
          <t>Single</t>
        </is>
      </c>
      <c r="G201" s="166" t="inlineStr">
        <is>
          <t>MCX 45 SVG</t>
        </is>
      </c>
      <c r="H201" s="166" t="inlineStr">
        <is>
          <t>171 X 222</t>
        </is>
      </c>
      <c r="I201" s="166" t="inlineStr">
        <is>
          <t>18.5 X 22</t>
        </is>
      </c>
      <c r="J201" s="166" t="n">
        <v>6</v>
      </c>
      <c r="K201" s="176" t="n"/>
      <c r="L201" s="25" t="n"/>
      <c r="M201" s="26" t="n">
        <v>0.4398148148148148</v>
      </c>
      <c r="N201" s="25" t="n"/>
      <c r="O201" s="27" t="n"/>
    </row>
    <row r="202" ht="15" customHeight="1">
      <c r="A202" s="197" t="n"/>
      <c r="B202" s="198" t="inlineStr">
        <is>
          <t>Chemblue 10</t>
        </is>
      </c>
      <c r="C202" s="179" t="inlineStr">
        <is>
          <t>LVP</t>
        </is>
      </c>
      <c r="D202" s="180" t="inlineStr">
        <is>
          <t>Top</t>
        </is>
      </c>
      <c r="E202" s="180" t="n">
        <v>60</v>
      </c>
      <c r="F202" s="180" t="inlineStr">
        <is>
          <t>Passing</t>
        </is>
      </c>
      <c r="G202" s="180" t="inlineStr">
        <is>
          <t>GNR 10 LVP</t>
        </is>
      </c>
      <c r="H202" s="180" t="inlineStr">
        <is>
          <t>40 X 62</t>
        </is>
      </c>
      <c r="I202" s="180" t="inlineStr">
        <is>
          <t>20.5 X 22</t>
        </is>
      </c>
      <c r="J202" s="180" t="n">
        <v>88</v>
      </c>
      <c r="K202" s="181" t="n"/>
      <c r="L202" s="31" t="n"/>
      <c r="M202" s="32" t="n">
        <v>1.103988603988604</v>
      </c>
      <c r="N202" s="31" t="n"/>
      <c r="O202" s="33" t="n"/>
    </row>
    <row r="203" ht="15" customHeight="1">
      <c r="A203" s="232" t="n"/>
      <c r="B203" s="232" t="n"/>
      <c r="C203" s="168" t="n"/>
      <c r="D203" s="169" t="inlineStr">
        <is>
          <t>Bottom</t>
        </is>
      </c>
      <c r="E203" s="169" t="n"/>
      <c r="F203" s="180" t="n"/>
      <c r="G203" s="180" t="n"/>
      <c r="H203" s="180" t="n"/>
      <c r="I203" s="180" t="n"/>
      <c r="J203" s="180" t="n"/>
      <c r="K203" s="181" t="n"/>
      <c r="L203" s="14" t="n"/>
      <c r="M203" s="15" t="e">
        <v>#N/A</v>
      </c>
      <c r="N203" s="14" t="n"/>
      <c r="O203" s="16" t="n"/>
    </row>
    <row r="204" ht="15.75" customHeight="1">
      <c r="A204" s="234" t="n"/>
      <c r="B204" s="234" t="n"/>
      <c r="C204" s="175" t="inlineStr">
        <is>
          <t>SVG</t>
        </is>
      </c>
      <c r="D204" s="166" t="inlineStr">
        <is>
          <t>-</t>
        </is>
      </c>
      <c r="E204" s="166" t="n">
        <v>22</v>
      </c>
      <c r="F204" s="166" t="inlineStr">
        <is>
          <t>Passing</t>
        </is>
      </c>
      <c r="G204" s="166" t="inlineStr">
        <is>
          <t>GNR 10 SVG</t>
        </is>
      </c>
      <c r="H204" s="166" t="inlineStr">
        <is>
          <t>51 X 72</t>
        </is>
      </c>
      <c r="I204" s="166" t="inlineStr">
        <is>
          <t>19 X 23</t>
        </is>
      </c>
      <c r="J204" s="166" t="n">
        <v>60</v>
      </c>
      <c r="K204" s="176" t="n"/>
      <c r="L204" s="25" t="n"/>
      <c r="M204" s="26" t="n">
        <v>0.4398148148148148</v>
      </c>
      <c r="N204" s="25" t="n"/>
      <c r="O204" s="27" t="n"/>
    </row>
    <row r="205" ht="15" customHeight="1">
      <c r="A205" s="197" t="n"/>
      <c r="B205" s="198" t="inlineStr">
        <is>
          <t>Chemblue 12</t>
        </is>
      </c>
      <c r="C205" s="179" t="inlineStr">
        <is>
          <t>LVP</t>
        </is>
      </c>
      <c r="D205" s="180" t="inlineStr">
        <is>
          <t>Top</t>
        </is>
      </c>
      <c r="E205" s="180" t="n">
        <v>60</v>
      </c>
      <c r="F205" s="180" t="inlineStr">
        <is>
          <t>Passing</t>
        </is>
      </c>
      <c r="G205" s="180" t="inlineStr">
        <is>
          <t>GNR 12 LVP</t>
        </is>
      </c>
      <c r="H205" s="180" t="inlineStr">
        <is>
          <t>54 X 107</t>
        </is>
      </c>
      <c r="I205" s="180" t="inlineStr">
        <is>
          <t>22 X 23</t>
        </is>
      </c>
      <c r="J205" s="180" t="n">
        <v>45</v>
      </c>
      <c r="K205" s="181" t="n"/>
      <c r="L205" s="31" t="n"/>
      <c r="M205" s="32" t="n">
        <v>1.103988603988604</v>
      </c>
      <c r="N205" s="31" t="n"/>
      <c r="O205" s="33" t="n"/>
    </row>
    <row r="206" ht="15" customHeight="1">
      <c r="A206" s="232" t="n"/>
      <c r="B206" s="232" t="n"/>
      <c r="C206" s="168" t="n"/>
      <c r="D206" s="169" t="inlineStr">
        <is>
          <t>Bottom</t>
        </is>
      </c>
      <c r="E206" s="169" t="n"/>
      <c r="F206" s="180" t="n"/>
      <c r="G206" s="180" t="n"/>
      <c r="H206" s="180" t="n"/>
      <c r="I206" s="180" t="n"/>
      <c r="J206" s="180" t="n"/>
      <c r="K206" s="181" t="n"/>
      <c r="L206" s="14" t="n"/>
      <c r="M206" s="15" t="e">
        <v>#N/A</v>
      </c>
      <c r="N206" s="14" t="n"/>
      <c r="O206" s="16" t="n"/>
    </row>
    <row r="207" ht="15.75" customHeight="1">
      <c r="A207" s="234" t="n"/>
      <c r="B207" s="234" t="n"/>
      <c r="C207" s="175" t="inlineStr">
        <is>
          <t>SVG</t>
        </is>
      </c>
      <c r="D207" s="166" t="inlineStr">
        <is>
          <t>-</t>
        </is>
      </c>
      <c r="E207" s="166" t="n">
        <v>22</v>
      </c>
      <c r="F207" s="166" t="inlineStr">
        <is>
          <t>Passing</t>
        </is>
      </c>
      <c r="G207" s="166" t="inlineStr">
        <is>
          <t>GNR 12 SVG</t>
        </is>
      </c>
      <c r="H207" s="166" t="inlineStr">
        <is>
          <t>65 X 118</t>
        </is>
      </c>
      <c r="I207" s="166" t="inlineStr">
        <is>
          <t>20.5 X 23</t>
        </is>
      </c>
      <c r="J207" s="166" t="n">
        <v>32</v>
      </c>
      <c r="K207" s="176" t="n"/>
      <c r="L207" s="25" t="n"/>
      <c r="M207" s="26" t="n">
        <v>0.4398148148148148</v>
      </c>
      <c r="N207" s="25" t="n"/>
      <c r="O207" s="27" t="n"/>
    </row>
    <row r="208" ht="15" customHeight="1">
      <c r="A208" s="197" t="n"/>
      <c r="B208" s="198" t="inlineStr">
        <is>
          <t>Chemblue 14</t>
        </is>
      </c>
      <c r="C208" s="179" t="inlineStr">
        <is>
          <t>LVP</t>
        </is>
      </c>
      <c r="D208" s="180" t="inlineStr">
        <is>
          <t>Top</t>
        </is>
      </c>
      <c r="E208" s="180" t="n">
        <v>60</v>
      </c>
      <c r="F208" s="192" t="inlineStr">
        <is>
          <t>Single</t>
        </is>
      </c>
      <c r="G208" s="180" t="inlineStr">
        <is>
          <t>GNR 14 LVP</t>
        </is>
      </c>
      <c r="H208" s="180" t="inlineStr">
        <is>
          <t>65 X 117</t>
        </is>
      </c>
      <c r="I208" s="180" t="inlineStr">
        <is>
          <t>24.5 X 25.5</t>
        </is>
      </c>
      <c r="J208" s="180" t="n">
        <v>40</v>
      </c>
      <c r="K208" s="181" t="n"/>
      <c r="L208" s="31" t="n"/>
      <c r="M208" s="32" t="n">
        <v>1.103988603988604</v>
      </c>
      <c r="N208" s="31" t="n"/>
      <c r="O208" s="33" t="n"/>
    </row>
    <row r="209" ht="15" customHeight="1">
      <c r="A209" s="232" t="n"/>
      <c r="B209" s="232" t="n"/>
      <c r="C209" s="168" t="n"/>
      <c r="D209" s="169" t="inlineStr">
        <is>
          <t>Bottom</t>
        </is>
      </c>
      <c r="E209" s="169" t="n"/>
      <c r="G209" s="180" t="n"/>
      <c r="H209" s="180" t="n"/>
      <c r="I209" s="180" t="n"/>
      <c r="J209" s="180" t="n"/>
      <c r="K209" s="181" t="n"/>
      <c r="L209" s="14" t="n"/>
      <c r="M209" s="15" t="e">
        <v>#N/A</v>
      </c>
      <c r="N209" s="14" t="n"/>
      <c r="O209" s="16" t="n"/>
    </row>
    <row r="210" ht="15.75" customHeight="1">
      <c r="A210" s="234" t="n"/>
      <c r="B210" s="234" t="n"/>
      <c r="C210" s="175" t="inlineStr">
        <is>
          <t>SVG</t>
        </is>
      </c>
      <c r="D210" s="166" t="inlineStr">
        <is>
          <t>-</t>
        </is>
      </c>
      <c r="E210" s="166" t="n">
        <v>22</v>
      </c>
      <c r="F210" s="166" t="inlineStr">
        <is>
          <t>Single</t>
        </is>
      </c>
      <c r="G210" s="166" t="inlineStr">
        <is>
          <t>GNR 14 SVG</t>
        </is>
      </c>
      <c r="H210" s="166" t="inlineStr">
        <is>
          <t>75 X 128</t>
        </is>
      </c>
      <c r="I210" s="166" t="inlineStr">
        <is>
          <t>21 X 22</t>
        </is>
      </c>
      <c r="J210" s="166" t="n">
        <v>24</v>
      </c>
      <c r="K210" s="176" t="n"/>
      <c r="L210" s="25" t="n"/>
      <c r="M210" s="26" t="n">
        <v>0.4398148148148148</v>
      </c>
      <c r="N210" s="25" t="n"/>
      <c r="O210" s="27" t="n"/>
    </row>
    <row r="211" ht="15" customHeight="1">
      <c r="A211" s="186" t="n"/>
      <c r="B211" s="198" t="inlineStr">
        <is>
          <t>Chemblue 15</t>
        </is>
      </c>
      <c r="C211" s="184" t="inlineStr">
        <is>
          <t>LVP</t>
        </is>
      </c>
      <c r="D211" s="180" t="inlineStr">
        <is>
          <t>Top</t>
        </is>
      </c>
      <c r="E211" s="180" t="n">
        <v>60</v>
      </c>
      <c r="F211" s="185" t="inlineStr">
        <is>
          <t>Passing</t>
        </is>
      </c>
      <c r="G211" s="180" t="inlineStr">
        <is>
          <t>MCX 15 LVP</t>
        </is>
      </c>
      <c r="H211" s="180" t="inlineStr">
        <is>
          <t>61 X 75</t>
        </is>
      </c>
      <c r="I211" s="180" t="inlineStr">
        <is>
          <t>19 X 23</t>
        </is>
      </c>
      <c r="J211" s="180" t="n">
        <v>49</v>
      </c>
      <c r="K211" s="181" t="n"/>
      <c r="L211" s="31" t="n"/>
      <c r="M211" s="32" t="n">
        <v>1.103988603988604</v>
      </c>
      <c r="N211" s="31" t="n"/>
      <c r="O211" s="33" t="n"/>
    </row>
    <row r="212" ht="15" customHeight="1">
      <c r="A212" s="232" t="n"/>
      <c r="B212" s="232" t="n"/>
      <c r="C212" s="235" t="n"/>
      <c r="D212" s="169" t="inlineStr">
        <is>
          <t>Bottom</t>
        </is>
      </c>
      <c r="E212" s="169" t="n"/>
      <c r="F212" s="180" t="n"/>
      <c r="G212" s="169" t="n"/>
      <c r="H212" s="169" t="n"/>
      <c r="I212" s="169" t="n"/>
      <c r="J212" s="169" t="n"/>
      <c r="K212" s="171" t="n"/>
      <c r="L212" s="14" t="n"/>
      <c r="M212" s="15" t="e">
        <v>#N/A</v>
      </c>
      <c r="N212" s="14" t="n"/>
      <c r="O212" s="16" t="n"/>
    </row>
    <row r="213" ht="15.75" customHeight="1">
      <c r="A213" s="234" t="n"/>
      <c r="B213" s="234" t="n"/>
      <c r="C213" s="175" t="inlineStr">
        <is>
          <t>SVG</t>
        </is>
      </c>
      <c r="D213" s="166" t="inlineStr">
        <is>
          <t>-</t>
        </is>
      </c>
      <c r="E213" s="166" t="n">
        <v>22</v>
      </c>
      <c r="F213" s="166" t="inlineStr">
        <is>
          <t>Passing</t>
        </is>
      </c>
      <c r="G213" s="166" t="inlineStr">
        <is>
          <t>MCX 15 SVG</t>
        </is>
      </c>
      <c r="H213" s="166" t="inlineStr">
        <is>
          <t>71 X 85</t>
        </is>
      </c>
      <c r="I213" s="166" t="inlineStr">
        <is>
          <t>18.5 X 22</t>
        </is>
      </c>
      <c r="J213" s="166" t="n">
        <v>36</v>
      </c>
      <c r="K213" s="176" t="n"/>
      <c r="L213" s="25" t="n"/>
      <c r="M213" s="26" t="n">
        <v>0.4398148148148148</v>
      </c>
      <c r="N213" s="25" t="n"/>
      <c r="O213" s="27" t="n"/>
    </row>
    <row r="214" ht="15" customHeight="1">
      <c r="A214" s="203" t="n"/>
      <c r="B214" s="198" t="inlineStr">
        <is>
          <t>Chemblue 19</t>
        </is>
      </c>
      <c r="C214" s="184" t="inlineStr">
        <is>
          <t>LVP</t>
        </is>
      </c>
      <c r="D214" s="180" t="inlineStr">
        <is>
          <t>Top</t>
        </is>
      </c>
      <c r="E214" s="180" t="n">
        <v>40</v>
      </c>
      <c r="F214" s="180" t="inlineStr">
        <is>
          <t>Single</t>
        </is>
      </c>
      <c r="G214" s="180" t="inlineStr">
        <is>
          <t>TOP MCX 25 LVP</t>
        </is>
      </c>
      <c r="H214" s="180" t="inlineStr">
        <is>
          <t>85 X 98</t>
        </is>
      </c>
      <c r="I214" s="180" t="inlineStr">
        <is>
          <t>22 X 23</t>
        </is>
      </c>
      <c r="J214" s="180" t="n">
        <v>30</v>
      </c>
      <c r="K214" s="207" t="n"/>
      <c r="L214" s="72" t="n"/>
      <c r="M214" s="73" t="n">
        <v>0.6977821913273751</v>
      </c>
      <c r="N214" s="72" t="n"/>
      <c r="O214" s="74" t="n"/>
    </row>
    <row r="215" ht="15" customHeight="1">
      <c r="A215" s="203" t="n"/>
      <c r="B215" s="232" t="n"/>
      <c r="C215" s="235" t="n"/>
      <c r="D215" s="169" t="inlineStr">
        <is>
          <t>Bottom</t>
        </is>
      </c>
      <c r="E215" s="169" t="n">
        <v>40</v>
      </c>
      <c r="F215" s="180" t="inlineStr">
        <is>
          <t>Single</t>
        </is>
      </c>
      <c r="G215" s="169" t="inlineStr">
        <is>
          <t>BOT.MCX 25 LVP</t>
        </is>
      </c>
      <c r="H215" s="169" t="inlineStr">
        <is>
          <t>94 X 108</t>
        </is>
      </c>
      <c r="I215" s="169" t="inlineStr">
        <is>
          <t>21 X 24</t>
        </is>
      </c>
      <c r="J215" s="169" t="n">
        <v>25</v>
      </c>
      <c r="K215" s="171" t="n"/>
      <c r="L215" s="14" t="n"/>
      <c r="M215" s="15" t="n">
        <v>0.6977821913273751</v>
      </c>
      <c r="N215" s="14" t="n"/>
      <c r="O215" s="16" t="n"/>
    </row>
    <row r="216" ht="15.75" customHeight="1">
      <c r="A216" s="204" t="n"/>
      <c r="B216" s="234" t="n"/>
      <c r="C216" s="175" t="inlineStr">
        <is>
          <t>SVG</t>
        </is>
      </c>
      <c r="D216" s="166" t="inlineStr">
        <is>
          <t>-</t>
        </is>
      </c>
      <c r="E216" s="166" t="n">
        <v>22</v>
      </c>
      <c r="F216" s="166" t="inlineStr">
        <is>
          <t>Single</t>
        </is>
      </c>
      <c r="G216" s="166" t="inlineStr">
        <is>
          <t>MCX 25 SVG</t>
        </is>
      </c>
      <c r="H216" s="166" t="inlineStr">
        <is>
          <t>108 X 120</t>
        </is>
      </c>
      <c r="I216" s="166" t="inlineStr">
        <is>
          <t>21 X 24</t>
        </is>
      </c>
      <c r="J216" s="166" t="n">
        <v>20</v>
      </c>
      <c r="K216" s="205" t="n"/>
      <c r="L216" s="25" t="n"/>
      <c r="M216" s="26" t="n">
        <v>0.4398148148148148</v>
      </c>
      <c r="N216" s="25" t="n"/>
      <c r="O216" s="27" t="n"/>
    </row>
    <row r="217" ht="15" customHeight="1">
      <c r="A217" s="203" t="n"/>
      <c r="B217" s="198" t="inlineStr">
        <is>
          <t>Chemblue 20</t>
        </is>
      </c>
      <c r="C217" s="184" t="inlineStr">
        <is>
          <t>LVP</t>
        </is>
      </c>
      <c r="D217" s="180" t="inlineStr">
        <is>
          <t>Top</t>
        </is>
      </c>
      <c r="E217" s="180" t="n">
        <v>60</v>
      </c>
      <c r="F217" s="180" t="inlineStr">
        <is>
          <t>Passing</t>
        </is>
      </c>
      <c r="G217" s="185" t="inlineStr">
        <is>
          <t>Turkey MCX 20 LVP</t>
        </is>
      </c>
      <c r="H217" s="206" t="inlineStr">
        <is>
          <t>65 X 110</t>
        </is>
      </c>
      <c r="I217" s="185" t="inlineStr">
        <is>
          <t>24.5 X 24</t>
        </is>
      </c>
      <c r="J217" s="185" t="n">
        <v>35</v>
      </c>
      <c r="K217" s="207" t="n"/>
      <c r="L217" s="72" t="n"/>
      <c r="M217" s="73" t="n">
        <v>1.103988603988604</v>
      </c>
      <c r="N217" s="72" t="n"/>
      <c r="O217" s="74" t="n"/>
    </row>
    <row r="218" ht="15" customHeight="1">
      <c r="A218" s="203" t="n"/>
      <c r="B218" s="232" t="n"/>
      <c r="C218" s="235" t="n"/>
      <c r="D218" s="169" t="inlineStr">
        <is>
          <t>Bottom</t>
        </is>
      </c>
      <c r="E218" s="169" t="n"/>
      <c r="F218" s="180" t="n"/>
      <c r="G218" s="169" t="n"/>
      <c r="H218" s="208" t="n"/>
      <c r="I218" s="169" t="n"/>
      <c r="J218" s="169" t="n"/>
      <c r="K218" s="171" t="n"/>
      <c r="L218" s="14" t="n"/>
      <c r="M218" s="15" t="e">
        <v>#N/A</v>
      </c>
      <c r="N218" s="14" t="n"/>
      <c r="O218" s="16" t="n"/>
    </row>
    <row r="219" ht="15.75" customHeight="1">
      <c r="A219" s="204" t="n"/>
      <c r="B219" s="234" t="n"/>
      <c r="C219" s="175" t="inlineStr">
        <is>
          <t>SVG</t>
        </is>
      </c>
      <c r="D219" s="166" t="inlineStr">
        <is>
          <t>-</t>
        </is>
      </c>
      <c r="E219" s="166" t="n">
        <v>22</v>
      </c>
      <c r="F219" s="166" t="inlineStr">
        <is>
          <t>Passing</t>
        </is>
      </c>
      <c r="G219" s="175" t="inlineStr">
        <is>
          <t>Turkey MCX 20 SVG</t>
        </is>
      </c>
      <c r="H219" s="209" t="inlineStr">
        <is>
          <t>75 X 120</t>
        </is>
      </c>
      <c r="I219" s="209" t="inlineStr">
        <is>
          <t>21 X 24</t>
        </is>
      </c>
      <c r="J219" s="205" t="n">
        <v>28</v>
      </c>
      <c r="K219" s="205" t="n"/>
      <c r="L219" s="25" t="n"/>
      <c r="M219" s="26" t="n">
        <v>0.4398148148148148</v>
      </c>
      <c r="N219" s="25" t="n"/>
      <c r="O219" s="27" t="n"/>
    </row>
    <row r="220" ht="15.75" customHeight="1">
      <c r="A220" s="203" t="n"/>
      <c r="B220" s="198" t="inlineStr">
        <is>
          <t>Chemblue 22</t>
        </is>
      </c>
      <c r="C220" s="184" t="inlineStr">
        <is>
          <t>LVP</t>
        </is>
      </c>
      <c r="D220" s="180" t="inlineStr">
        <is>
          <t>Top</t>
        </is>
      </c>
      <c r="E220" s="180" t="n">
        <v>40</v>
      </c>
      <c r="F220" s="180" t="inlineStr">
        <is>
          <t>Single</t>
        </is>
      </c>
      <c r="G220" s="185" t="inlineStr">
        <is>
          <t>Chemblue 22 LVP</t>
        </is>
      </c>
      <c r="H220" s="206" t="inlineStr">
        <is>
          <t>61 X 126</t>
        </is>
      </c>
      <c r="I220" s="185" t="inlineStr">
        <is>
          <t>22 X 23</t>
        </is>
      </c>
      <c r="J220" s="185" t="n">
        <v>32</v>
      </c>
      <c r="K220" s="207" t="n"/>
      <c r="L220" s="72" t="n"/>
      <c r="M220" s="73" t="n">
        <v>0.6977821913273751</v>
      </c>
      <c r="N220" s="72" t="n"/>
      <c r="O220" s="74" t="n"/>
    </row>
    <row r="221" ht="15.75" customHeight="1">
      <c r="A221" s="203" t="n"/>
      <c r="B221" s="232" t="n"/>
      <c r="C221" s="235" t="n"/>
      <c r="D221" s="169" t="inlineStr">
        <is>
          <t>Bottom</t>
        </is>
      </c>
      <c r="E221" s="169" t="n">
        <v>40</v>
      </c>
      <c r="F221" s="180" t="inlineStr">
        <is>
          <t>Single</t>
        </is>
      </c>
      <c r="G221" s="185" t="inlineStr">
        <is>
          <t>Chemblue 22 LVP</t>
        </is>
      </c>
      <c r="H221" s="206" t="inlineStr">
        <is>
          <t>61 X 126</t>
        </is>
      </c>
      <c r="I221" s="185" t="inlineStr">
        <is>
          <t>22 X 23</t>
        </is>
      </c>
      <c r="J221" s="185" t="n">
        <v>32</v>
      </c>
      <c r="K221" s="171" t="n"/>
      <c r="L221" s="14" t="n"/>
      <c r="M221" s="15" t="n">
        <v>0.6977821913273751</v>
      </c>
      <c r="N221" s="14" t="n"/>
      <c r="O221" s="16" t="n"/>
    </row>
    <row r="222" ht="15.75" customHeight="1">
      <c r="A222" s="204" t="n"/>
      <c r="B222" s="234" t="n"/>
      <c r="C222" s="175" t="inlineStr">
        <is>
          <t>SVG</t>
        </is>
      </c>
      <c r="D222" s="166" t="inlineStr">
        <is>
          <t>-</t>
        </is>
      </c>
      <c r="E222" s="166" t="n">
        <v>22</v>
      </c>
      <c r="F222" s="166" t="inlineStr">
        <is>
          <t>Passing</t>
        </is>
      </c>
      <c r="G222" s="185" t="inlineStr">
        <is>
          <t>Chemblue 22 SVG</t>
        </is>
      </c>
      <c r="H222" s="209" t="inlineStr">
        <is>
          <t>75 X 140</t>
        </is>
      </c>
      <c r="I222" s="209" t="inlineStr">
        <is>
          <t>24 X 24</t>
        </is>
      </c>
      <c r="J222" s="205" t="n">
        <v>28</v>
      </c>
      <c r="K222" s="205" t="n"/>
      <c r="L222" s="25" t="n"/>
      <c r="M222" s="26" t="n">
        <v>0.4398148148148148</v>
      </c>
      <c r="N222" s="25" t="n"/>
      <c r="O222" s="27" t="n"/>
    </row>
    <row r="223" ht="15" customHeight="1">
      <c r="A223" s="203" t="n"/>
      <c r="B223" s="198" t="inlineStr">
        <is>
          <t>Chemblue 25</t>
        </is>
      </c>
      <c r="C223" s="184" t="inlineStr">
        <is>
          <t>LVP</t>
        </is>
      </c>
      <c r="D223" s="180" t="inlineStr">
        <is>
          <t>Top</t>
        </is>
      </c>
      <c r="E223" s="180" t="n">
        <v>40</v>
      </c>
      <c r="F223" s="180" t="inlineStr">
        <is>
          <t>Single</t>
        </is>
      </c>
      <c r="G223" s="180" t="inlineStr">
        <is>
          <t>TOP MCX 25 LVP</t>
        </is>
      </c>
      <c r="H223" s="180" t="inlineStr">
        <is>
          <t>85 X 98</t>
        </is>
      </c>
      <c r="I223" s="180" t="inlineStr">
        <is>
          <t>22 X 23</t>
        </is>
      </c>
      <c r="J223" s="180" t="n">
        <v>30</v>
      </c>
      <c r="K223" s="207" t="n"/>
      <c r="L223" s="72" t="n"/>
      <c r="M223" s="73" t="n">
        <v>0.6977821913273751</v>
      </c>
      <c r="N223" s="72" t="n"/>
      <c r="O223" s="74" t="n"/>
    </row>
    <row r="224" ht="15" customHeight="1">
      <c r="A224" s="203" t="n"/>
      <c r="B224" s="232" t="n"/>
      <c r="C224" s="235" t="n"/>
      <c r="D224" s="169" t="inlineStr">
        <is>
          <t>Bottom</t>
        </is>
      </c>
      <c r="E224" s="169" t="n">
        <v>40</v>
      </c>
      <c r="F224" s="180" t="inlineStr">
        <is>
          <t>Single</t>
        </is>
      </c>
      <c r="G224" s="169" t="inlineStr">
        <is>
          <t>BOT.MCX 25 LVP</t>
        </is>
      </c>
      <c r="H224" s="169" t="inlineStr">
        <is>
          <t>94 X 108</t>
        </is>
      </c>
      <c r="I224" s="169" t="inlineStr">
        <is>
          <t>21 X 24</t>
        </is>
      </c>
      <c r="J224" s="169" t="n">
        <v>25</v>
      </c>
      <c r="K224" s="171" t="n"/>
      <c r="L224" s="14" t="n"/>
      <c r="M224" s="15" t="n">
        <v>0.6977821913273751</v>
      </c>
      <c r="N224" s="14" t="n"/>
      <c r="O224" s="16" t="n"/>
    </row>
    <row r="225" ht="15.75" customHeight="1">
      <c r="A225" s="204" t="n"/>
      <c r="B225" s="234" t="n"/>
      <c r="C225" s="175" t="inlineStr">
        <is>
          <t>SVG</t>
        </is>
      </c>
      <c r="D225" s="166" t="inlineStr">
        <is>
          <t>-</t>
        </is>
      </c>
      <c r="E225" s="166" t="n">
        <v>22</v>
      </c>
      <c r="F225" s="166" t="inlineStr">
        <is>
          <t>Single</t>
        </is>
      </c>
      <c r="G225" s="166" t="inlineStr">
        <is>
          <t>MCX 25 SVG</t>
        </is>
      </c>
      <c r="H225" s="166" t="inlineStr">
        <is>
          <t>108 X 120</t>
        </is>
      </c>
      <c r="I225" s="166" t="inlineStr">
        <is>
          <t>21 X 24</t>
        </is>
      </c>
      <c r="J225" s="166" t="n">
        <v>20</v>
      </c>
      <c r="K225" s="205" t="n"/>
      <c r="L225" s="25" t="n"/>
      <c r="M225" s="26" t="n">
        <v>0.4398148148148148</v>
      </c>
      <c r="N225" s="25" t="n"/>
      <c r="O225" s="27" t="n"/>
    </row>
    <row r="226" ht="15" customHeight="1">
      <c r="A226" s="203" t="n"/>
      <c r="B226" s="198" t="inlineStr">
        <is>
          <t>Chemblue 35</t>
        </is>
      </c>
      <c r="C226" s="184" t="inlineStr">
        <is>
          <t>LVP</t>
        </is>
      </c>
      <c r="D226" s="180" t="inlineStr">
        <is>
          <t>Top</t>
        </is>
      </c>
      <c r="E226" s="180" t="n">
        <v>40</v>
      </c>
      <c r="F226" s="180" t="inlineStr">
        <is>
          <t>Single</t>
        </is>
      </c>
      <c r="G226" s="185" t="inlineStr">
        <is>
          <t>GNR 35 TOP LVP</t>
        </is>
      </c>
      <c r="H226" s="206" t="inlineStr">
        <is>
          <t>100 X 149</t>
        </is>
      </c>
      <c r="I226" s="185" t="inlineStr">
        <is>
          <t>22 X 25.5</t>
        </is>
      </c>
      <c r="J226" s="185" t="n">
        <v>20</v>
      </c>
      <c r="K226" s="207" t="n"/>
      <c r="L226" s="72" t="n"/>
      <c r="M226" s="73" t="n">
        <v>0.6977821913273751</v>
      </c>
      <c r="N226" s="72" t="n"/>
      <c r="O226" s="74" t="n"/>
    </row>
    <row r="227" ht="15" customHeight="1">
      <c r="A227" s="203" t="n"/>
      <c r="B227" s="232" t="n"/>
      <c r="C227" s="235" t="n"/>
      <c r="D227" s="169" t="inlineStr">
        <is>
          <t>Bottom</t>
        </is>
      </c>
      <c r="E227" s="169" t="n">
        <v>40</v>
      </c>
      <c r="F227" s="180" t="inlineStr">
        <is>
          <t>Single</t>
        </is>
      </c>
      <c r="G227" s="169" t="inlineStr">
        <is>
          <t>GNR 35 TOP BOT</t>
        </is>
      </c>
      <c r="H227" s="208" t="inlineStr">
        <is>
          <t>111 X 159</t>
        </is>
      </c>
      <c r="I227" s="169" t="inlineStr">
        <is>
          <t>20 X 24.5</t>
        </is>
      </c>
      <c r="J227" s="169" t="n">
        <v>15</v>
      </c>
      <c r="K227" s="171" t="n"/>
      <c r="L227" s="14" t="n"/>
      <c r="M227" s="15" t="n">
        <v>0.6977821913273751</v>
      </c>
      <c r="N227" s="14" t="n"/>
      <c r="O227" s="16" t="n"/>
    </row>
    <row r="228" ht="15.75" customHeight="1">
      <c r="A228" s="204" t="n"/>
      <c r="B228" s="234" t="n"/>
      <c r="C228" s="175" t="inlineStr">
        <is>
          <t>SVG</t>
        </is>
      </c>
      <c r="D228" s="166" t="inlineStr">
        <is>
          <t>-</t>
        </is>
      </c>
      <c r="E228" s="166" t="n">
        <v>22</v>
      </c>
      <c r="F228" s="166" t="inlineStr">
        <is>
          <t>Single</t>
        </is>
      </c>
      <c r="G228" s="175" t="inlineStr">
        <is>
          <t>GNR 35 SVG</t>
        </is>
      </c>
      <c r="H228" s="209" t="inlineStr">
        <is>
          <t>128 X 176</t>
        </is>
      </c>
      <c r="I228" s="209" t="inlineStr">
        <is>
          <t>22 X 22</t>
        </is>
      </c>
      <c r="J228" s="205" t="n">
        <v>12</v>
      </c>
      <c r="K228" s="205" t="n"/>
      <c r="L228" s="25" t="n"/>
      <c r="M228" s="26" t="n">
        <v>0.4398148148148148</v>
      </c>
      <c r="N228" s="25" t="n"/>
      <c r="O228" s="27" t="n"/>
    </row>
    <row r="229" ht="15" customHeight="1">
      <c r="A229" s="186" t="n"/>
      <c r="B229" s="198" t="inlineStr">
        <is>
          <t>Chemblue 40</t>
        </is>
      </c>
      <c r="C229" s="184" t="inlineStr">
        <is>
          <t>LVP</t>
        </is>
      </c>
      <c r="D229" s="180" t="inlineStr">
        <is>
          <t>Top</t>
        </is>
      </c>
      <c r="E229" s="180" t="n">
        <v>60</v>
      </c>
      <c r="F229" s="180" t="inlineStr">
        <is>
          <t>Single</t>
        </is>
      </c>
      <c r="G229" s="180" t="inlineStr">
        <is>
          <t>MCX 40 TOP LVP</t>
        </is>
      </c>
      <c r="H229" s="180" t="inlineStr">
        <is>
          <t>76 X 168</t>
        </is>
      </c>
      <c r="I229" s="180" t="inlineStr">
        <is>
          <t>21 X 24</t>
        </is>
      </c>
      <c r="J229" s="180" t="n">
        <v>21</v>
      </c>
      <c r="K229" s="181" t="n"/>
      <c r="L229" s="31" t="n"/>
      <c r="M229" s="32" t="n">
        <v>1.103988603988604</v>
      </c>
      <c r="N229" s="31" t="n"/>
      <c r="O229" s="33" t="n"/>
    </row>
    <row r="230" ht="15" customHeight="1">
      <c r="A230" s="232" t="n"/>
      <c r="B230" s="232" t="n"/>
      <c r="C230" s="235" t="n"/>
      <c r="D230" s="169" t="inlineStr">
        <is>
          <t>Bottom</t>
        </is>
      </c>
      <c r="E230" s="169" t="n">
        <v>40</v>
      </c>
      <c r="F230" s="169" t="inlineStr">
        <is>
          <t>Single</t>
        </is>
      </c>
      <c r="G230" s="169" t="inlineStr">
        <is>
          <t>MCX 40 BOT LVP</t>
        </is>
      </c>
      <c r="H230" s="169" t="inlineStr">
        <is>
          <t>88 X 178</t>
        </is>
      </c>
      <c r="I230" s="169" t="inlineStr">
        <is>
          <t>20 X 23</t>
        </is>
      </c>
      <c r="J230" s="169" t="n">
        <v>15</v>
      </c>
      <c r="K230" s="171" t="n"/>
      <c r="L230" s="14" t="n"/>
      <c r="M230" s="15" t="n">
        <v>0.6977821913273751</v>
      </c>
      <c r="N230" s="14" t="n"/>
      <c r="O230" s="16" t="n"/>
    </row>
    <row r="231" ht="15.75" customHeight="1">
      <c r="A231" s="234" t="n"/>
      <c r="B231" s="234" t="n"/>
      <c r="C231" s="175" t="inlineStr">
        <is>
          <t>SVG</t>
        </is>
      </c>
      <c r="D231" s="166" t="inlineStr">
        <is>
          <t>-</t>
        </is>
      </c>
      <c r="E231" s="166" t="n">
        <v>22</v>
      </c>
      <c r="F231" s="166" t="inlineStr">
        <is>
          <t>Single</t>
        </is>
      </c>
      <c r="G231" s="166" t="inlineStr">
        <is>
          <t>MCX 40 SVG</t>
        </is>
      </c>
      <c r="H231" s="166" t="inlineStr">
        <is>
          <t>103 X 193</t>
        </is>
      </c>
      <c r="I231" s="166" t="inlineStr">
        <is>
          <t>18 X 24</t>
        </is>
      </c>
      <c r="J231" s="166" t="n">
        <v>12</v>
      </c>
      <c r="K231" s="176" t="n"/>
      <c r="L231" s="25" t="n"/>
      <c r="M231" s="26" t="n">
        <v>0.4398148148148148</v>
      </c>
      <c r="N231" s="25" t="n"/>
      <c r="O231" s="27" t="n"/>
    </row>
    <row r="232" ht="15" customHeight="1">
      <c r="A232" s="186" t="n"/>
      <c r="B232" s="198" t="inlineStr">
        <is>
          <t>Chemblue 42</t>
        </is>
      </c>
      <c r="C232" s="184" t="inlineStr">
        <is>
          <t>LVP</t>
        </is>
      </c>
      <c r="D232" s="180" t="inlineStr">
        <is>
          <t>Top</t>
        </is>
      </c>
      <c r="E232" s="180" t="n">
        <v>60</v>
      </c>
      <c r="F232" s="180" t="inlineStr">
        <is>
          <t>Single</t>
        </is>
      </c>
      <c r="G232" s="180" t="inlineStr">
        <is>
          <t>MCX 42 TOP LVP</t>
        </is>
      </c>
      <c r="H232" s="180" t="inlineStr">
        <is>
          <t>100 X 227</t>
        </is>
      </c>
      <c r="I232" s="180" t="inlineStr">
        <is>
          <t>19 X 22</t>
        </is>
      </c>
      <c r="J232" s="180" t="n">
        <v>10</v>
      </c>
      <c r="K232" s="181" t="n"/>
      <c r="L232" s="31" t="n"/>
      <c r="M232" s="32" t="n">
        <v>1.103988603988604</v>
      </c>
      <c r="N232" s="31" t="n"/>
      <c r="O232" s="33" t="n"/>
    </row>
    <row r="233" ht="15" customHeight="1">
      <c r="A233" s="232" t="n"/>
      <c r="B233" s="232" t="n"/>
      <c r="C233" s="235" t="n"/>
      <c r="D233" s="169" t="inlineStr">
        <is>
          <t>Bottom</t>
        </is>
      </c>
      <c r="E233" s="169" t="n">
        <v>40</v>
      </c>
      <c r="F233" s="169" t="inlineStr">
        <is>
          <t>Single</t>
        </is>
      </c>
      <c r="G233" s="169" t="inlineStr">
        <is>
          <t>MCX 42 BOT LVP</t>
        </is>
      </c>
      <c r="H233" s="169" t="inlineStr">
        <is>
          <t>108 X 236</t>
        </is>
      </c>
      <c r="I233" s="169" t="inlineStr">
        <is>
          <t>20 X 24</t>
        </is>
      </c>
      <c r="J233" s="169" t="n">
        <v>10</v>
      </c>
      <c r="K233" s="171" t="n"/>
      <c r="L233" s="14" t="n"/>
      <c r="M233" s="15" t="n">
        <v>0.6977821913273751</v>
      </c>
      <c r="N233" s="14" t="n"/>
      <c r="O233" s="16" t="n"/>
    </row>
    <row r="234" ht="15.75" customHeight="1">
      <c r="A234" s="234" t="n"/>
      <c r="B234" s="234" t="n"/>
      <c r="C234" s="175" t="inlineStr">
        <is>
          <t>SVG</t>
        </is>
      </c>
      <c r="D234" s="166" t="inlineStr">
        <is>
          <t>-</t>
        </is>
      </c>
      <c r="E234" s="166" t="n">
        <v>22</v>
      </c>
      <c r="F234" s="166" t="inlineStr">
        <is>
          <t>Single</t>
        </is>
      </c>
      <c r="G234" s="166" t="inlineStr">
        <is>
          <t>MCX 42 SVG</t>
        </is>
      </c>
      <c r="H234" s="166" t="inlineStr">
        <is>
          <t>122 X 252</t>
        </is>
      </c>
      <c r="I234" s="166" t="inlineStr">
        <is>
          <t>21 X 21</t>
        </is>
      </c>
      <c r="J234" s="166" t="n">
        <v>8</v>
      </c>
      <c r="K234" s="176" t="n"/>
      <c r="L234" s="25" t="n"/>
      <c r="M234" s="26" t="n">
        <v>0.4398148148148148</v>
      </c>
      <c r="N234" s="25" t="n"/>
      <c r="O234" s="27" t="n"/>
    </row>
    <row r="235" ht="15" customHeight="1">
      <c r="A235" s="186" t="n"/>
      <c r="B235" s="198" t="inlineStr">
        <is>
          <t>Chemblue 44</t>
        </is>
      </c>
      <c r="C235" s="184" t="inlineStr">
        <is>
          <t>LVP</t>
        </is>
      </c>
      <c r="D235" s="180" t="inlineStr">
        <is>
          <t>Top</t>
        </is>
      </c>
      <c r="E235" s="180" t="n">
        <v>60</v>
      </c>
      <c r="F235" s="180" t="inlineStr">
        <is>
          <t>Single</t>
        </is>
      </c>
      <c r="G235" s="180" t="inlineStr">
        <is>
          <t>MCX 44 TOP LVP</t>
        </is>
      </c>
      <c r="H235" s="180" t="inlineStr">
        <is>
          <t>100 X 308</t>
        </is>
      </c>
      <c r="I235" s="180" t="inlineStr">
        <is>
          <t>18 X 25</t>
        </is>
      </c>
      <c r="J235" s="180" t="n">
        <v>8</v>
      </c>
      <c r="K235" s="181" t="n"/>
      <c r="L235" s="31" t="n"/>
      <c r="M235" s="32" t="n">
        <v>1.103988603988604</v>
      </c>
      <c r="N235" s="31" t="n"/>
      <c r="O235" s="33" t="n"/>
    </row>
    <row r="236" ht="15" customHeight="1">
      <c r="A236" s="232" t="n"/>
      <c r="B236" s="232" t="n"/>
      <c r="C236" s="235" t="n"/>
      <c r="D236" s="169" t="inlineStr">
        <is>
          <t>Bottom</t>
        </is>
      </c>
      <c r="E236" s="169" t="n">
        <v>40</v>
      </c>
      <c r="F236" s="169" t="inlineStr">
        <is>
          <t>Single</t>
        </is>
      </c>
      <c r="G236" s="169" t="inlineStr">
        <is>
          <t>MCX 44 BOT LVP</t>
        </is>
      </c>
      <c r="H236" s="169" t="inlineStr">
        <is>
          <t>110 X 320</t>
        </is>
      </c>
      <c r="I236" s="169" t="inlineStr">
        <is>
          <t>24 X 26</t>
        </is>
      </c>
      <c r="J236" s="169" t="n">
        <v>10</v>
      </c>
      <c r="K236" s="171" t="n"/>
      <c r="L236" s="14" t="n"/>
      <c r="M236" s="15" t="n">
        <v>0.6977821913273751</v>
      </c>
      <c r="N236" s="14" t="n"/>
      <c r="O236" s="16" t="n"/>
    </row>
    <row r="237" ht="15.75" customHeight="1">
      <c r="A237" s="234" t="n"/>
      <c r="B237" s="234" t="n"/>
      <c r="C237" s="175" t="inlineStr">
        <is>
          <t>SVG</t>
        </is>
      </c>
      <c r="D237" s="166" t="inlineStr">
        <is>
          <t>-</t>
        </is>
      </c>
      <c r="E237" s="166" t="n">
        <v>22</v>
      </c>
      <c r="F237" s="166" t="inlineStr">
        <is>
          <t>Single</t>
        </is>
      </c>
      <c r="G237" s="166" t="inlineStr">
        <is>
          <t>MCX 44 SVG</t>
        </is>
      </c>
      <c r="H237" s="166" t="inlineStr">
        <is>
          <t>125 X 338</t>
        </is>
      </c>
      <c r="I237" s="166" t="inlineStr">
        <is>
          <t>14 X 22</t>
        </is>
      </c>
      <c r="J237" s="166" t="n">
        <v>4</v>
      </c>
      <c r="K237" s="176" t="n"/>
      <c r="L237" s="25" t="n"/>
      <c r="M237" s="26" t="n">
        <v>0.4398148148148148</v>
      </c>
      <c r="N237" s="25" t="n"/>
      <c r="O237" s="27" t="n"/>
    </row>
    <row r="238" ht="15" customHeight="1">
      <c r="A238" s="186" t="n"/>
      <c r="B238" s="198" t="inlineStr">
        <is>
          <t>Chemblue 45</t>
        </is>
      </c>
      <c r="C238" s="184" t="inlineStr">
        <is>
          <t>LVP</t>
        </is>
      </c>
      <c r="D238" s="180" t="inlineStr">
        <is>
          <t>Top</t>
        </is>
      </c>
      <c r="E238" s="180" t="n">
        <v>40</v>
      </c>
      <c r="F238" s="180" t="inlineStr">
        <is>
          <t>Single</t>
        </is>
      </c>
      <c r="G238" s="180" t="inlineStr">
        <is>
          <t>MCX 45 LVP</t>
        </is>
      </c>
      <c r="H238" s="180" t="inlineStr">
        <is>
          <t>158 X 209</t>
        </is>
      </c>
      <c r="I238" s="180" t="inlineStr">
        <is>
          <t>18 X 20</t>
        </is>
      </c>
      <c r="J238" s="180" t="n">
        <v>6</v>
      </c>
      <c r="K238" s="181" t="n"/>
      <c r="L238" s="31" t="n"/>
      <c r="M238" s="32" t="n">
        <v>0.6977821913273751</v>
      </c>
      <c r="N238" s="31" t="n"/>
      <c r="O238" s="33" t="n"/>
    </row>
    <row r="239" ht="15" customHeight="1">
      <c r="A239" s="232" t="n"/>
      <c r="B239" s="232" t="n"/>
      <c r="C239" s="235" t="n"/>
      <c r="D239" s="169" t="inlineStr">
        <is>
          <t>Bottom</t>
        </is>
      </c>
      <c r="E239" s="169" t="n">
        <v>40</v>
      </c>
      <c r="F239" s="169" t="inlineStr">
        <is>
          <t>Single</t>
        </is>
      </c>
      <c r="G239" s="180" t="inlineStr">
        <is>
          <t>MCX 45 LVP</t>
        </is>
      </c>
      <c r="H239" s="180" t="inlineStr">
        <is>
          <t>158 X 209</t>
        </is>
      </c>
      <c r="I239" s="180" t="inlineStr">
        <is>
          <t>18 X 20</t>
        </is>
      </c>
      <c r="J239" s="180" t="n">
        <v>6</v>
      </c>
      <c r="K239" s="171" t="n"/>
      <c r="L239" s="14" t="n"/>
      <c r="M239" s="15" t="n">
        <v>0.6977821913273751</v>
      </c>
      <c r="N239" s="14" t="n"/>
      <c r="O239" s="16" t="n"/>
    </row>
    <row r="240" ht="15.75" customHeight="1">
      <c r="A240" s="234" t="n"/>
      <c r="B240" s="234" t="n"/>
      <c r="C240" s="175" t="inlineStr">
        <is>
          <t>SVG</t>
        </is>
      </c>
      <c r="D240" s="166" t="inlineStr">
        <is>
          <t>-</t>
        </is>
      </c>
      <c r="E240" s="166" t="n">
        <v>22</v>
      </c>
      <c r="F240" s="166" t="inlineStr">
        <is>
          <t>Single</t>
        </is>
      </c>
      <c r="G240" s="166" t="inlineStr">
        <is>
          <t>MCX 45 SVG</t>
        </is>
      </c>
      <c r="H240" s="166" t="inlineStr">
        <is>
          <t>171 X 222</t>
        </is>
      </c>
      <c r="I240" s="166" t="inlineStr">
        <is>
          <t>18.5 X 22</t>
        </is>
      </c>
      <c r="J240" s="166" t="n">
        <v>6</v>
      </c>
      <c r="K240" s="176" t="n"/>
      <c r="L240" s="25" t="n"/>
      <c r="M240" s="26" t="n">
        <v>0.4398148148148148</v>
      </c>
      <c r="N240" s="25" t="n"/>
      <c r="O240" s="27" t="n"/>
    </row>
    <row r="241" ht="15" customHeight="1">
      <c r="A241" s="186" t="n"/>
      <c r="B241" s="198" t="inlineStr">
        <is>
          <t>Chemblue 46</t>
        </is>
      </c>
      <c r="C241" s="184" t="inlineStr">
        <is>
          <t>LVP</t>
        </is>
      </c>
      <c r="D241" s="180" t="inlineStr">
        <is>
          <t>Top</t>
        </is>
      </c>
      <c r="E241" s="180" t="n">
        <v>40</v>
      </c>
      <c r="F241" s="180" t="inlineStr">
        <is>
          <t>Single</t>
        </is>
      </c>
      <c r="G241" s="180" t="inlineStr">
        <is>
          <t>MCX 46 LVP</t>
        </is>
      </c>
      <c r="H241" s="180" t="inlineStr">
        <is>
          <t>128 X 389</t>
        </is>
      </c>
      <c r="I241" s="180" t="inlineStr">
        <is>
          <t>16 X 23</t>
        </is>
      </c>
      <c r="J241" s="180" t="n">
        <v>4</v>
      </c>
      <c r="K241" s="181" t="n"/>
      <c r="L241" s="31" t="n"/>
      <c r="M241" s="32" t="n">
        <v>0.6977821913273751</v>
      </c>
      <c r="N241" s="31" t="n"/>
      <c r="O241" s="33" t="n"/>
    </row>
    <row r="242" ht="15" customHeight="1">
      <c r="A242" s="232" t="n"/>
      <c r="B242" s="232" t="n"/>
      <c r="C242" s="235" t="n"/>
      <c r="D242" s="169" t="inlineStr">
        <is>
          <t>Bottom</t>
        </is>
      </c>
      <c r="E242" s="169" t="n">
        <v>40</v>
      </c>
      <c r="F242" s="169" t="inlineStr">
        <is>
          <t>Single</t>
        </is>
      </c>
      <c r="G242" s="180" t="inlineStr">
        <is>
          <t>MCX 46 LVP</t>
        </is>
      </c>
      <c r="H242" s="180" t="inlineStr">
        <is>
          <t>128 X 389</t>
        </is>
      </c>
      <c r="I242" s="180" t="inlineStr">
        <is>
          <t>16 X 23</t>
        </is>
      </c>
      <c r="J242" s="180" t="n">
        <v>4</v>
      </c>
      <c r="K242" s="171" t="n"/>
      <c r="L242" s="14" t="n"/>
      <c r="M242" s="15" t="n">
        <v>0.6977821913273751</v>
      </c>
      <c r="N242" s="14" t="n"/>
      <c r="O242" s="16" t="n"/>
    </row>
    <row r="243" ht="15.75" customHeight="1">
      <c r="A243" s="234" t="n"/>
      <c r="B243" s="234" t="n"/>
      <c r="C243" s="175" t="inlineStr">
        <is>
          <t>SVG</t>
        </is>
      </c>
      <c r="D243" s="166" t="inlineStr">
        <is>
          <t>-</t>
        </is>
      </c>
      <c r="E243" s="166" t="n">
        <v>22</v>
      </c>
      <c r="F243" s="166" t="inlineStr">
        <is>
          <t>Single</t>
        </is>
      </c>
      <c r="G243" s="166" t="inlineStr">
        <is>
          <t>MCX 46 SVG</t>
        </is>
      </c>
      <c r="H243" s="166" t="inlineStr">
        <is>
          <t>145 X 406</t>
        </is>
      </c>
      <c r="I243" s="166" t="inlineStr">
        <is>
          <t>17 X 25</t>
        </is>
      </c>
      <c r="J243" s="166" t="n">
        <v>4</v>
      </c>
      <c r="K243" s="176" t="n"/>
      <c r="L243" s="25" t="n"/>
      <c r="M243" s="26" t="n">
        <v>0.4398148148148148</v>
      </c>
      <c r="N243" s="25" t="n"/>
      <c r="O243" s="27" t="n"/>
    </row>
    <row r="244" ht="17.25" customHeight="1">
      <c r="A244" s="210" t="inlineStr">
        <is>
          <t>Do Not Used</t>
        </is>
      </c>
      <c r="B244" s="178" t="inlineStr">
        <is>
          <t>MCX 10</t>
        </is>
      </c>
      <c r="C244" s="179" t="inlineStr">
        <is>
          <t>LVP</t>
        </is>
      </c>
      <c r="D244" s="180" t="inlineStr">
        <is>
          <t>Top</t>
        </is>
      </c>
      <c r="E244" s="180" t="n">
        <v>60</v>
      </c>
      <c r="F244" s="180" t="inlineStr">
        <is>
          <t>Passing</t>
        </is>
      </c>
      <c r="G244" s="180" t="inlineStr">
        <is>
          <t>MCX 10 LVP</t>
        </is>
      </c>
      <c r="H244" s="180" t="inlineStr">
        <is>
          <t>40 X 60</t>
        </is>
      </c>
      <c r="I244" s="180" t="inlineStr">
        <is>
          <t>18.5 X 24</t>
        </is>
      </c>
      <c r="J244" s="180" t="n">
        <v>90</v>
      </c>
      <c r="K244" s="181" t="n"/>
      <c r="L244" s="31" t="n"/>
      <c r="M244" s="32" t="n">
        <v>1.103988603988604</v>
      </c>
      <c r="N244" s="31" t="n"/>
      <c r="O244" s="33" t="n"/>
    </row>
    <row r="245" ht="17.25" customHeight="1">
      <c r="A245" s="232" t="n"/>
      <c r="B245" s="232" t="n"/>
      <c r="C245" s="235" t="n"/>
      <c r="D245" s="169" t="inlineStr">
        <is>
          <t>Bottom</t>
        </is>
      </c>
      <c r="E245" s="169" t="n"/>
      <c r="F245" s="169" t="n"/>
      <c r="G245" s="169" t="n"/>
      <c r="H245" s="169" t="n"/>
      <c r="I245" s="169" t="n"/>
      <c r="J245" s="169" t="n"/>
      <c r="K245" s="171" t="n"/>
      <c r="L245" s="14" t="n"/>
      <c r="M245" s="15" t="e">
        <v>#N/A</v>
      </c>
      <c r="N245" s="14" t="n"/>
      <c r="O245" s="16" t="n"/>
    </row>
    <row r="246" ht="17.25" customHeight="1">
      <c r="A246" s="232" t="n"/>
      <c r="B246" s="234" t="n"/>
      <c r="C246" s="175" t="inlineStr">
        <is>
          <t>SVG</t>
        </is>
      </c>
      <c r="D246" s="166" t="inlineStr">
        <is>
          <t>-</t>
        </is>
      </c>
      <c r="E246" s="166" t="n">
        <v>22</v>
      </c>
      <c r="F246" s="166" t="inlineStr">
        <is>
          <t>Passing</t>
        </is>
      </c>
      <c r="G246" s="166" t="inlineStr">
        <is>
          <t>MCX 10 SVG</t>
        </is>
      </c>
      <c r="H246" s="166" t="inlineStr">
        <is>
          <t>50 X 70</t>
        </is>
      </c>
      <c r="I246" s="166" t="inlineStr">
        <is>
          <t>18.5 X 25</t>
        </is>
      </c>
      <c r="J246" s="166" t="n">
        <v>66</v>
      </c>
      <c r="K246" s="176" t="n"/>
      <c r="L246" s="25" t="n"/>
      <c r="M246" s="26" t="n">
        <v>0.4398148148148148</v>
      </c>
      <c r="N246" s="25" t="n"/>
      <c r="O246" s="27" t="n"/>
    </row>
    <row r="247" ht="15" customHeight="1">
      <c r="A247" s="232" t="n"/>
      <c r="B247" s="187" t="inlineStr">
        <is>
          <t>MCX 15</t>
        </is>
      </c>
      <c r="C247" s="184" t="inlineStr">
        <is>
          <t>LVP</t>
        </is>
      </c>
      <c r="D247" s="180" t="inlineStr">
        <is>
          <t>Top</t>
        </is>
      </c>
      <c r="E247" s="180" t="n">
        <v>60</v>
      </c>
      <c r="F247" s="185" t="inlineStr">
        <is>
          <t>Passing</t>
        </is>
      </c>
      <c r="G247" s="180" t="inlineStr">
        <is>
          <t>MCX 15 LVP</t>
        </is>
      </c>
      <c r="H247" s="180" t="inlineStr">
        <is>
          <t>61 X 75</t>
        </is>
      </c>
      <c r="I247" s="180" t="inlineStr">
        <is>
          <t>19 X 23</t>
        </is>
      </c>
      <c r="J247" s="180" t="n">
        <v>49</v>
      </c>
      <c r="K247" s="181" t="n"/>
      <c r="L247" s="31" t="n"/>
      <c r="M247" s="32" t="n">
        <v>1.103988603988604</v>
      </c>
      <c r="N247" s="31" t="n"/>
      <c r="O247" s="33" t="n"/>
    </row>
    <row r="248" ht="15" customHeight="1">
      <c r="A248" s="232" t="n"/>
      <c r="B248" s="232" t="n"/>
      <c r="C248" s="235" t="n"/>
      <c r="D248" s="169" t="inlineStr">
        <is>
          <t>Bottom</t>
        </is>
      </c>
      <c r="E248" s="169" t="n"/>
      <c r="F248" s="180" t="n"/>
      <c r="G248" s="169" t="n"/>
      <c r="H248" s="169" t="n"/>
      <c r="I248" s="169" t="n"/>
      <c r="J248" s="169" t="n"/>
      <c r="K248" s="171" t="n"/>
      <c r="L248" s="14" t="n"/>
      <c r="M248" s="15" t="e">
        <v>#N/A</v>
      </c>
      <c r="N248" s="14" t="n"/>
      <c r="O248" s="16" t="n"/>
    </row>
    <row r="249" ht="15.75" customHeight="1">
      <c r="A249" s="232" t="n"/>
      <c r="B249" s="234" t="n"/>
      <c r="C249" s="175" t="inlineStr">
        <is>
          <t>SVG</t>
        </is>
      </c>
      <c r="D249" s="166" t="inlineStr">
        <is>
          <t>-</t>
        </is>
      </c>
      <c r="E249" s="166" t="n">
        <v>22</v>
      </c>
      <c r="F249" s="166" t="inlineStr">
        <is>
          <t>Passing</t>
        </is>
      </c>
      <c r="G249" s="166" t="inlineStr">
        <is>
          <t>MCX 15 SVG</t>
        </is>
      </c>
      <c r="H249" s="166" t="inlineStr">
        <is>
          <t>71 X 85</t>
        </is>
      </c>
      <c r="I249" s="166" t="inlineStr">
        <is>
          <t>18.5 X 22</t>
        </is>
      </c>
      <c r="J249" s="166" t="n">
        <v>36</v>
      </c>
      <c r="K249" s="176" t="n"/>
      <c r="L249" s="25" t="n"/>
      <c r="M249" s="26" t="n">
        <v>0.4398148148148148</v>
      </c>
      <c r="N249" s="25" t="n"/>
      <c r="O249" s="27" t="n"/>
    </row>
    <row r="250" ht="15" customHeight="1">
      <c r="A250" s="232" t="n"/>
      <c r="B250" s="198" t="inlineStr">
        <is>
          <t>Chemblue 20</t>
        </is>
      </c>
      <c r="C250" s="184" t="inlineStr">
        <is>
          <t>LVP</t>
        </is>
      </c>
      <c r="D250" s="180" t="inlineStr">
        <is>
          <t>Top</t>
        </is>
      </c>
      <c r="E250" s="180" t="n">
        <v>60</v>
      </c>
      <c r="F250" s="180" t="inlineStr">
        <is>
          <t>Passing</t>
        </is>
      </c>
      <c r="G250" s="185" t="inlineStr">
        <is>
          <t>Turkey MCX 20 LVP</t>
        </is>
      </c>
      <c r="H250" s="206" t="inlineStr">
        <is>
          <t>65 X 110</t>
        </is>
      </c>
      <c r="I250" s="185" t="inlineStr">
        <is>
          <t>24.5 X 24</t>
        </is>
      </c>
      <c r="J250" s="185" t="n">
        <v>35</v>
      </c>
      <c r="K250" s="207" t="n"/>
      <c r="L250" s="72" t="n"/>
      <c r="M250" s="73" t="n">
        <v>1.103988603988604</v>
      </c>
      <c r="N250" s="72" t="n"/>
      <c r="O250" s="74" t="n"/>
    </row>
    <row r="251" ht="15" customHeight="1">
      <c r="A251" s="232" t="n"/>
      <c r="B251" s="232" t="n"/>
      <c r="C251" s="235" t="n"/>
      <c r="D251" s="169" t="inlineStr">
        <is>
          <t>Bottom</t>
        </is>
      </c>
      <c r="E251" s="169" t="n"/>
      <c r="F251" s="180" t="n"/>
      <c r="G251" s="169" t="n"/>
      <c r="H251" s="208" t="n"/>
      <c r="I251" s="169" t="n"/>
      <c r="J251" s="169" t="n"/>
      <c r="K251" s="171" t="n"/>
      <c r="L251" s="14" t="n"/>
      <c r="M251" s="15" t="e">
        <v>#N/A</v>
      </c>
      <c r="N251" s="14" t="n"/>
      <c r="O251" s="16" t="n"/>
    </row>
    <row r="252" ht="15.75" customHeight="1">
      <c r="A252" s="232" t="n"/>
      <c r="B252" s="234" t="n"/>
      <c r="C252" s="175" t="inlineStr">
        <is>
          <t>SVG</t>
        </is>
      </c>
      <c r="D252" s="166" t="inlineStr">
        <is>
          <t>-</t>
        </is>
      </c>
      <c r="E252" s="166" t="n">
        <v>22</v>
      </c>
      <c r="F252" s="166" t="inlineStr">
        <is>
          <t>Passing</t>
        </is>
      </c>
      <c r="G252" s="175" t="inlineStr">
        <is>
          <t>Turkey MCX 20 SVG</t>
        </is>
      </c>
      <c r="H252" s="209" t="inlineStr">
        <is>
          <t>75 X 120</t>
        </is>
      </c>
      <c r="I252" s="209" t="inlineStr">
        <is>
          <t>21 X 24</t>
        </is>
      </c>
      <c r="J252" s="205" t="n">
        <v>28</v>
      </c>
      <c r="K252" s="205" t="n"/>
      <c r="L252" s="25" t="n"/>
      <c r="M252" s="26" t="n">
        <v>0.4398148148148148</v>
      </c>
      <c r="N252" s="25" t="n"/>
      <c r="O252" s="27" t="n"/>
    </row>
    <row r="253" ht="15" customHeight="1">
      <c r="A253" s="232" t="n"/>
      <c r="B253" s="187" t="inlineStr">
        <is>
          <t>MCX 25</t>
        </is>
      </c>
      <c r="C253" s="184" t="inlineStr">
        <is>
          <t>LVP</t>
        </is>
      </c>
      <c r="D253" s="180" t="inlineStr">
        <is>
          <t>Top</t>
        </is>
      </c>
      <c r="E253" s="180" t="n">
        <v>40</v>
      </c>
      <c r="F253" s="180" t="inlineStr">
        <is>
          <t>Single</t>
        </is>
      </c>
      <c r="G253" s="180" t="inlineStr">
        <is>
          <t>TOP MCX 25 LVP</t>
        </is>
      </c>
      <c r="H253" s="180" t="inlineStr">
        <is>
          <t>85 X 98</t>
        </is>
      </c>
      <c r="I253" s="180" t="inlineStr">
        <is>
          <t>22 X 23</t>
        </is>
      </c>
      <c r="J253" s="180" t="n">
        <v>30</v>
      </c>
      <c r="K253" s="181" t="n"/>
      <c r="L253" s="31" t="n"/>
      <c r="M253" s="32" t="n">
        <v>0.6977821913273751</v>
      </c>
      <c r="N253" s="31" t="n"/>
      <c r="O253" s="33" t="n"/>
    </row>
    <row r="254" ht="15" customHeight="1">
      <c r="A254" s="232" t="n"/>
      <c r="B254" s="232" t="n"/>
      <c r="C254" s="235" t="n"/>
      <c r="D254" s="169" t="inlineStr">
        <is>
          <t>Bottom</t>
        </is>
      </c>
      <c r="E254" s="169" t="n">
        <v>40</v>
      </c>
      <c r="F254" s="169" t="inlineStr">
        <is>
          <t>Single</t>
        </is>
      </c>
      <c r="G254" s="169" t="inlineStr">
        <is>
          <t>BOT.MCX 25 LVP</t>
        </is>
      </c>
      <c r="H254" s="169" t="inlineStr">
        <is>
          <t>94 X 108</t>
        </is>
      </c>
      <c r="I254" s="169" t="inlineStr">
        <is>
          <t>21 X 24</t>
        </is>
      </c>
      <c r="J254" s="169" t="n">
        <v>25</v>
      </c>
      <c r="K254" s="171" t="n"/>
      <c r="L254" s="14" t="n"/>
      <c r="M254" s="15" t="n">
        <v>0.6977821913273751</v>
      </c>
      <c r="N254" s="14" t="n"/>
      <c r="O254" s="16" t="n"/>
    </row>
    <row r="255" ht="15.75" customHeight="1">
      <c r="A255" s="232" t="n"/>
      <c r="B255" s="234" t="n"/>
      <c r="C255" s="175" t="inlineStr">
        <is>
          <t>SVG</t>
        </is>
      </c>
      <c r="D255" s="166" t="inlineStr">
        <is>
          <t>-</t>
        </is>
      </c>
      <c r="E255" s="166" t="n">
        <v>22</v>
      </c>
      <c r="F255" s="166" t="inlineStr">
        <is>
          <t>Single</t>
        </is>
      </c>
      <c r="G255" s="166" t="inlineStr">
        <is>
          <t>MCX 25 SVG</t>
        </is>
      </c>
      <c r="H255" s="166" t="inlineStr">
        <is>
          <t>108 X 120</t>
        </is>
      </c>
      <c r="I255" s="166" t="inlineStr">
        <is>
          <t>21 X 24</t>
        </is>
      </c>
      <c r="J255" s="166" t="n">
        <v>20</v>
      </c>
      <c r="K255" s="176" t="n"/>
      <c r="L255" s="25" t="n"/>
      <c r="M255" s="26" t="n">
        <v>0.4398148148148148</v>
      </c>
      <c r="N255" s="25" t="n"/>
      <c r="O255" s="27" t="n"/>
    </row>
    <row r="256" ht="15" customHeight="1">
      <c r="A256" s="232" t="n"/>
      <c r="B256" s="187" t="inlineStr">
        <is>
          <t>MCX 35</t>
        </is>
      </c>
      <c r="C256" s="184" t="inlineStr">
        <is>
          <t>LVP</t>
        </is>
      </c>
      <c r="D256" s="180" t="inlineStr">
        <is>
          <t>Top</t>
        </is>
      </c>
      <c r="E256" s="180" t="n">
        <v>40</v>
      </c>
      <c r="F256" s="180" t="inlineStr">
        <is>
          <t>Single</t>
        </is>
      </c>
      <c r="G256" s="180" t="inlineStr">
        <is>
          <t>MCX 35 TOP LVP</t>
        </is>
      </c>
      <c r="H256" s="180" t="inlineStr">
        <is>
          <t>94 X 145</t>
        </is>
      </c>
      <c r="I256" s="180" t="inlineStr">
        <is>
          <t>21 X 25</t>
        </is>
      </c>
      <c r="J256" s="180" t="n">
        <v>20</v>
      </c>
      <c r="K256" s="181" t="n"/>
      <c r="L256" s="31" t="n"/>
      <c r="M256" s="32" t="n">
        <v>0.6977821913273751</v>
      </c>
      <c r="N256" s="31" t="n"/>
      <c r="O256" s="33" t="n"/>
    </row>
    <row r="257" ht="15" customHeight="1">
      <c r="A257" s="232" t="n"/>
      <c r="B257" s="232" t="n"/>
      <c r="C257" s="235" t="n"/>
      <c r="D257" s="169" t="inlineStr">
        <is>
          <t>Bottom</t>
        </is>
      </c>
      <c r="E257" s="169" t="n">
        <v>40</v>
      </c>
      <c r="F257" s="169" t="inlineStr">
        <is>
          <t>Single</t>
        </is>
      </c>
      <c r="G257" s="169" t="inlineStr">
        <is>
          <t>MCX 35 BOT. LVP</t>
        </is>
      </c>
      <c r="H257" s="169" t="inlineStr">
        <is>
          <t>104 X 154</t>
        </is>
      </c>
      <c r="I257" s="169" t="inlineStr">
        <is>
          <t>20 X 23</t>
        </is>
      </c>
      <c r="J257" s="169" t="n">
        <v>15</v>
      </c>
      <c r="K257" s="171" t="n"/>
      <c r="L257" s="14" t="n"/>
      <c r="M257" s="15" t="n">
        <v>0.6977821913273751</v>
      </c>
      <c r="N257" s="14" t="n"/>
      <c r="O257" s="16" t="n"/>
    </row>
    <row r="258" ht="15.75" customHeight="1">
      <c r="A258" s="232" t="n"/>
      <c r="B258" s="234" t="n"/>
      <c r="C258" s="175" t="inlineStr">
        <is>
          <t>SVG</t>
        </is>
      </c>
      <c r="D258" s="166" t="inlineStr">
        <is>
          <t>-</t>
        </is>
      </c>
      <c r="E258" s="166" t="n">
        <v>22</v>
      </c>
      <c r="F258" s="166" t="inlineStr">
        <is>
          <t>Single</t>
        </is>
      </c>
      <c r="G258" s="166" t="inlineStr">
        <is>
          <t>MCX 35 SVG</t>
        </is>
      </c>
      <c r="H258" s="166" t="inlineStr">
        <is>
          <t>121 X 172</t>
        </is>
      </c>
      <c r="I258" s="166" t="inlineStr">
        <is>
          <t>21 X 22</t>
        </is>
      </c>
      <c r="J258" s="166" t="n">
        <v>12</v>
      </c>
      <c r="K258" s="176" t="n"/>
      <c r="L258" s="25" t="n"/>
      <c r="M258" s="26" t="n">
        <v>0.4398148148148148</v>
      </c>
      <c r="N258" s="25" t="n"/>
      <c r="O258" s="27" t="n"/>
    </row>
    <row r="259" ht="15" customHeight="1">
      <c r="A259" s="232" t="n"/>
      <c r="B259" s="198" t="inlineStr">
        <is>
          <t>Chemblue 40</t>
        </is>
      </c>
      <c r="C259" s="184" t="inlineStr">
        <is>
          <t>LVP</t>
        </is>
      </c>
      <c r="D259" s="180" t="inlineStr">
        <is>
          <t>Top</t>
        </is>
      </c>
      <c r="E259" s="180" t="n">
        <v>60</v>
      </c>
      <c r="F259" s="180" t="inlineStr">
        <is>
          <t>Single</t>
        </is>
      </c>
      <c r="G259" s="180" t="inlineStr">
        <is>
          <t>MCX 40 TOP LVP</t>
        </is>
      </c>
      <c r="H259" s="180" t="inlineStr">
        <is>
          <t>76 X 168</t>
        </is>
      </c>
      <c r="I259" s="180" t="inlineStr">
        <is>
          <t>21 X 24</t>
        </is>
      </c>
      <c r="J259" s="180" t="n">
        <v>21</v>
      </c>
      <c r="K259" s="181" t="n"/>
      <c r="L259" s="31" t="n"/>
      <c r="M259" s="32" t="n">
        <v>1.103988603988604</v>
      </c>
      <c r="N259" s="31" t="n"/>
      <c r="O259" s="33" t="n"/>
    </row>
    <row r="260" ht="15" customHeight="1">
      <c r="A260" s="232" t="n"/>
      <c r="B260" s="232" t="n"/>
      <c r="C260" s="235" t="n"/>
      <c r="D260" s="169" t="inlineStr">
        <is>
          <t>Bottom</t>
        </is>
      </c>
      <c r="E260" s="169" t="n">
        <v>40</v>
      </c>
      <c r="F260" s="169" t="inlineStr">
        <is>
          <t>Single</t>
        </is>
      </c>
      <c r="G260" s="169" t="inlineStr">
        <is>
          <t>MCX 40 BOT LVP</t>
        </is>
      </c>
      <c r="H260" s="169" t="inlineStr">
        <is>
          <t>88 X 178</t>
        </is>
      </c>
      <c r="I260" s="169" t="inlineStr">
        <is>
          <t>20 X 23</t>
        </is>
      </c>
      <c r="J260" s="169" t="n">
        <v>15</v>
      </c>
      <c r="K260" s="171" t="n"/>
      <c r="L260" s="14" t="n"/>
      <c r="M260" s="15" t="n">
        <v>0.6977821913273751</v>
      </c>
      <c r="N260" s="14" t="n"/>
      <c r="O260" s="16" t="n"/>
    </row>
    <row r="261" ht="15.75" customHeight="1">
      <c r="A261" s="232" t="n"/>
      <c r="B261" s="234" t="n"/>
      <c r="C261" s="175" t="inlineStr">
        <is>
          <t>SVG</t>
        </is>
      </c>
      <c r="D261" s="166" t="inlineStr">
        <is>
          <t>-</t>
        </is>
      </c>
      <c r="E261" s="166" t="n">
        <v>22</v>
      </c>
      <c r="F261" s="166" t="inlineStr">
        <is>
          <t>Single</t>
        </is>
      </c>
      <c r="G261" s="166" t="inlineStr">
        <is>
          <t>MCX 40 SVG</t>
        </is>
      </c>
      <c r="H261" s="166" t="inlineStr">
        <is>
          <t>103 X 193</t>
        </is>
      </c>
      <c r="I261" s="166" t="inlineStr">
        <is>
          <t>18 X 24</t>
        </is>
      </c>
      <c r="J261" s="166" t="n">
        <v>12</v>
      </c>
      <c r="K261" s="176" t="n"/>
      <c r="L261" s="25" t="n"/>
      <c r="M261" s="26" t="n">
        <v>0.4398148148148148</v>
      </c>
      <c r="N261" s="25" t="n"/>
      <c r="O261" s="27" t="n"/>
    </row>
    <row r="262" ht="15" customHeight="1">
      <c r="A262" s="232" t="n"/>
      <c r="B262" s="198" t="inlineStr">
        <is>
          <t>Chemblue 12</t>
        </is>
      </c>
      <c r="C262" s="179" t="inlineStr">
        <is>
          <t>LVP</t>
        </is>
      </c>
      <c r="D262" s="180" t="inlineStr">
        <is>
          <t>Top</t>
        </is>
      </c>
      <c r="E262" s="180" t="n">
        <v>60</v>
      </c>
      <c r="F262" s="180" t="inlineStr">
        <is>
          <t>Passing</t>
        </is>
      </c>
      <c r="G262" s="180" t="inlineStr">
        <is>
          <t>GNR 12 LVP</t>
        </is>
      </c>
      <c r="H262" s="180" t="inlineStr">
        <is>
          <t>54 X 107</t>
        </is>
      </c>
      <c r="I262" s="180" t="inlineStr">
        <is>
          <t>22 X 23</t>
        </is>
      </c>
      <c r="J262" s="180" t="n">
        <v>45</v>
      </c>
      <c r="K262" s="181" t="n"/>
      <c r="L262" s="31" t="n"/>
      <c r="M262" s="32" t="n">
        <v>1.103988603988604</v>
      </c>
      <c r="N262" s="31" t="n"/>
      <c r="O262" s="33" t="n"/>
    </row>
    <row r="263" ht="15" customHeight="1">
      <c r="A263" s="232" t="n"/>
      <c r="B263" s="232" t="n"/>
      <c r="C263" s="168" t="n"/>
      <c r="D263" s="169" t="inlineStr">
        <is>
          <t>Bottom</t>
        </is>
      </c>
      <c r="E263" s="169" t="n"/>
      <c r="F263" s="180" t="n"/>
      <c r="G263" s="180" t="n"/>
      <c r="H263" s="180" t="n"/>
      <c r="I263" s="180" t="n"/>
      <c r="J263" s="180" t="n"/>
      <c r="K263" s="181" t="n"/>
      <c r="L263" s="14" t="n"/>
      <c r="M263" s="15" t="e">
        <v>#N/A</v>
      </c>
      <c r="N263" s="14" t="n"/>
      <c r="O263" s="16" t="n"/>
    </row>
    <row r="264" ht="15.75" customHeight="1">
      <c r="A264" s="232" t="n"/>
      <c r="B264" s="234" t="n"/>
      <c r="C264" s="175" t="inlineStr">
        <is>
          <t>SVG</t>
        </is>
      </c>
      <c r="D264" s="166" t="inlineStr">
        <is>
          <t>-</t>
        </is>
      </c>
      <c r="E264" s="166" t="n">
        <v>22</v>
      </c>
      <c r="F264" s="166" t="inlineStr">
        <is>
          <t>Passing</t>
        </is>
      </c>
      <c r="G264" s="166" t="inlineStr">
        <is>
          <t>GNR 12 SVG</t>
        </is>
      </c>
      <c r="H264" s="166" t="inlineStr">
        <is>
          <t>65 X 118</t>
        </is>
      </c>
      <c r="I264" s="166" t="inlineStr">
        <is>
          <t>20.5 X 23</t>
        </is>
      </c>
      <c r="J264" s="166" t="n">
        <v>32</v>
      </c>
      <c r="K264" s="176" t="n"/>
      <c r="L264" s="25" t="n"/>
      <c r="M264" s="26" t="n">
        <v>0.4398148148148148</v>
      </c>
      <c r="N264" s="25" t="n"/>
      <c r="O264" s="27" t="n"/>
    </row>
    <row r="265" ht="15" customHeight="1">
      <c r="A265" s="232" t="n"/>
      <c r="B265" s="198" t="inlineStr">
        <is>
          <t>Chemblue 12</t>
        </is>
      </c>
      <c r="C265" s="179" t="inlineStr">
        <is>
          <t>LVP</t>
        </is>
      </c>
      <c r="D265" s="180" t="inlineStr">
        <is>
          <t>Top</t>
        </is>
      </c>
      <c r="E265" s="180" t="n">
        <v>60</v>
      </c>
      <c r="F265" s="180" t="inlineStr">
        <is>
          <t>Passing</t>
        </is>
      </c>
      <c r="G265" s="180" t="n"/>
      <c r="H265" s="180" t="inlineStr">
        <is>
          <t>54 X 107</t>
        </is>
      </c>
      <c r="I265" s="180" t="inlineStr">
        <is>
          <t>22 X 23</t>
        </is>
      </c>
      <c r="J265" s="180" t="n">
        <v>45</v>
      </c>
      <c r="K265" s="181" t="n"/>
      <c r="L265" s="31" t="n"/>
      <c r="M265" s="32" t="n">
        <v>1.103988603988604</v>
      </c>
      <c r="N265" s="31" t="n"/>
      <c r="O265" s="33" t="n"/>
    </row>
    <row r="266" ht="15" customHeight="1">
      <c r="A266" s="232" t="n"/>
      <c r="B266" s="232" t="n"/>
      <c r="C266" s="168" t="n"/>
      <c r="D266" s="169" t="inlineStr">
        <is>
          <t>Bottom</t>
        </is>
      </c>
      <c r="E266" s="169" t="n"/>
      <c r="F266" s="180" t="n"/>
      <c r="G266" s="180" t="n"/>
      <c r="H266" s="180" t="n"/>
      <c r="I266" s="180" t="n"/>
      <c r="J266" s="180" t="n"/>
      <c r="K266" s="181" t="n"/>
      <c r="L266" s="14" t="n"/>
      <c r="M266" s="15" t="e">
        <v>#N/A</v>
      </c>
      <c r="N266" s="14" t="n"/>
      <c r="O266" s="16" t="n"/>
    </row>
    <row r="267" ht="15.75" customHeight="1">
      <c r="A267" s="234" t="n"/>
      <c r="B267" s="234" t="n"/>
      <c r="C267" s="175" t="inlineStr">
        <is>
          <t>SVG</t>
        </is>
      </c>
      <c r="D267" s="166" t="inlineStr">
        <is>
          <t>-</t>
        </is>
      </c>
      <c r="E267" s="166" t="n">
        <v>22</v>
      </c>
      <c r="F267" s="166" t="inlineStr">
        <is>
          <t>Passing</t>
        </is>
      </c>
      <c r="G267" s="166" t="n"/>
      <c r="H267" s="166" t="inlineStr">
        <is>
          <t>90 X 135</t>
        </is>
      </c>
      <c r="I267" s="166" t="inlineStr">
        <is>
          <t>23 X 24</t>
        </is>
      </c>
      <c r="J267" s="166" t="n">
        <v>24</v>
      </c>
      <c r="K267" s="176" t="n"/>
      <c r="L267" s="25" t="n"/>
      <c r="M267" s="26" t="n">
        <v>0.4398148148148148</v>
      </c>
      <c r="N267" s="25" t="n"/>
      <c r="O267" s="27" t="n"/>
    </row>
    <row r="268" ht="15" customHeight="1">
      <c r="A268" s="211" t="n"/>
      <c r="B268" s="212" t="inlineStr">
        <is>
          <t>Gav 40</t>
        </is>
      </c>
      <c r="C268" s="179" t="inlineStr">
        <is>
          <t>LVP</t>
        </is>
      </c>
      <c r="D268" s="180" t="inlineStr">
        <is>
          <t>Top</t>
        </is>
      </c>
      <c r="E268" s="180" t="n">
        <v>60</v>
      </c>
      <c r="F268" s="180" t="inlineStr">
        <is>
          <t>Single</t>
        </is>
      </c>
      <c r="G268" s="180" t="inlineStr">
        <is>
          <t>GNR 40 TOP LVP</t>
        </is>
      </c>
      <c r="H268" s="180" t="inlineStr">
        <is>
          <t>86 X 169</t>
        </is>
      </c>
      <c r="I268" s="180" t="inlineStr">
        <is>
          <t>21.5 X 23</t>
        </is>
      </c>
      <c r="J268" s="180" t="n">
        <v>18</v>
      </c>
      <c r="K268" s="181" t="n"/>
      <c r="L268" s="31" t="n"/>
      <c r="M268" s="32" t="n">
        <v>1.103988603988604</v>
      </c>
      <c r="N268" s="31" t="n"/>
      <c r="O268" s="33" t="n"/>
    </row>
    <row r="269" ht="15" customHeight="1">
      <c r="A269" s="232" t="n"/>
      <c r="B269" s="232" t="n"/>
      <c r="C269" s="168" t="n"/>
      <c r="D269" s="169" t="inlineStr">
        <is>
          <t>Bottom</t>
        </is>
      </c>
      <c r="E269" s="169" t="n">
        <v>40</v>
      </c>
      <c r="F269" s="180" t="inlineStr">
        <is>
          <t>Single</t>
        </is>
      </c>
      <c r="G269" s="180" t="inlineStr">
        <is>
          <t>GNR 40 BOT LVP</t>
        </is>
      </c>
      <c r="H269" s="180" t="inlineStr">
        <is>
          <t>98 X 179</t>
        </is>
      </c>
      <c r="I269" s="180" t="inlineStr">
        <is>
          <t>22 X 23</t>
        </is>
      </c>
      <c r="J269" s="180" t="n">
        <v>15</v>
      </c>
      <c r="K269" s="181" t="n"/>
      <c r="L269" s="14" t="n"/>
      <c r="M269" s="15" t="n">
        <v>0.6977821913273751</v>
      </c>
      <c r="N269" s="14" t="n"/>
      <c r="O269" s="16" t="n"/>
    </row>
    <row r="270" ht="15.75" customHeight="1">
      <c r="A270" s="234" t="n"/>
      <c r="B270" s="234" t="n"/>
      <c r="C270" s="175" t="inlineStr">
        <is>
          <t>SVG</t>
        </is>
      </c>
      <c r="D270" s="166" t="inlineStr">
        <is>
          <t>-</t>
        </is>
      </c>
      <c r="E270" s="166" t="n">
        <v>22</v>
      </c>
      <c r="F270" s="166" t="inlineStr">
        <is>
          <t>Single</t>
        </is>
      </c>
      <c r="G270" s="166" t="inlineStr">
        <is>
          <t xml:space="preserve">GNR 40 SVG </t>
        </is>
      </c>
      <c r="H270" s="166" t="inlineStr">
        <is>
          <t>114 X 194</t>
        </is>
      </c>
      <c r="I270" s="166" t="inlineStr">
        <is>
          <t>20 X 24.5</t>
        </is>
      </c>
      <c r="J270" s="166" t="n">
        <v>12</v>
      </c>
      <c r="K270" s="176" t="n"/>
      <c r="L270" s="25" t="n"/>
      <c r="M270" s="26" t="n">
        <v>0.4398148148148148</v>
      </c>
      <c r="N270" s="25" t="n"/>
      <c r="O270" s="27" t="n"/>
    </row>
    <row r="271" ht="15" customHeight="1">
      <c r="A271" s="211" t="n"/>
      <c r="B271" s="212" t="inlineStr">
        <is>
          <t>Gav 20</t>
        </is>
      </c>
      <c r="C271" s="179" t="inlineStr">
        <is>
          <t>LVP</t>
        </is>
      </c>
      <c r="D271" s="180" t="inlineStr">
        <is>
          <t>Top</t>
        </is>
      </c>
      <c r="E271" s="180" t="n">
        <v>40</v>
      </c>
      <c r="F271" s="180" t="inlineStr">
        <is>
          <t>Single</t>
        </is>
      </c>
      <c r="G271" s="180" t="inlineStr">
        <is>
          <t>GNR 20 LVP</t>
        </is>
      </c>
      <c r="H271" s="180" t="inlineStr">
        <is>
          <t>69 X 120</t>
        </is>
      </c>
      <c r="I271" s="180" t="inlineStr">
        <is>
          <t>21 X 24</t>
        </is>
      </c>
      <c r="J271" s="180" t="n">
        <v>32</v>
      </c>
      <c r="K271" s="181" t="n"/>
      <c r="L271" s="31" t="n"/>
      <c r="M271" s="32" t="n">
        <v>0.6977821913273751</v>
      </c>
      <c r="N271" s="31" t="n"/>
      <c r="O271" s="33" t="n"/>
    </row>
    <row r="272" ht="15" customHeight="1">
      <c r="A272" s="232" t="n"/>
      <c r="B272" s="232" t="n"/>
      <c r="C272" s="168" t="n"/>
      <c r="D272" s="169" t="inlineStr">
        <is>
          <t>Bottom</t>
        </is>
      </c>
      <c r="E272" s="169" t="n">
        <v>40</v>
      </c>
      <c r="F272" s="169" t="inlineStr">
        <is>
          <t>Single</t>
        </is>
      </c>
      <c r="G272" s="180" t="inlineStr">
        <is>
          <t>GNR 20 LVP</t>
        </is>
      </c>
      <c r="H272" s="180" t="inlineStr">
        <is>
          <t>69 X 120</t>
        </is>
      </c>
      <c r="I272" s="180" t="inlineStr">
        <is>
          <t>21 X 24</t>
        </is>
      </c>
      <c r="J272" s="180" t="n">
        <v>32</v>
      </c>
      <c r="K272" s="181" t="n"/>
      <c r="L272" s="14" t="n"/>
      <c r="M272" s="15" t="n">
        <v>0.6977821913273751</v>
      </c>
      <c r="N272" s="14" t="n"/>
      <c r="O272" s="16" t="n"/>
    </row>
    <row r="273" ht="15.75" customHeight="1">
      <c r="A273" s="234" t="n"/>
      <c r="B273" s="234" t="n"/>
      <c r="C273" s="175" t="inlineStr">
        <is>
          <t>SVG</t>
        </is>
      </c>
      <c r="D273" s="166" t="inlineStr">
        <is>
          <t>-</t>
        </is>
      </c>
      <c r="E273" s="166" t="n">
        <v>22</v>
      </c>
      <c r="F273" s="166" t="inlineStr">
        <is>
          <t>Single</t>
        </is>
      </c>
      <c r="G273" s="180" t="inlineStr">
        <is>
          <t>GNR 20 SVG</t>
        </is>
      </c>
      <c r="H273" s="180" t="inlineStr">
        <is>
          <t>81 X 133</t>
        </is>
      </c>
      <c r="I273" s="180" t="inlineStr">
        <is>
          <t>21 X 22.5</t>
        </is>
      </c>
      <c r="J273" s="166" t="n">
        <v>24</v>
      </c>
      <c r="K273" s="181" t="n"/>
      <c r="L273" s="25" t="n"/>
      <c r="M273" s="26" t="n">
        <v>0.4398148148148148</v>
      </c>
      <c r="N273" s="25" t="n"/>
      <c r="O273" s="27" t="n"/>
    </row>
    <row r="274" ht="15" customHeight="1">
      <c r="A274" s="197" t="n"/>
      <c r="B274" s="212" t="inlineStr">
        <is>
          <t>Gav 25</t>
        </is>
      </c>
      <c r="C274" s="179" t="inlineStr">
        <is>
          <t>LVP</t>
        </is>
      </c>
      <c r="D274" s="180" t="inlineStr">
        <is>
          <t>Top</t>
        </is>
      </c>
      <c r="E274" s="180" t="n">
        <v>40</v>
      </c>
      <c r="F274" s="180" t="inlineStr">
        <is>
          <t>Single</t>
        </is>
      </c>
      <c r="G274" s="180" t="inlineStr">
        <is>
          <t>GNR 25 TOP LVP</t>
        </is>
      </c>
      <c r="H274" s="180" t="inlineStr">
        <is>
          <t>92 X 103</t>
        </is>
      </c>
      <c r="I274" s="180" t="inlineStr">
        <is>
          <t>23 X 25</t>
        </is>
      </c>
      <c r="J274" s="180" t="n">
        <v>30</v>
      </c>
      <c r="K274" s="181" t="n"/>
      <c r="L274" s="31" t="n"/>
      <c r="M274" s="32" t="n">
        <v>0.6977821913273751</v>
      </c>
      <c r="N274" s="31" t="n"/>
      <c r="O274" s="33" t="n"/>
    </row>
    <row r="275" ht="15" customHeight="1">
      <c r="A275" s="232" t="n"/>
      <c r="B275" s="232" t="n"/>
      <c r="C275" s="168" t="n"/>
      <c r="D275" s="169" t="inlineStr">
        <is>
          <t>Bottom</t>
        </is>
      </c>
      <c r="E275" s="169" t="n">
        <v>40</v>
      </c>
      <c r="F275" s="169" t="inlineStr">
        <is>
          <t>Single</t>
        </is>
      </c>
      <c r="G275" s="180" t="inlineStr">
        <is>
          <t>GNR 25 TOP BOT</t>
        </is>
      </c>
      <c r="H275" s="180" t="inlineStr">
        <is>
          <t>103 X 113</t>
        </is>
      </c>
      <c r="I275" s="180" t="inlineStr">
        <is>
          <t>23 X 25</t>
        </is>
      </c>
      <c r="J275" s="180" t="n">
        <v>25</v>
      </c>
      <c r="K275" s="181" t="n"/>
      <c r="L275" s="14" t="n"/>
      <c r="M275" s="15" t="n">
        <v>0.6977821913273751</v>
      </c>
      <c r="N275" s="14" t="n"/>
      <c r="O275" s="16" t="n"/>
    </row>
    <row r="276" ht="15.75" customHeight="1">
      <c r="A276" s="234" t="n"/>
      <c r="B276" s="234" t="n"/>
      <c r="C276" s="175" t="inlineStr">
        <is>
          <t>SVG</t>
        </is>
      </c>
      <c r="D276" s="166" t="inlineStr">
        <is>
          <t>-</t>
        </is>
      </c>
      <c r="E276" s="166" t="n">
        <v>22</v>
      </c>
      <c r="F276" s="166" t="inlineStr">
        <is>
          <t>Single</t>
        </is>
      </c>
      <c r="G276" s="166" t="inlineStr">
        <is>
          <t>GNR 25 SVG</t>
        </is>
      </c>
      <c r="H276" s="166" t="inlineStr">
        <is>
          <t>117 X 126</t>
        </is>
      </c>
      <c r="I276" s="166" t="inlineStr">
        <is>
          <t>20 X 22</t>
        </is>
      </c>
      <c r="J276" s="166" t="n">
        <v>16</v>
      </c>
      <c r="K276" s="181" t="n"/>
      <c r="L276" s="25" t="n"/>
      <c r="M276" s="26" t="n">
        <v>0.4398148148148148</v>
      </c>
      <c r="N276" s="25" t="n"/>
      <c r="O276" s="27" t="n"/>
    </row>
    <row r="277" ht="15" customHeight="1">
      <c r="A277" s="197" t="n"/>
      <c r="B277" s="198" t="inlineStr">
        <is>
          <t>TCX 35</t>
        </is>
      </c>
      <c r="C277" s="179" t="inlineStr">
        <is>
          <t>LVP</t>
        </is>
      </c>
      <c r="D277" s="180" t="inlineStr">
        <is>
          <t>Top</t>
        </is>
      </c>
      <c r="E277" s="180" t="n">
        <v>40</v>
      </c>
      <c r="F277" s="180" t="inlineStr">
        <is>
          <t>Single</t>
        </is>
      </c>
      <c r="G277" s="180" t="inlineStr">
        <is>
          <t>Tuto Auto MCX 35 LVP</t>
        </is>
      </c>
      <c r="H277" s="180" t="inlineStr">
        <is>
          <t>135 X 190</t>
        </is>
      </c>
      <c r="I277" s="180" t="inlineStr">
        <is>
          <t>23 X 24</t>
        </is>
      </c>
      <c r="J277" s="180" t="n">
        <v>12</v>
      </c>
      <c r="K277" s="181" t="n"/>
      <c r="L277" s="31" t="n"/>
      <c r="M277" s="32" t="n">
        <v>0.6977821913273751</v>
      </c>
      <c r="N277" s="31" t="n"/>
      <c r="O277" s="33" t="n"/>
    </row>
    <row r="278" ht="15" customHeight="1">
      <c r="A278" s="232" t="n"/>
      <c r="B278" s="232" t="n"/>
      <c r="C278" s="168" t="n"/>
      <c r="D278" s="169" t="inlineStr">
        <is>
          <t>Bottom</t>
        </is>
      </c>
      <c r="E278" s="169" t="n">
        <v>40</v>
      </c>
      <c r="F278" s="169" t="inlineStr">
        <is>
          <t>Single</t>
        </is>
      </c>
      <c r="G278" s="180" t="inlineStr">
        <is>
          <t>Tuto Auto MCX 35 LVP</t>
        </is>
      </c>
      <c r="H278" s="180" t="inlineStr">
        <is>
          <t>135 X 190</t>
        </is>
      </c>
      <c r="I278" s="180" t="inlineStr">
        <is>
          <t>23 X 24</t>
        </is>
      </c>
      <c r="J278" s="180" t="n">
        <v>12</v>
      </c>
      <c r="K278" s="181" t="n"/>
      <c r="L278" s="14" t="n"/>
      <c r="M278" s="15" t="n">
        <v>0.6977821913273751</v>
      </c>
      <c r="N278" s="14" t="n"/>
      <c r="O278" s="16" t="n"/>
    </row>
    <row r="279" ht="15.75" customHeight="1">
      <c r="A279" s="234" t="n"/>
      <c r="B279" s="234" t="n"/>
      <c r="C279" s="175" t="inlineStr">
        <is>
          <t>SVG</t>
        </is>
      </c>
      <c r="D279" s="166" t="inlineStr">
        <is>
          <t>-</t>
        </is>
      </c>
      <c r="E279" s="166" t="n">
        <v>22</v>
      </c>
      <c r="F279" s="166" t="inlineStr">
        <is>
          <t>Single</t>
        </is>
      </c>
      <c r="G279" s="180" t="inlineStr">
        <is>
          <t>Tuto Auto MCX 35 SVG</t>
        </is>
      </c>
      <c r="H279" s="180" t="inlineStr">
        <is>
          <t>148 X 203</t>
        </is>
      </c>
      <c r="I279" s="166" t="inlineStr">
        <is>
          <t>26 X 26</t>
        </is>
      </c>
      <c r="J279" s="166" t="n">
        <v>12</v>
      </c>
      <c r="K279" s="181" t="n"/>
      <c r="L279" s="25" t="n"/>
      <c r="M279" s="26" t="n">
        <v>0.4398148148148148</v>
      </c>
      <c r="N279" s="25" t="n"/>
      <c r="O279" s="27" t="n"/>
    </row>
    <row r="280" ht="15" customHeight="1">
      <c r="A280" s="197" t="n"/>
      <c r="B280" s="198" t="inlineStr">
        <is>
          <t>TCX 40</t>
        </is>
      </c>
      <c r="C280" s="184" t="inlineStr">
        <is>
          <t>LVP</t>
        </is>
      </c>
      <c r="D280" s="180" t="inlineStr">
        <is>
          <t>Top</t>
        </is>
      </c>
      <c r="E280" s="180" t="n">
        <v>60</v>
      </c>
      <c r="F280" s="180" t="inlineStr">
        <is>
          <t>Single</t>
        </is>
      </c>
      <c r="G280" s="180" t="inlineStr">
        <is>
          <t>MCX 40 TOP LVP</t>
        </is>
      </c>
      <c r="H280" s="180" t="inlineStr">
        <is>
          <t>76 X 168</t>
        </is>
      </c>
      <c r="I280" s="180" t="inlineStr">
        <is>
          <t>21 X 24</t>
        </is>
      </c>
      <c r="J280" s="180" t="n">
        <v>21</v>
      </c>
      <c r="K280" s="181" t="n"/>
      <c r="L280" s="31" t="n"/>
      <c r="M280" s="32" t="n">
        <v>1.103988603988604</v>
      </c>
      <c r="N280" s="31" t="n"/>
      <c r="O280" s="33" t="n"/>
    </row>
    <row r="281" ht="15" customHeight="1">
      <c r="A281" s="232" t="n"/>
      <c r="B281" s="232" t="n"/>
      <c r="C281" s="235" t="n"/>
      <c r="D281" s="169" t="inlineStr">
        <is>
          <t>Bottom</t>
        </is>
      </c>
      <c r="E281" s="169" t="n">
        <v>40</v>
      </c>
      <c r="F281" s="169" t="inlineStr">
        <is>
          <t>Single</t>
        </is>
      </c>
      <c r="G281" s="169" t="inlineStr">
        <is>
          <t>MCX 40 BOT LVP</t>
        </is>
      </c>
      <c r="H281" s="169" t="inlineStr">
        <is>
          <t>88 X 178</t>
        </is>
      </c>
      <c r="I281" s="169" t="inlineStr">
        <is>
          <t>20 X 23</t>
        </is>
      </c>
      <c r="J281" s="169" t="n">
        <v>15</v>
      </c>
      <c r="K281" s="181" t="n"/>
      <c r="L281" s="14" t="n"/>
      <c r="M281" s="15" t="n">
        <v>0.6977821913273751</v>
      </c>
      <c r="N281" s="14" t="n"/>
      <c r="O281" s="16" t="n"/>
    </row>
    <row r="282" ht="15.75" customHeight="1">
      <c r="A282" s="234" t="n"/>
      <c r="B282" s="234" t="n"/>
      <c r="C282" s="175" t="inlineStr">
        <is>
          <t>SVG</t>
        </is>
      </c>
      <c r="D282" s="166" t="inlineStr">
        <is>
          <t>-</t>
        </is>
      </c>
      <c r="E282" s="166" t="n">
        <v>22</v>
      </c>
      <c r="F282" s="166" t="inlineStr">
        <is>
          <t>Single</t>
        </is>
      </c>
      <c r="G282" s="166" t="inlineStr">
        <is>
          <t>MCX 40 SVG</t>
        </is>
      </c>
      <c r="H282" s="166" t="inlineStr">
        <is>
          <t>103 X 193</t>
        </is>
      </c>
      <c r="I282" s="166" t="inlineStr">
        <is>
          <t>18 X 24</t>
        </is>
      </c>
      <c r="J282" s="166" t="n">
        <v>12</v>
      </c>
      <c r="K282" s="181" t="n"/>
      <c r="L282" s="25" t="n"/>
      <c r="M282" s="26" t="n">
        <v>0.4398148148148148</v>
      </c>
      <c r="N282" s="25" t="n"/>
      <c r="O282" s="27" t="n"/>
    </row>
    <row r="283" ht="15" customHeight="1">
      <c r="A283" s="197" t="n"/>
      <c r="B283" s="198" t="inlineStr">
        <is>
          <t>CKHD 4</t>
        </is>
      </c>
      <c r="C283" s="179" t="inlineStr">
        <is>
          <t>LVP</t>
        </is>
      </c>
      <c r="D283" s="180" t="inlineStr">
        <is>
          <t>Top</t>
        </is>
      </c>
      <c r="E283" s="180" t="n">
        <v>40</v>
      </c>
      <c r="F283" s="180" t="inlineStr">
        <is>
          <t>Single</t>
        </is>
      </c>
      <c r="G283" s="180" t="inlineStr">
        <is>
          <t>CKHD 4 LVP</t>
        </is>
      </c>
      <c r="H283" s="180" t="inlineStr">
        <is>
          <t>115 X 115</t>
        </is>
      </c>
      <c r="I283" s="180" t="inlineStr">
        <is>
          <t>25 X 25</t>
        </is>
      </c>
      <c r="J283" s="180" t="n">
        <v>25</v>
      </c>
      <c r="K283" s="181" t="n"/>
      <c r="L283" s="31" t="n"/>
      <c r="M283" s="32" t="n">
        <v>0.6977821913273751</v>
      </c>
      <c r="N283" s="31" t="n"/>
      <c r="O283" s="33" t="n"/>
    </row>
    <row r="284" ht="15" customHeight="1">
      <c r="A284" s="232" t="n"/>
      <c r="B284" s="232" t="n"/>
      <c r="C284" s="179" t="inlineStr">
        <is>
          <t>LVP</t>
        </is>
      </c>
      <c r="D284" s="169" t="inlineStr">
        <is>
          <t>Bottom</t>
        </is>
      </c>
      <c r="E284" s="169" t="n">
        <v>40</v>
      </c>
      <c r="F284" s="169" t="inlineStr">
        <is>
          <t>Single</t>
        </is>
      </c>
      <c r="G284" s="180" t="inlineStr">
        <is>
          <t>CKHD 4 LVP</t>
        </is>
      </c>
      <c r="H284" s="180" t="inlineStr">
        <is>
          <t>115 X 115</t>
        </is>
      </c>
      <c r="I284" s="180" t="inlineStr">
        <is>
          <t>25 X 25</t>
        </is>
      </c>
      <c r="J284" s="180" t="n">
        <v>25</v>
      </c>
      <c r="K284" s="181" t="n"/>
      <c r="L284" s="14" t="n"/>
      <c r="M284" s="15" t="n">
        <v>0.6977821913273751</v>
      </c>
      <c r="N284" s="14" t="n"/>
      <c r="O284" s="16" t="n"/>
    </row>
    <row r="285" ht="15.75" customHeight="1">
      <c r="A285" s="234" t="n"/>
      <c r="B285" s="234" t="n"/>
      <c r="C285" s="175" t="inlineStr">
        <is>
          <t>SVG</t>
        </is>
      </c>
      <c r="D285" s="166" t="inlineStr">
        <is>
          <t>-</t>
        </is>
      </c>
      <c r="E285" s="166" t="n">
        <v>22</v>
      </c>
      <c r="F285" s="166" t="inlineStr">
        <is>
          <t>Single</t>
        </is>
      </c>
      <c r="G285" s="180" t="inlineStr">
        <is>
          <t>CKHD 4 SVG</t>
        </is>
      </c>
      <c r="H285" s="180" t="inlineStr">
        <is>
          <t>128 X 128</t>
        </is>
      </c>
      <c r="I285" s="166" t="inlineStr">
        <is>
          <t>22 X 22</t>
        </is>
      </c>
      <c r="J285" s="166" t="n">
        <v>16</v>
      </c>
      <c r="K285" s="181" t="n"/>
      <c r="L285" s="25" t="n"/>
      <c r="M285" s="26" t="n">
        <v>0.4398148148148148</v>
      </c>
      <c r="N285" s="25" t="n"/>
      <c r="O285" s="27" t="n"/>
    </row>
    <row r="286" ht="15" customHeight="1">
      <c r="A286" s="197" t="n"/>
      <c r="B286" s="198" t="inlineStr">
        <is>
          <t>C 5</t>
        </is>
      </c>
      <c r="C286" s="179" t="inlineStr">
        <is>
          <t>LVP</t>
        </is>
      </c>
      <c r="D286" s="180" t="inlineStr">
        <is>
          <t>Top</t>
        </is>
      </c>
      <c r="E286" s="180" t="n">
        <v>60</v>
      </c>
      <c r="F286" s="180" t="inlineStr">
        <is>
          <t>Single</t>
        </is>
      </c>
      <c r="G286" s="180" t="inlineStr">
        <is>
          <t>CKHD 5 LVP</t>
        </is>
      </c>
      <c r="H286" s="180" t="inlineStr">
        <is>
          <t>148 X 148</t>
        </is>
      </c>
      <c r="I286" s="180" t="inlineStr">
        <is>
          <t>25 X 25</t>
        </is>
      </c>
      <c r="J286" s="180" t="n">
        <v>16</v>
      </c>
      <c r="K286" s="181" t="n"/>
      <c r="L286" s="31" t="n"/>
      <c r="M286" s="32" t="n">
        <v>1.103988603988604</v>
      </c>
      <c r="N286" s="31" t="n"/>
      <c r="O286" s="33" t="n"/>
    </row>
    <row r="287" ht="15" customHeight="1">
      <c r="A287" s="232" t="n"/>
      <c r="B287" s="232" t="n"/>
      <c r="C287" s="168" t="n"/>
      <c r="D287" s="169" t="inlineStr">
        <is>
          <t>Bottom</t>
        </is>
      </c>
      <c r="E287" s="169" t="n">
        <v>40</v>
      </c>
      <c r="F287" s="169" t="inlineStr">
        <is>
          <t>Single</t>
        </is>
      </c>
      <c r="G287" s="180" t="inlineStr">
        <is>
          <t>CKHD 5 LVP</t>
        </is>
      </c>
      <c r="H287" s="180" t="inlineStr">
        <is>
          <t>148 X 148</t>
        </is>
      </c>
      <c r="I287" s="180" t="inlineStr">
        <is>
          <t>25 X 25</t>
        </is>
      </c>
      <c r="J287" s="180" t="n">
        <v>16</v>
      </c>
      <c r="K287" s="181" t="n"/>
      <c r="L287" s="14" t="n"/>
      <c r="M287" s="15" t="n">
        <v>0.6977821913273751</v>
      </c>
      <c r="N287" s="14" t="n"/>
      <c r="O287" s="16" t="n"/>
    </row>
    <row r="288" ht="15.75" customHeight="1">
      <c r="A288" s="234" t="n"/>
      <c r="B288" s="234" t="n"/>
      <c r="C288" s="175" t="inlineStr">
        <is>
          <t>SVG</t>
        </is>
      </c>
      <c r="D288" s="166" t="inlineStr">
        <is>
          <t>-</t>
        </is>
      </c>
      <c r="E288" s="166" t="n">
        <v>22</v>
      </c>
      <c r="F288" s="166" t="inlineStr">
        <is>
          <t>Single</t>
        </is>
      </c>
      <c r="G288" s="180" t="inlineStr">
        <is>
          <t>CKHD 5 SVG</t>
        </is>
      </c>
      <c r="H288" s="180" t="inlineStr">
        <is>
          <t>161 X 161</t>
        </is>
      </c>
      <c r="I288" s="166" t="inlineStr">
        <is>
          <t xml:space="preserve">21 X 21 </t>
        </is>
      </c>
      <c r="J288" s="166" t="n">
        <v>9</v>
      </c>
      <c r="K288" s="181" t="n"/>
      <c r="L288" s="25" t="n"/>
      <c r="M288" s="26" t="n">
        <v>0.4398148148148148</v>
      </c>
      <c r="N288" s="25" t="n"/>
      <c r="O288" s="27" t="n"/>
    </row>
    <row r="289" ht="15" customHeight="1">
      <c r="A289" s="197" t="n"/>
      <c r="B289" s="198" t="inlineStr">
        <is>
          <t>MPR 10</t>
        </is>
      </c>
      <c r="C289" s="179" t="inlineStr">
        <is>
          <t>LVP</t>
        </is>
      </c>
      <c r="D289" s="180" t="inlineStr">
        <is>
          <t>Top</t>
        </is>
      </c>
      <c r="E289" s="180" t="n">
        <v>60</v>
      </c>
      <c r="F289" s="180" t="inlineStr">
        <is>
          <t>Passiing</t>
        </is>
      </c>
      <c r="G289" s="180" t="inlineStr">
        <is>
          <t>MPR 10 LVP</t>
        </is>
      </c>
      <c r="H289" s="180" t="inlineStr">
        <is>
          <t>50 X 68 MM</t>
        </is>
      </c>
      <c r="I289" s="180" t="inlineStr">
        <is>
          <t>20.5 X 22</t>
        </is>
      </c>
      <c r="J289" s="180" t="n">
        <v>70</v>
      </c>
      <c r="K289" s="202" t="n"/>
      <c r="L289" s="31" t="n"/>
      <c r="M289" s="32" t="n">
        <v>1.103988603988604</v>
      </c>
      <c r="N289" s="31" t="n"/>
      <c r="O289" s="33" t="n"/>
    </row>
    <row r="290" ht="15" customHeight="1">
      <c r="A290" s="232" t="n"/>
      <c r="B290" s="232" t="n"/>
      <c r="C290" s="168" t="n"/>
      <c r="D290" s="169" t="inlineStr">
        <is>
          <t>Bottom</t>
        </is>
      </c>
      <c r="E290" s="169" t="n"/>
      <c r="F290" s="169" t="n"/>
      <c r="G290" s="180" t="n"/>
      <c r="H290" s="180" t="n"/>
      <c r="I290" s="180" t="n"/>
      <c r="J290" s="180" t="n"/>
      <c r="K290" s="181" t="n"/>
      <c r="L290" s="14" t="n"/>
      <c r="M290" s="15" t="e">
        <v>#N/A</v>
      </c>
      <c r="N290" s="14" t="n"/>
      <c r="O290" s="16" t="n"/>
    </row>
    <row r="291" ht="15.75" customHeight="1">
      <c r="A291" s="234" t="n"/>
      <c r="B291" s="234" t="n"/>
      <c r="C291" s="175" t="inlineStr">
        <is>
          <t>SVG</t>
        </is>
      </c>
      <c r="D291" s="166" t="inlineStr">
        <is>
          <t>-</t>
        </is>
      </c>
      <c r="E291" s="166" t="n">
        <v>22</v>
      </c>
      <c r="F291" s="180" t="inlineStr">
        <is>
          <t>Passiing</t>
        </is>
      </c>
      <c r="G291" s="180" t="inlineStr">
        <is>
          <t>MPR 10 SVG</t>
        </is>
      </c>
      <c r="H291" s="180" t="inlineStr">
        <is>
          <t>62 X 80 MM</t>
        </is>
      </c>
      <c r="I291" s="180" t="inlineStr">
        <is>
          <t>20.5 X 21.5</t>
        </is>
      </c>
      <c r="J291" s="166" t="n">
        <v>48</v>
      </c>
      <c r="K291" s="202" t="n"/>
      <c r="L291" s="25" t="n"/>
      <c r="M291" s="26" t="n">
        <v>0.4398148148148148</v>
      </c>
      <c r="N291" s="25" t="n"/>
      <c r="O291" s="27" t="n"/>
    </row>
    <row r="292" ht="15" customHeight="1">
      <c r="A292" s="197" t="n"/>
      <c r="B292" s="198" t="inlineStr">
        <is>
          <t>MPR 12</t>
        </is>
      </c>
      <c r="C292" s="179" t="inlineStr">
        <is>
          <t>LVP</t>
        </is>
      </c>
      <c r="D292" s="180" t="inlineStr">
        <is>
          <t>Top</t>
        </is>
      </c>
      <c r="E292" s="180" t="n">
        <v>60</v>
      </c>
      <c r="F292" s="180" t="inlineStr">
        <is>
          <t>Passiing</t>
        </is>
      </c>
      <c r="G292" s="180" t="inlineStr">
        <is>
          <t>MPR 12 LVP</t>
        </is>
      </c>
      <c r="H292" s="180" t="inlineStr">
        <is>
          <t>58 X 105</t>
        </is>
      </c>
      <c r="I292" s="180" t="inlineStr">
        <is>
          <t>23 X 23</t>
        </is>
      </c>
      <c r="J292" s="180" t="n">
        <v>30</v>
      </c>
      <c r="K292" s="202" t="n"/>
      <c r="L292" s="31" t="n"/>
      <c r="M292" s="32" t="n">
        <v>1.103988603988604</v>
      </c>
      <c r="N292" s="31" t="n"/>
      <c r="O292" s="33" t="n"/>
    </row>
    <row r="293" ht="15" customHeight="1">
      <c r="A293" s="232" t="n"/>
      <c r="B293" s="232" t="n"/>
      <c r="C293" s="168" t="n"/>
      <c r="D293" s="169" t="inlineStr">
        <is>
          <t>Bottom</t>
        </is>
      </c>
      <c r="E293" s="169" t="n"/>
      <c r="F293" s="169" t="n"/>
      <c r="G293" s="180" t="n"/>
      <c r="H293" s="180" t="n"/>
      <c r="I293" s="180" t="n"/>
      <c r="J293" s="180" t="n"/>
      <c r="K293" s="181" t="n"/>
      <c r="L293" s="14" t="n"/>
      <c r="M293" s="15" t="e">
        <v>#N/A</v>
      </c>
      <c r="N293" s="14" t="n"/>
      <c r="O293" s="16" t="n"/>
    </row>
    <row r="294" ht="15.75" customHeight="1">
      <c r="A294" s="234" t="n"/>
      <c r="B294" s="234" t="n"/>
      <c r="C294" s="175" t="inlineStr">
        <is>
          <t>SVG</t>
        </is>
      </c>
      <c r="D294" s="166" t="inlineStr">
        <is>
          <t>-</t>
        </is>
      </c>
      <c r="E294" s="166" t="n">
        <v>22</v>
      </c>
      <c r="F294" s="180" t="inlineStr">
        <is>
          <t>Passiing</t>
        </is>
      </c>
      <c r="G294" s="180" t="inlineStr">
        <is>
          <t>MPR 12 SVG</t>
        </is>
      </c>
      <c r="H294" s="180" t="inlineStr">
        <is>
          <t>70 X 117</t>
        </is>
      </c>
      <c r="I294" s="180" t="inlineStr">
        <is>
          <t>23 X 25</t>
        </is>
      </c>
      <c r="J294" s="166" t="n">
        <v>35</v>
      </c>
      <c r="K294" s="202" t="n"/>
      <c r="L294" s="25" t="n"/>
      <c r="M294" s="26" t="n">
        <v>0.4398148148148148</v>
      </c>
      <c r="N294" s="25" t="n"/>
      <c r="O294" s="27" t="n"/>
    </row>
    <row r="295" ht="15" customHeight="1">
      <c r="A295" s="197" t="n"/>
      <c r="B295" s="198" t="inlineStr">
        <is>
          <t>RAD 10</t>
        </is>
      </c>
      <c r="C295" s="179" t="inlineStr">
        <is>
          <t>LVP</t>
        </is>
      </c>
      <c r="D295" s="180" t="inlineStr">
        <is>
          <t>Top</t>
        </is>
      </c>
      <c r="E295" s="180" t="n">
        <v>40</v>
      </c>
      <c r="F295" s="180" t="inlineStr">
        <is>
          <t>Single</t>
        </is>
      </c>
      <c r="G295" s="180" t="inlineStr">
        <is>
          <t>RAD 10 LVP</t>
        </is>
      </c>
      <c r="H295" s="180" t="inlineStr">
        <is>
          <t>42 X 66</t>
        </is>
      </c>
      <c r="I295" s="180" t="inlineStr">
        <is>
          <t>22 X 24</t>
        </is>
      </c>
      <c r="J295" s="180" t="n">
        <v>77</v>
      </c>
      <c r="K295" s="202" t="n"/>
      <c r="L295" s="31" t="n"/>
      <c r="M295" s="32" t="n">
        <v>0.6977821913273751</v>
      </c>
      <c r="N295" s="31" t="n"/>
      <c r="O295" s="33" t="n"/>
    </row>
    <row r="296" ht="15" customHeight="1">
      <c r="A296" s="232" t="n"/>
      <c r="B296" s="232" t="n"/>
      <c r="C296" s="168" t="n"/>
      <c r="D296" s="169" t="inlineStr">
        <is>
          <t>Bottom</t>
        </is>
      </c>
      <c r="E296" s="169" t="n">
        <v>40</v>
      </c>
      <c r="F296" s="180" t="inlineStr">
        <is>
          <t>Single</t>
        </is>
      </c>
      <c r="G296" s="180" t="inlineStr">
        <is>
          <t>RAD 10 LVP</t>
        </is>
      </c>
      <c r="H296" s="180" t="inlineStr">
        <is>
          <t>42 X 66</t>
        </is>
      </c>
      <c r="I296" s="180" t="inlineStr">
        <is>
          <t>22 X 24</t>
        </is>
      </c>
      <c r="J296" s="180" t="n">
        <v>77</v>
      </c>
      <c r="K296" s="181" t="n"/>
      <c r="L296" s="14" t="n"/>
      <c r="M296" s="15" t="n">
        <v>0.6977821913273751</v>
      </c>
      <c r="N296" s="14" t="n"/>
      <c r="O296" s="16" t="n"/>
    </row>
    <row r="297" ht="15.75" customHeight="1">
      <c r="A297" s="234" t="n"/>
      <c r="B297" s="234" t="n"/>
      <c r="C297" s="175" t="inlineStr">
        <is>
          <t>SVG</t>
        </is>
      </c>
      <c r="D297" s="166" t="inlineStr">
        <is>
          <t>-</t>
        </is>
      </c>
      <c r="E297" s="166" t="n">
        <v>22</v>
      </c>
      <c r="F297" s="180" t="inlineStr">
        <is>
          <t>Single</t>
        </is>
      </c>
      <c r="G297" s="180" t="inlineStr">
        <is>
          <t>RAD 10 SVG</t>
        </is>
      </c>
      <c r="H297" s="180" t="inlineStr">
        <is>
          <t>52 X 77</t>
        </is>
      </c>
      <c r="I297" s="180" t="inlineStr">
        <is>
          <t>21 X 23</t>
        </is>
      </c>
      <c r="J297" s="166" t="n">
        <v>54</v>
      </c>
      <c r="K297" s="202" t="n"/>
      <c r="L297" s="25" t="n"/>
      <c r="M297" s="26" t="n">
        <v>0.4398148148148148</v>
      </c>
      <c r="N297" s="25" t="n"/>
      <c r="O297" s="27" t="n"/>
    </row>
    <row r="298" ht="15" customHeight="1">
      <c r="A298" s="197" t="n"/>
      <c r="B298" s="198" t="inlineStr">
        <is>
          <t>PN 0</t>
        </is>
      </c>
      <c r="C298" s="184" t="inlineStr">
        <is>
          <t>LVP</t>
        </is>
      </c>
      <c r="D298" s="180" t="inlineStr">
        <is>
          <t>Top</t>
        </is>
      </c>
      <c r="E298" s="180" t="n">
        <v>40</v>
      </c>
      <c r="F298" s="180" t="inlineStr">
        <is>
          <t>Passing</t>
        </is>
      </c>
      <c r="G298" s="180" t="inlineStr">
        <is>
          <t>HPP PN 0 LVP</t>
        </is>
      </c>
      <c r="H298" s="180" t="n">
        <v>38</v>
      </c>
      <c r="I298" s="180" t="inlineStr">
        <is>
          <t>15 X 18.5</t>
        </is>
      </c>
      <c r="J298" s="180" t="n">
        <v>105</v>
      </c>
      <c r="K298" s="181" t="n"/>
      <c r="L298" s="31" t="n"/>
      <c r="M298" s="32" t="n">
        <v>0.6977821913273751</v>
      </c>
      <c r="N298" s="31" t="n"/>
      <c r="O298" s="33" t="n"/>
    </row>
    <row r="299" ht="15" customHeight="1">
      <c r="A299" s="232" t="n"/>
      <c r="B299" s="232" t="n"/>
      <c r="C299" s="235" t="n"/>
      <c r="D299" s="169" t="inlineStr">
        <is>
          <t>Bottom</t>
        </is>
      </c>
      <c r="E299" s="169" t="n">
        <v>40</v>
      </c>
      <c r="F299" s="180" t="inlineStr">
        <is>
          <t>Passing</t>
        </is>
      </c>
      <c r="G299" s="180" t="inlineStr">
        <is>
          <t>HPP PN 0 LVP</t>
        </is>
      </c>
      <c r="H299" s="180" t="n">
        <v>38</v>
      </c>
      <c r="I299" s="180" t="inlineStr">
        <is>
          <t>15 X 18.5</t>
        </is>
      </c>
      <c r="J299" s="180" t="n">
        <v>105</v>
      </c>
      <c r="K299" s="171" t="n"/>
      <c r="L299" s="14" t="n"/>
      <c r="M299" s="15" t="n">
        <v>0.6977821913273751</v>
      </c>
      <c r="N299" s="14" t="n"/>
      <c r="O299" s="16" t="n"/>
    </row>
    <row r="300" ht="15.75" customHeight="1">
      <c r="A300" s="234" t="n"/>
      <c r="B300" s="234" t="n"/>
      <c r="C300" s="175" t="inlineStr">
        <is>
          <t>SVG</t>
        </is>
      </c>
      <c r="D300" s="166" t="inlineStr">
        <is>
          <t>-</t>
        </is>
      </c>
      <c r="E300" s="166" t="n">
        <v>22</v>
      </c>
      <c r="F300" s="166" t="inlineStr">
        <is>
          <t>Passing</t>
        </is>
      </c>
      <c r="G300" s="166" t="inlineStr">
        <is>
          <t>HPP PN 0 SVG</t>
        </is>
      </c>
      <c r="H300" s="166" t="n">
        <v>48</v>
      </c>
      <c r="I300" s="166" t="inlineStr">
        <is>
          <t>24 X 24</t>
        </is>
      </c>
      <c r="J300" s="166" t="n">
        <v>100</v>
      </c>
      <c r="K300" s="176" t="n"/>
      <c r="L300" s="25" t="n"/>
      <c r="M300" s="26" t="n">
        <v>0.4398148148148148</v>
      </c>
      <c r="N300" s="25" t="n"/>
      <c r="O300" s="27" t="n"/>
    </row>
    <row r="301" ht="15" customHeight="1">
      <c r="A301" s="197" t="n"/>
      <c r="B301" s="198" t="inlineStr">
        <is>
          <t>PN 01</t>
        </is>
      </c>
      <c r="C301" s="184" t="inlineStr">
        <is>
          <t>LVP</t>
        </is>
      </c>
      <c r="D301" s="180" t="inlineStr">
        <is>
          <t>Top</t>
        </is>
      </c>
      <c r="E301" s="180" t="n">
        <v>40</v>
      </c>
      <c r="F301" s="180" t="inlineStr">
        <is>
          <t>Passing</t>
        </is>
      </c>
      <c r="G301" s="180" t="inlineStr">
        <is>
          <t xml:space="preserve">C2 SVG </t>
        </is>
      </c>
      <c r="H301" s="180" t="n">
        <v>56</v>
      </c>
      <c r="I301" s="180" t="inlineStr">
        <is>
          <t>17.5 X 24</t>
        </is>
      </c>
      <c r="J301" s="180" t="n">
        <v>72</v>
      </c>
      <c r="K301" s="181" t="n"/>
      <c r="L301" s="31" t="n"/>
      <c r="M301" s="32" t="n">
        <v>0.6977821913273751</v>
      </c>
      <c r="N301" s="31" t="n"/>
      <c r="O301" s="33" t="n"/>
    </row>
    <row r="302" ht="15" customHeight="1">
      <c r="A302" s="232" t="n"/>
      <c r="B302" s="232" t="n"/>
      <c r="C302" s="235" t="n"/>
      <c r="D302" s="169" t="inlineStr">
        <is>
          <t>Bottom</t>
        </is>
      </c>
      <c r="E302" s="169" t="n">
        <v>40</v>
      </c>
      <c r="F302" s="180" t="inlineStr">
        <is>
          <t>Passing</t>
        </is>
      </c>
      <c r="G302" s="180" t="inlineStr">
        <is>
          <t xml:space="preserve">C2 SVG </t>
        </is>
      </c>
      <c r="H302" s="180" t="n">
        <v>56</v>
      </c>
      <c r="I302" s="180" t="inlineStr">
        <is>
          <t>17.5 X 24</t>
        </is>
      </c>
      <c r="J302" s="180" t="n">
        <v>72</v>
      </c>
      <c r="K302" s="171" t="n"/>
      <c r="L302" s="14" t="n"/>
      <c r="M302" s="15" t="n">
        <v>0.6977821913273751</v>
      </c>
      <c r="N302" s="14" t="n"/>
      <c r="O302" s="16" t="n"/>
    </row>
    <row r="303" ht="15.75" customHeight="1">
      <c r="A303" s="234" t="n"/>
      <c r="B303" s="234" t="n"/>
      <c r="C303" s="175" t="inlineStr">
        <is>
          <t>SVG</t>
        </is>
      </c>
      <c r="D303" s="166" t="inlineStr">
        <is>
          <t>-</t>
        </is>
      </c>
      <c r="E303" s="166" t="n">
        <v>22</v>
      </c>
      <c r="F303" s="166" t="inlineStr">
        <is>
          <t>Passing</t>
        </is>
      </c>
      <c r="G303" s="166" t="inlineStr">
        <is>
          <t>HPP PN 01 SVG</t>
        </is>
      </c>
      <c r="H303" s="166" t="n">
        <v>65</v>
      </c>
      <c r="I303" s="166" t="inlineStr">
        <is>
          <t>22 X 20.5</t>
        </is>
      </c>
      <c r="J303" s="166" t="n">
        <v>60</v>
      </c>
      <c r="K303" s="176" t="n"/>
      <c r="L303" s="25" t="n"/>
      <c r="M303" s="26" t="n">
        <v>0.4398148148148148</v>
      </c>
      <c r="N303" s="25" t="n"/>
      <c r="O303" s="27" t="n"/>
    </row>
    <row r="304" ht="15" customHeight="1">
      <c r="A304" s="197" t="n"/>
      <c r="B304" s="198" t="inlineStr">
        <is>
          <t>PN 02</t>
        </is>
      </c>
      <c r="C304" s="184" t="inlineStr">
        <is>
          <t>LVP</t>
        </is>
      </c>
      <c r="D304" s="180" t="inlineStr">
        <is>
          <t>Top</t>
        </is>
      </c>
      <c r="E304" s="180" t="n">
        <v>40</v>
      </c>
      <c r="F304" s="180" t="inlineStr">
        <is>
          <t>Passing</t>
        </is>
      </c>
      <c r="G304" s="180" t="inlineStr">
        <is>
          <t>HPP PN 02 LVP</t>
        </is>
      </c>
      <c r="H304" s="180" t="n">
        <v>73</v>
      </c>
      <c r="I304" s="180" t="inlineStr">
        <is>
          <t>24 X 24</t>
        </is>
      </c>
      <c r="J304" s="180" t="n">
        <v>49</v>
      </c>
      <c r="K304" s="181" t="n"/>
      <c r="L304" s="31" t="n"/>
      <c r="M304" s="32" t="n">
        <v>0.6977821913273751</v>
      </c>
      <c r="N304" s="31" t="n"/>
      <c r="O304" s="33" t="n"/>
    </row>
    <row r="305" ht="15" customHeight="1">
      <c r="A305" s="232" t="n"/>
      <c r="B305" s="232" t="n"/>
      <c r="C305" s="235" t="n"/>
      <c r="D305" s="169" t="inlineStr">
        <is>
          <t>Bottom</t>
        </is>
      </c>
      <c r="E305" s="169" t="n">
        <v>40</v>
      </c>
      <c r="F305" s="180" t="inlineStr">
        <is>
          <t>Passing</t>
        </is>
      </c>
      <c r="G305" s="180" t="inlineStr">
        <is>
          <t>HPP PN 02 LVP</t>
        </is>
      </c>
      <c r="H305" s="180" t="n">
        <v>73</v>
      </c>
      <c r="I305" s="180" t="inlineStr">
        <is>
          <t>24 X 24</t>
        </is>
      </c>
      <c r="J305" s="180" t="n">
        <v>49</v>
      </c>
      <c r="K305" s="171" t="n"/>
      <c r="L305" s="14" t="n"/>
      <c r="M305" s="15" t="n">
        <v>0.6977821913273751</v>
      </c>
      <c r="N305" s="14" t="n"/>
      <c r="O305" s="16" t="n"/>
    </row>
    <row r="306" ht="15.75" customHeight="1">
      <c r="A306" s="234" t="n"/>
      <c r="B306" s="234" t="n"/>
      <c r="C306" s="175" t="inlineStr">
        <is>
          <t>SVG</t>
        </is>
      </c>
      <c r="D306" s="166" t="inlineStr">
        <is>
          <t>-</t>
        </is>
      </c>
      <c r="E306" s="166" t="n">
        <v>22</v>
      </c>
      <c r="F306" s="166" t="inlineStr">
        <is>
          <t>Passing</t>
        </is>
      </c>
      <c r="G306" s="166" t="inlineStr">
        <is>
          <t>HPP PN 02 SVG</t>
        </is>
      </c>
      <c r="H306" s="166" t="n">
        <v>83</v>
      </c>
      <c r="I306" s="166" t="inlineStr">
        <is>
          <t>23 X 23</t>
        </is>
      </c>
      <c r="J306" s="166" t="n">
        <v>36</v>
      </c>
      <c r="K306" s="176" t="n"/>
      <c r="L306" s="25" t="n"/>
      <c r="M306" s="26" t="n">
        <v>0.4398148148148148</v>
      </c>
      <c r="N306" s="25" t="n"/>
      <c r="O306" s="27" t="n"/>
    </row>
    <row r="307" ht="15" customHeight="1">
      <c r="A307" s="197" t="n"/>
      <c r="B307" s="198" t="inlineStr">
        <is>
          <t>Chemblue UP 2</t>
        </is>
      </c>
      <c r="C307" s="184" t="inlineStr">
        <is>
          <t>LVP</t>
        </is>
      </c>
      <c r="D307" s="180" t="inlineStr">
        <is>
          <t>Top</t>
        </is>
      </c>
      <c r="E307" s="180" t="n">
        <v>80</v>
      </c>
      <c r="F307" s="180" t="n"/>
      <c r="G307" s="180" t="inlineStr">
        <is>
          <t>Pang UP 2 LVP,
Chemblue UP 2</t>
        </is>
      </c>
      <c r="H307" s="180" t="inlineStr">
        <is>
          <t>43 X 43</t>
        </is>
      </c>
      <c r="I307" s="180" t="inlineStr">
        <is>
          <t>16 X 23.5</t>
        </is>
      </c>
      <c r="J307" s="180" t="n">
        <v>96</v>
      </c>
      <c r="K307" s="181" t="n"/>
      <c r="L307" s="31" t="n"/>
      <c r="M307" s="32" t="n">
        <v>1.494824016563147</v>
      </c>
      <c r="N307" s="31" t="n"/>
      <c r="O307" s="33" t="n"/>
    </row>
    <row r="308" ht="15" customHeight="1">
      <c r="A308" s="232" t="n"/>
      <c r="B308" s="232" t="n"/>
      <c r="C308" s="235" t="n"/>
      <c r="D308" s="169" t="inlineStr">
        <is>
          <t>-</t>
        </is>
      </c>
      <c r="E308" s="169" t="n"/>
      <c r="F308" s="180" t="n"/>
      <c r="G308" s="180" t="n"/>
      <c r="H308" s="180" t="n"/>
      <c r="I308" s="180" t="n"/>
      <c r="J308" s="180" t="n"/>
      <c r="K308" s="171" t="n"/>
      <c r="L308" s="14" t="n"/>
      <c r="M308" s="15" t="e">
        <v>#N/A</v>
      </c>
      <c r="N308" s="14" t="n"/>
      <c r="O308" s="16" t="n"/>
    </row>
    <row r="309" ht="15.75" customHeight="1">
      <c r="A309" s="234" t="n"/>
      <c r="B309" s="234" t="n"/>
      <c r="C309" s="175" t="inlineStr">
        <is>
          <t>SVG</t>
        </is>
      </c>
      <c r="D309" s="166" t="inlineStr">
        <is>
          <t>-</t>
        </is>
      </c>
      <c r="E309" s="166" t="n">
        <v>22</v>
      </c>
      <c r="F309" s="166" t="n"/>
      <c r="G309" s="166" t="inlineStr">
        <is>
          <t>Pang 1 SVG,
Chemblue UP 2 SVG
Chemblue UP 3 LVP</t>
        </is>
      </c>
      <c r="H309" s="166" t="inlineStr">
        <is>
          <t>53 X 53</t>
        </is>
      </c>
      <c r="I309" s="166" t="inlineStr">
        <is>
          <t>17 X 23.5</t>
        </is>
      </c>
      <c r="J309" s="166" t="n">
        <v>70</v>
      </c>
      <c r="K309" s="176" t="n"/>
      <c r="L309" s="25" t="n"/>
      <c r="M309" s="26" t="n">
        <v>0.4398148148148148</v>
      </c>
      <c r="N309" s="25" t="n"/>
      <c r="O309" s="27" t="n"/>
    </row>
    <row r="310" ht="17.25" customHeight="1">
      <c r="A310" s="177" t="n">
        <v>2</v>
      </c>
      <c r="B310" s="178" t="inlineStr">
        <is>
          <t>CVR 10</t>
        </is>
      </c>
      <c r="C310" s="179" t="inlineStr">
        <is>
          <t>LVP</t>
        </is>
      </c>
      <c r="D310" s="180" t="inlineStr">
        <is>
          <t>Top</t>
        </is>
      </c>
      <c r="E310" s="180" t="n">
        <v>60</v>
      </c>
      <c r="F310" s="180" t="n"/>
      <c r="G310" s="180" t="inlineStr">
        <is>
          <t>MCX 10 LVP</t>
        </is>
      </c>
      <c r="H310" s="180" t="inlineStr">
        <is>
          <t>40 X 60</t>
        </is>
      </c>
      <c r="I310" s="180" t="inlineStr">
        <is>
          <t>18.5 X 24</t>
        </is>
      </c>
      <c r="J310" s="180" t="n">
        <v>90</v>
      </c>
      <c r="K310" s="181" t="n"/>
      <c r="L310" s="31" t="n"/>
      <c r="M310" s="32" t="n">
        <v>1.103988603988604</v>
      </c>
      <c r="N310" s="31" t="n"/>
      <c r="O310" s="33" t="n"/>
    </row>
    <row r="311" ht="17.25" customHeight="1">
      <c r="A311" s="232" t="n"/>
      <c r="B311" s="232" t="n"/>
      <c r="C311" s="235" t="n"/>
      <c r="D311" s="169" t="inlineStr">
        <is>
          <t>Bottom</t>
        </is>
      </c>
      <c r="E311" s="169" t="n"/>
      <c r="F311" s="169" t="n"/>
      <c r="G311" s="169" t="n"/>
      <c r="H311" s="169" t="n"/>
      <c r="I311" s="169" t="n"/>
      <c r="J311" s="169" t="n"/>
      <c r="K311" s="171" t="n"/>
      <c r="L311" s="14" t="n"/>
      <c r="M311" s="15" t="e">
        <v>#N/A</v>
      </c>
      <c r="N311" s="14" t="n"/>
      <c r="O311" s="16" t="n"/>
    </row>
    <row r="312" ht="17.25" customHeight="1">
      <c r="A312" s="234" t="n"/>
      <c r="B312" s="234" t="n"/>
      <c r="C312" s="175" t="inlineStr">
        <is>
          <t>SVG</t>
        </is>
      </c>
      <c r="D312" s="166" t="inlineStr">
        <is>
          <t>-</t>
        </is>
      </c>
      <c r="E312" s="166" t="n">
        <v>22</v>
      </c>
      <c r="F312" s="166" t="n"/>
      <c r="G312" s="166" t="inlineStr">
        <is>
          <t>MCX 10 SVG</t>
        </is>
      </c>
      <c r="H312" s="166" t="inlineStr">
        <is>
          <t>50 X 70</t>
        </is>
      </c>
      <c r="I312" s="166" t="inlineStr">
        <is>
          <t>18.5 X 25</t>
        </is>
      </c>
      <c r="J312" s="166" t="n">
        <v>66</v>
      </c>
      <c r="K312" s="181" t="n"/>
      <c r="L312" s="25" t="n"/>
      <c r="M312" s="26" t="n">
        <v>0.4398148148148148</v>
      </c>
      <c r="N312" s="25" t="n"/>
      <c r="O312" s="27" t="n"/>
    </row>
    <row r="313" ht="15" customHeight="1">
      <c r="A313" s="177" t="n">
        <v>3</v>
      </c>
      <c r="B313" s="178" t="inlineStr">
        <is>
          <t>CVR 12</t>
        </is>
      </c>
      <c r="C313" s="179" t="inlineStr">
        <is>
          <t>LVP</t>
        </is>
      </c>
      <c r="D313" s="180" t="inlineStr">
        <is>
          <t>Top</t>
        </is>
      </c>
      <c r="E313" s="180" t="n">
        <v>60</v>
      </c>
      <c r="F313" s="180" t="n"/>
      <c r="G313" s="180" t="inlineStr">
        <is>
          <t xml:space="preserve">MCX 12 LVP </t>
        </is>
      </c>
      <c r="H313" s="180" t="inlineStr">
        <is>
          <t>50 X 90</t>
        </is>
      </c>
      <c r="I313" s="180" t="inlineStr">
        <is>
          <t>18.5 X 23.5</t>
        </is>
      </c>
      <c r="J313" s="180" t="n">
        <v>48</v>
      </c>
      <c r="K313" s="181" t="n"/>
      <c r="L313" s="31" t="n"/>
      <c r="M313" s="32" t="n">
        <v>1.103988603988604</v>
      </c>
      <c r="N313" s="31" t="n"/>
      <c r="O313" s="33" t="n"/>
    </row>
    <row r="314" ht="15" customHeight="1">
      <c r="A314" s="232" t="n"/>
      <c r="B314" s="232" t="n"/>
      <c r="C314" s="235" t="n"/>
      <c r="D314" s="169" t="inlineStr">
        <is>
          <t>Bottom</t>
        </is>
      </c>
      <c r="E314" s="169" t="n"/>
      <c r="F314" s="169" t="n"/>
      <c r="G314" s="169" t="n"/>
      <c r="H314" s="169" t="n"/>
      <c r="I314" s="169" t="n"/>
      <c r="J314" s="169" t="n"/>
      <c r="K314" s="171" t="n"/>
      <c r="L314" s="14" t="n"/>
      <c r="M314" s="15" t="e">
        <v>#N/A</v>
      </c>
      <c r="N314" s="14" t="n"/>
      <c r="O314" s="16" t="n"/>
    </row>
    <row r="315" ht="15.75" customHeight="1">
      <c r="A315" s="234" t="n"/>
      <c r="B315" s="234" t="n"/>
      <c r="C315" s="175" t="inlineStr">
        <is>
          <t>SVG</t>
        </is>
      </c>
      <c r="D315" s="166" t="inlineStr">
        <is>
          <t>-</t>
        </is>
      </c>
      <c r="E315" s="166" t="n">
        <v>22</v>
      </c>
      <c r="F315" s="166" t="n"/>
      <c r="G315" s="166" t="inlineStr">
        <is>
          <t>MCX 12 SVG</t>
        </is>
      </c>
      <c r="H315" s="166" t="inlineStr">
        <is>
          <t>61 X 101</t>
        </is>
      </c>
      <c r="I315" s="166" t="inlineStr">
        <is>
          <t>19 X 21.5</t>
        </is>
      </c>
      <c r="J315" s="166" t="n">
        <v>35</v>
      </c>
      <c r="K315" s="176" t="n"/>
      <c r="L315" s="25" t="n"/>
      <c r="M315" s="26" t="n">
        <v>0.4398148148148148</v>
      </c>
      <c r="N315" s="25" t="n"/>
      <c r="O315" s="27" t="n"/>
    </row>
    <row r="316" ht="15" customHeight="1">
      <c r="A316" s="183" t="n">
        <v>4</v>
      </c>
      <c r="B316" s="178" t="inlineStr">
        <is>
          <t>CVR 14</t>
        </is>
      </c>
      <c r="C316" s="184" t="inlineStr">
        <is>
          <t>LVP</t>
        </is>
      </c>
      <c r="D316" s="180" t="inlineStr">
        <is>
          <t>Top</t>
        </is>
      </c>
      <c r="E316" s="180" t="n">
        <v>60</v>
      </c>
      <c r="F316" s="185" t="n"/>
      <c r="G316" s="180" t="inlineStr">
        <is>
          <t>MCX 14 LVP</t>
        </is>
      </c>
      <c r="H316" s="180" t="inlineStr">
        <is>
          <t>60 X 114</t>
        </is>
      </c>
      <c r="I316" s="180" t="inlineStr">
        <is>
          <t>19 X 24.5</t>
        </is>
      </c>
      <c r="J316" s="180" t="n">
        <v>35</v>
      </c>
      <c r="K316" s="181" t="n"/>
      <c r="L316" s="31" t="n"/>
      <c r="M316" s="32" t="n">
        <v>1.103988603988604</v>
      </c>
      <c r="N316" s="31" t="n"/>
      <c r="O316" s="33" t="n"/>
    </row>
    <row r="317" ht="15" customHeight="1">
      <c r="A317" s="232" t="n"/>
      <c r="B317" s="232" t="n"/>
      <c r="C317" s="235" t="n"/>
      <c r="D317" s="169" t="inlineStr">
        <is>
          <t>Bottom</t>
        </is>
      </c>
      <c r="E317" s="169" t="n"/>
      <c r="F317" s="180" t="n"/>
      <c r="G317" s="169" t="n"/>
      <c r="H317" s="169" t="n"/>
      <c r="I317" s="169" t="n"/>
      <c r="J317" s="169" t="n"/>
      <c r="K317" s="171" t="n"/>
      <c r="L317" s="14" t="n"/>
      <c r="M317" s="15" t="e">
        <v>#N/A</v>
      </c>
      <c r="N317" s="14" t="n"/>
      <c r="O317" s="16" t="n"/>
    </row>
    <row r="318" ht="15.75" customHeight="1">
      <c r="A318" s="234" t="n"/>
      <c r="B318" s="234" t="n"/>
      <c r="C318" s="175" t="inlineStr">
        <is>
          <t>SVG</t>
        </is>
      </c>
      <c r="D318" s="166" t="inlineStr">
        <is>
          <t>-</t>
        </is>
      </c>
      <c r="E318" s="166" t="n">
        <v>22</v>
      </c>
      <c r="F318" s="166" t="n"/>
      <c r="G318" s="166" t="inlineStr">
        <is>
          <t>MCX 14 SVG</t>
        </is>
      </c>
      <c r="H318" s="166" t="inlineStr">
        <is>
          <t>70 X 125</t>
        </is>
      </c>
      <c r="I318" s="166" t="inlineStr">
        <is>
          <t>21.5 X 24.5</t>
        </is>
      </c>
      <c r="J318" s="166" t="n">
        <v>32</v>
      </c>
      <c r="K318" s="176" t="n"/>
      <c r="L318" s="25" t="n"/>
      <c r="M318" s="26" t="n">
        <v>0.4398148148148148</v>
      </c>
      <c r="N318" s="25" t="n"/>
      <c r="O318" s="27" t="n"/>
    </row>
    <row r="319" ht="15" customHeight="1">
      <c r="A319" s="186" t="n">
        <v>16</v>
      </c>
      <c r="B319" s="187" t="inlineStr">
        <is>
          <t>CVR 44</t>
        </is>
      </c>
      <c r="C319" s="184" t="inlineStr">
        <is>
          <t>LVP</t>
        </is>
      </c>
      <c r="D319" s="180" t="inlineStr">
        <is>
          <t>Top</t>
        </is>
      </c>
      <c r="E319" s="180" t="n">
        <v>60</v>
      </c>
      <c r="F319" s="180" t="n"/>
      <c r="G319" s="180" t="inlineStr">
        <is>
          <t>MCX 44 TOP LVP</t>
        </is>
      </c>
      <c r="H319" s="180" t="inlineStr">
        <is>
          <t>100 X 308</t>
        </is>
      </c>
      <c r="I319" s="180" t="inlineStr">
        <is>
          <t>18 X 25</t>
        </is>
      </c>
      <c r="J319" s="180" t="n">
        <v>8</v>
      </c>
      <c r="K319" s="181" t="n"/>
      <c r="L319" s="31" t="n"/>
      <c r="M319" s="32" t="n">
        <v>1.103988603988604</v>
      </c>
      <c r="N319" s="31" t="n"/>
      <c r="O319" s="33" t="n"/>
    </row>
    <row r="320" ht="15" customHeight="1">
      <c r="A320" s="232" t="n"/>
      <c r="B320" s="232" t="n"/>
      <c r="C320" s="235" t="n"/>
      <c r="D320" s="169" t="inlineStr">
        <is>
          <t>Bottom</t>
        </is>
      </c>
      <c r="E320" s="169" t="n">
        <v>40</v>
      </c>
      <c r="F320" s="169" t="n"/>
      <c r="G320" s="169" t="inlineStr">
        <is>
          <t>MCX 44 BOT LVP</t>
        </is>
      </c>
      <c r="H320" s="169" t="inlineStr">
        <is>
          <t>110 X 320</t>
        </is>
      </c>
      <c r="I320" s="169" t="inlineStr">
        <is>
          <t>24 X 26</t>
        </is>
      </c>
      <c r="J320" s="169" t="n">
        <v>10</v>
      </c>
      <c r="K320" s="171" t="n"/>
      <c r="L320" s="14" t="n"/>
      <c r="M320" s="15" t="n">
        <v>0.6977821913273751</v>
      </c>
      <c r="N320" s="14" t="n"/>
      <c r="O320" s="16" t="n"/>
    </row>
    <row r="321" ht="15.75" customHeight="1">
      <c r="A321" s="234" t="n"/>
      <c r="B321" s="234" t="n"/>
      <c r="C321" s="175" t="inlineStr">
        <is>
          <t>SVG</t>
        </is>
      </c>
      <c r="D321" s="166" t="inlineStr">
        <is>
          <t>-</t>
        </is>
      </c>
      <c r="E321" s="166" t="n">
        <v>22</v>
      </c>
      <c r="F321" s="166" t="n"/>
      <c r="G321" s="166" t="inlineStr">
        <is>
          <t>MCX 44 SVG</t>
        </is>
      </c>
      <c r="H321" s="166" t="inlineStr">
        <is>
          <t>125 X 338</t>
        </is>
      </c>
      <c r="I321" s="166" t="inlineStr">
        <is>
          <t>14 X 22</t>
        </is>
      </c>
      <c r="J321" s="166" t="n">
        <v>4</v>
      </c>
      <c r="K321" s="176" t="n"/>
      <c r="L321" s="25" t="n"/>
      <c r="M321" s="26" t="n">
        <v>0.4398148148148148</v>
      </c>
      <c r="N321" s="25" t="n"/>
      <c r="O321" s="27" t="n"/>
    </row>
    <row r="322" ht="15" customHeight="1">
      <c r="A322" s="186" t="n">
        <v>16</v>
      </c>
      <c r="B322" s="187" t="inlineStr">
        <is>
          <t>C1 / BR 1</t>
        </is>
      </c>
      <c r="C322" s="184" t="inlineStr">
        <is>
          <t>LVP</t>
        </is>
      </c>
      <c r="D322" s="180" t="inlineStr">
        <is>
          <t>Top</t>
        </is>
      </c>
      <c r="E322" s="180" t="n">
        <v>40</v>
      </c>
      <c r="F322" s="180" t="n"/>
      <c r="G322" s="180" t="inlineStr">
        <is>
          <t>PRC RSR New,
T 30 LVP,
C 1 (Sq on Fabric + LVP)</t>
        </is>
      </c>
      <c r="H322" s="180" t="n">
        <v>31</v>
      </c>
      <c r="I322" s="180" t="inlineStr">
        <is>
          <t>16.5 X 21</t>
        </is>
      </c>
      <c r="J322" s="180" t="n">
        <v>189</v>
      </c>
      <c r="K322" s="181" t="n"/>
      <c r="L322" s="31" t="n"/>
      <c r="M322" s="32" t="n">
        <v>0.6977821913273751</v>
      </c>
      <c r="N322" s="31" t="n"/>
      <c r="O322" s="33" t="n"/>
    </row>
    <row r="323" ht="15" customHeight="1">
      <c r="A323" s="232" t="n"/>
      <c r="B323" s="232" t="n"/>
      <c r="C323" s="235" t="n"/>
      <c r="D323" s="169" t="n"/>
      <c r="E323" s="169" t="n"/>
      <c r="F323" s="169" t="n"/>
      <c r="G323" s="169" t="n"/>
      <c r="H323" s="169" t="n"/>
      <c r="I323" s="169" t="n"/>
      <c r="J323" s="169" t="n"/>
      <c r="K323" s="171" t="n"/>
      <c r="L323" s="14" t="n"/>
      <c r="M323" s="15" t="e">
        <v>#N/A</v>
      </c>
      <c r="N323" s="14" t="n"/>
      <c r="O323" s="16" t="n"/>
    </row>
    <row r="324" ht="15.75" customHeight="1">
      <c r="A324" s="234" t="n"/>
      <c r="B324" s="234" t="n"/>
      <c r="C324" s="175" t="inlineStr">
        <is>
          <t>SVG</t>
        </is>
      </c>
      <c r="D324" s="166" t="inlineStr">
        <is>
          <t>-</t>
        </is>
      </c>
      <c r="E324" s="166" t="n">
        <v>22</v>
      </c>
      <c r="F324" s="166" t="n"/>
      <c r="G324" s="166" t="inlineStr">
        <is>
          <t>C 1 SVG</t>
        </is>
      </c>
      <c r="H324" s="166" t="n">
        <v>38</v>
      </c>
      <c r="I324" s="166" t="inlineStr">
        <is>
          <t>15 X 18.5</t>
        </is>
      </c>
      <c r="J324" s="166" t="n">
        <v>105</v>
      </c>
      <c r="K324" s="181" t="n"/>
      <c r="L324" s="25" t="n"/>
      <c r="M324" s="26" t="n">
        <v>0.4398148148148148</v>
      </c>
      <c r="N324" s="25" t="n"/>
      <c r="O324" s="27" t="n"/>
    </row>
    <row r="325" ht="15" customHeight="1">
      <c r="A325" s="186" t="n">
        <v>16</v>
      </c>
      <c r="B325" s="187" t="inlineStr">
        <is>
          <t>C1 / BR 2</t>
        </is>
      </c>
      <c r="C325" s="184" t="inlineStr">
        <is>
          <t>LVP</t>
        </is>
      </c>
      <c r="D325" s="180" t="inlineStr">
        <is>
          <t>Top</t>
        </is>
      </c>
      <c r="E325" s="180" t="n">
        <v>40</v>
      </c>
      <c r="F325" s="180" t="n"/>
      <c r="G325" s="180" t="inlineStr">
        <is>
          <t>PRC RMR New,
 T 31 LVP</t>
        </is>
      </c>
      <c r="H325" s="180" t="n">
        <v>44</v>
      </c>
      <c r="I325" s="180" t="inlineStr">
        <is>
          <t>16.5 X 20</t>
        </is>
      </c>
      <c r="J325" s="180" t="n">
        <v>96</v>
      </c>
      <c r="K325" s="181" t="n"/>
      <c r="L325" s="31" t="n"/>
      <c r="M325" s="32" t="n">
        <v>0.6977821913273751</v>
      </c>
      <c r="N325" s="31" t="n"/>
      <c r="O325" s="33" t="n"/>
    </row>
    <row r="326" ht="15" customHeight="1">
      <c r="A326" s="232" t="n"/>
      <c r="B326" s="232" t="n"/>
      <c r="C326" s="235" t="n"/>
      <c r="D326" s="169" t="n"/>
      <c r="E326" s="169" t="n"/>
      <c r="F326" s="169" t="n"/>
      <c r="G326" s="169" t="n"/>
      <c r="H326" s="169" t="n"/>
      <c r="I326" s="169" t="n"/>
      <c r="J326" s="169" t="n"/>
      <c r="K326" s="171" t="n"/>
      <c r="L326" s="14" t="n"/>
      <c r="M326" s="15" t="e">
        <v>#N/A</v>
      </c>
      <c r="N326" s="14" t="n"/>
      <c r="O326" s="16" t="n"/>
    </row>
    <row r="327" ht="15.75" customHeight="1">
      <c r="A327" s="234" t="n"/>
      <c r="B327" s="234" t="n"/>
      <c r="C327" s="175" t="inlineStr">
        <is>
          <t>SVG</t>
        </is>
      </c>
      <c r="D327" s="166" t="inlineStr">
        <is>
          <t>-</t>
        </is>
      </c>
      <c r="E327" s="166" t="n">
        <v>22</v>
      </c>
      <c r="F327" s="166" t="n"/>
      <c r="G327" s="166" t="inlineStr">
        <is>
          <t xml:space="preserve">C2 SVG </t>
        </is>
      </c>
      <c r="H327" s="166" t="n">
        <v>56</v>
      </c>
      <c r="I327" s="166" t="inlineStr">
        <is>
          <t>17.5 X 24</t>
        </is>
      </c>
      <c r="J327" s="166" t="n">
        <v>105</v>
      </c>
      <c r="K327" s="181" t="n"/>
      <c r="L327" s="25" t="n"/>
      <c r="M327" s="26" t="n">
        <v>0.4398148148148148</v>
      </c>
      <c r="N327" s="25" t="n"/>
      <c r="O327" s="27" t="n"/>
    </row>
    <row r="328" ht="15" customHeight="1">
      <c r="A328" s="186" t="n">
        <v>16</v>
      </c>
      <c r="B328" s="187" t="inlineStr">
        <is>
          <t>CKHD 3</t>
        </is>
      </c>
      <c r="C328" s="184" t="inlineStr">
        <is>
          <t>LVP</t>
        </is>
      </c>
      <c r="D328" s="180" t="inlineStr">
        <is>
          <t>Top</t>
        </is>
      </c>
      <c r="E328" s="180" t="n">
        <v>75</v>
      </c>
      <c r="F328" s="180" t="inlineStr">
        <is>
          <t>Single</t>
        </is>
      </c>
      <c r="G328" s="180" t="inlineStr">
        <is>
          <t>CKHD 3 LVP</t>
        </is>
      </c>
      <c r="H328" s="180" t="inlineStr">
        <is>
          <t>84 X 84</t>
        </is>
      </c>
      <c r="I328" s="180" t="inlineStr">
        <is>
          <t>23 X 23</t>
        </is>
      </c>
      <c r="J328" s="180" t="n">
        <v>36</v>
      </c>
      <c r="K328" s="181" t="n"/>
      <c r="L328" s="31" t="n"/>
      <c r="M328" s="32" t="n">
        <v>1.433962264150943</v>
      </c>
      <c r="N328" s="31" t="n"/>
      <c r="O328" s="33" t="n"/>
    </row>
    <row r="329" ht="15" customHeight="1">
      <c r="A329" s="232" t="n"/>
      <c r="B329" s="232" t="n"/>
      <c r="C329" s="235" t="n"/>
      <c r="D329" s="169" t="n"/>
      <c r="E329" s="169" t="n"/>
      <c r="F329" s="169" t="n"/>
      <c r="G329" s="169" t="n"/>
      <c r="H329" s="169" t="n"/>
      <c r="I329" s="169" t="n"/>
      <c r="J329" s="169" t="n"/>
      <c r="K329" s="171" t="n"/>
      <c r="L329" s="14" t="n"/>
      <c r="M329" s="15" t="e">
        <v>#N/A</v>
      </c>
      <c r="N329" s="14" t="n"/>
      <c r="O329" s="16" t="n"/>
    </row>
    <row r="330" ht="15.75" customHeight="1">
      <c r="A330" s="234" t="n"/>
      <c r="B330" s="234" t="n"/>
      <c r="C330" s="175" t="inlineStr">
        <is>
          <t>SVG</t>
        </is>
      </c>
      <c r="D330" s="166" t="inlineStr">
        <is>
          <t>-</t>
        </is>
      </c>
      <c r="E330" s="166" t="n">
        <v>22</v>
      </c>
      <c r="F330" s="166" t="inlineStr">
        <is>
          <t>Single</t>
        </is>
      </c>
      <c r="G330" s="166" t="inlineStr">
        <is>
          <t>CKHD 3 SVG</t>
        </is>
      </c>
      <c r="H330" s="166" t="inlineStr">
        <is>
          <t>95 X 95</t>
        </is>
      </c>
      <c r="I330" s="166" t="inlineStr">
        <is>
          <t xml:space="preserve">21 X 21 </t>
        </is>
      </c>
      <c r="J330" s="166" t="n">
        <v>25</v>
      </c>
      <c r="K330" s="181" t="n"/>
      <c r="L330" s="25" t="n"/>
      <c r="M330" s="26" t="n">
        <v>0.4398148148148148</v>
      </c>
      <c r="N330" s="25" t="n"/>
      <c r="O330" s="27" t="n"/>
    </row>
    <row r="331" ht="15" customHeight="1">
      <c r="A331" s="183" t="n">
        <v>4</v>
      </c>
      <c r="B331" s="178" t="inlineStr">
        <is>
          <t>CX 14</t>
        </is>
      </c>
      <c r="C331" s="184" t="inlineStr">
        <is>
          <t>LVP</t>
        </is>
      </c>
      <c r="D331" s="180" t="inlineStr">
        <is>
          <t>Top</t>
        </is>
      </c>
      <c r="E331" s="180" t="n">
        <v>60</v>
      </c>
      <c r="F331" s="185" t="n"/>
      <c r="G331" s="180" t="inlineStr">
        <is>
          <t>MPR 14 LVP</t>
        </is>
      </c>
      <c r="H331" s="180" t="inlineStr">
        <is>
          <t>75 X 115</t>
        </is>
      </c>
      <c r="I331" s="180" t="inlineStr">
        <is>
          <t>20 X 21</t>
        </is>
      </c>
      <c r="J331" s="180" t="n">
        <v>24</v>
      </c>
      <c r="K331" s="181" t="n"/>
      <c r="L331" s="31" t="n"/>
      <c r="M331" s="32" t="n">
        <v>1.103988603988604</v>
      </c>
      <c r="N331" s="31" t="n"/>
      <c r="O331" s="33" t="n"/>
    </row>
    <row r="332" ht="15" customHeight="1">
      <c r="A332" s="232" t="n"/>
      <c r="B332" s="232" t="n"/>
      <c r="C332" s="235" t="n"/>
      <c r="D332" s="169" t="inlineStr">
        <is>
          <t>Bottom</t>
        </is>
      </c>
      <c r="E332" s="169" t="n"/>
      <c r="F332" s="180" t="n"/>
      <c r="G332" s="169" t="n"/>
      <c r="H332" s="169" t="n"/>
      <c r="I332" s="169" t="n"/>
      <c r="J332" s="169" t="n"/>
      <c r="K332" s="171" t="n"/>
      <c r="L332" s="14" t="n"/>
      <c r="M332" s="15" t="e">
        <v>#N/A</v>
      </c>
      <c r="N332" s="14" t="n"/>
      <c r="O332" s="16" t="n"/>
    </row>
    <row r="333" ht="15.75" customHeight="1">
      <c r="A333" s="234" t="n"/>
      <c r="B333" s="234" t="n"/>
      <c r="C333" s="175" t="inlineStr">
        <is>
          <t>SVG</t>
        </is>
      </c>
      <c r="D333" s="166" t="inlineStr">
        <is>
          <t>-</t>
        </is>
      </c>
      <c r="E333" s="166" t="n">
        <v>22</v>
      </c>
      <c r="F333" s="166" t="n"/>
      <c r="G333" s="169" t="inlineStr">
        <is>
          <t>MPR 14 SVG</t>
        </is>
      </c>
      <c r="H333" s="169" t="inlineStr">
        <is>
          <t>87 X 127</t>
        </is>
      </c>
      <c r="I333" s="166" t="inlineStr">
        <is>
          <t>22 X 24</t>
        </is>
      </c>
      <c r="J333" s="166" t="n">
        <v>24</v>
      </c>
      <c r="K333" s="176" t="n"/>
      <c r="L333" s="25" t="n"/>
      <c r="M333" s="26" t="n">
        <v>0.4398148148148148</v>
      </c>
      <c r="N333" s="25" t="n"/>
      <c r="O333" s="27" t="n"/>
    </row>
    <row r="334" ht="15.75" customHeight="1">
      <c r="A334" s="183" t="n">
        <v>4</v>
      </c>
      <c r="B334" s="178" t="inlineStr">
        <is>
          <t>CKHD 6</t>
        </is>
      </c>
      <c r="C334" s="184" t="inlineStr">
        <is>
          <t>LVP</t>
        </is>
      </c>
      <c r="D334" s="180" t="inlineStr">
        <is>
          <t>Top</t>
        </is>
      </c>
      <c r="E334" s="180" t="n">
        <v>60</v>
      </c>
      <c r="F334" s="185" t="inlineStr">
        <is>
          <t>Single</t>
        </is>
      </c>
      <c r="G334" s="180" t="inlineStr">
        <is>
          <t>CKHD 6 LVP,
HK 6 LVP</t>
        </is>
      </c>
      <c r="H334" s="180" t="inlineStr">
        <is>
          <t>217 X 217</t>
        </is>
      </c>
      <c r="I334" s="180" t="inlineStr">
        <is>
          <t>18 X 18</t>
        </is>
      </c>
      <c r="J334" s="180" t="n">
        <v>4</v>
      </c>
      <c r="K334" s="181" t="n"/>
      <c r="L334" s="31" t="n"/>
      <c r="M334" s="32" t="n">
        <v>1.103988603988604</v>
      </c>
      <c r="N334" s="31" t="n"/>
      <c r="O334" s="33" t="n"/>
    </row>
    <row r="335" ht="15.75" customHeight="1">
      <c r="A335" s="232" t="n"/>
      <c r="B335" s="232" t="n"/>
      <c r="C335" s="235" t="n"/>
      <c r="D335" s="169" t="inlineStr">
        <is>
          <t>Bottom</t>
        </is>
      </c>
      <c r="E335" s="169" t="n">
        <v>40</v>
      </c>
      <c r="F335" s="185" t="inlineStr">
        <is>
          <t>Single</t>
        </is>
      </c>
      <c r="G335" s="180" t="inlineStr">
        <is>
          <t>CKHD 6 LVP,
HK 6 LVP</t>
        </is>
      </c>
      <c r="H335" s="180" t="inlineStr">
        <is>
          <t>217 X 217</t>
        </is>
      </c>
      <c r="I335" s="180" t="inlineStr">
        <is>
          <t>18 X 18</t>
        </is>
      </c>
      <c r="J335" s="180" t="n">
        <v>4</v>
      </c>
      <c r="K335" s="171" t="n"/>
      <c r="L335" s="14" t="n"/>
      <c r="M335" s="15" t="n">
        <v>0.6977821913273751</v>
      </c>
      <c r="N335" s="14" t="n"/>
      <c r="O335" s="16" t="n"/>
    </row>
    <row r="336" ht="15.75" customHeight="1">
      <c r="A336" s="234" t="n"/>
      <c r="B336" s="234" t="n"/>
      <c r="C336" s="175" t="inlineStr">
        <is>
          <t>SVG</t>
        </is>
      </c>
      <c r="D336" s="166" t="inlineStr">
        <is>
          <t>-</t>
        </is>
      </c>
      <c r="E336" s="166" t="n">
        <v>22</v>
      </c>
      <c r="F336" s="185" t="inlineStr">
        <is>
          <t>Single</t>
        </is>
      </c>
      <c r="G336" s="169" t="inlineStr">
        <is>
          <t>CKHD 6 SVG,
HK 6 SVG</t>
        </is>
      </c>
      <c r="H336" s="169" t="inlineStr">
        <is>
          <t>233 X 233</t>
        </is>
      </c>
      <c r="I336" s="166" t="inlineStr">
        <is>
          <t>19.5 X 19.5</t>
        </is>
      </c>
      <c r="J336" s="166" t="n">
        <v>4</v>
      </c>
      <c r="K336" s="176" t="n"/>
      <c r="L336" s="25" t="n"/>
      <c r="M336" s="26" t="n">
        <v>0.4398148148148148</v>
      </c>
      <c r="N336" s="25" t="n"/>
      <c r="O336" s="27" t="n"/>
    </row>
    <row r="337" ht="15.75" customHeight="1">
      <c r="A337" s="183" t="n">
        <v>4</v>
      </c>
      <c r="B337" s="178" t="inlineStr">
        <is>
          <t>CKHD 7</t>
        </is>
      </c>
      <c r="C337" s="184" t="inlineStr">
        <is>
          <t>LVP</t>
        </is>
      </c>
      <c r="D337" s="180" t="inlineStr">
        <is>
          <t>Top</t>
        </is>
      </c>
      <c r="E337" s="180" t="n">
        <v>60</v>
      </c>
      <c r="F337" s="185" t="inlineStr">
        <is>
          <t>Single</t>
        </is>
      </c>
      <c r="G337" s="180" t="inlineStr">
        <is>
          <t>CKHD 7 LVP</t>
        </is>
      </c>
      <c r="H337" s="180" t="inlineStr">
        <is>
          <t>280 X 280</t>
        </is>
      </c>
      <c r="I337" s="180" t="inlineStr">
        <is>
          <t>23 X 23</t>
        </is>
      </c>
      <c r="J337" s="180" t="n">
        <v>4</v>
      </c>
      <c r="K337" s="181" t="n"/>
      <c r="L337" s="31" t="n"/>
      <c r="M337" s="32" t="n">
        <v>1.103988603988604</v>
      </c>
      <c r="N337" s="31" t="n"/>
      <c r="O337" s="33" t="n"/>
    </row>
    <row r="338" ht="15.75" customHeight="1">
      <c r="A338" s="232" t="n"/>
      <c r="B338" s="232" t="n"/>
      <c r="C338" s="235" t="n"/>
      <c r="D338" s="169" t="inlineStr">
        <is>
          <t>Bottom</t>
        </is>
      </c>
      <c r="E338" s="169" t="n">
        <v>40</v>
      </c>
      <c r="F338" s="185" t="inlineStr">
        <is>
          <t>Single</t>
        </is>
      </c>
      <c r="G338" s="180" t="inlineStr">
        <is>
          <t>CKHD 7 LVP</t>
        </is>
      </c>
      <c r="H338" s="180" t="inlineStr">
        <is>
          <t>280 X 280</t>
        </is>
      </c>
      <c r="I338" s="180" t="inlineStr">
        <is>
          <t>23 X 23</t>
        </is>
      </c>
      <c r="J338" s="180" t="n">
        <v>4</v>
      </c>
      <c r="K338" s="171" t="n"/>
      <c r="L338" s="14" t="n"/>
      <c r="M338" s="15" t="n">
        <v>0.6977821913273751</v>
      </c>
      <c r="N338" s="14" t="n"/>
      <c r="O338" s="16" t="n"/>
    </row>
    <row r="339" ht="15.75" customHeight="1">
      <c r="A339" s="234" t="n"/>
      <c r="B339" s="234" t="n"/>
      <c r="C339" s="175" t="inlineStr">
        <is>
          <t>SVG</t>
        </is>
      </c>
      <c r="D339" s="166" t="inlineStr">
        <is>
          <t>-</t>
        </is>
      </c>
      <c r="E339" s="166" t="n">
        <v>22</v>
      </c>
      <c r="F339" s="185" t="inlineStr">
        <is>
          <t>Single</t>
        </is>
      </c>
      <c r="G339" s="180" t="inlineStr">
        <is>
          <t>CKHD 7 SVG</t>
        </is>
      </c>
      <c r="H339" s="180" t="inlineStr">
        <is>
          <t>297 X 297</t>
        </is>
      </c>
      <c r="I339" s="166" t="inlineStr">
        <is>
          <t>24.5 X 24.5</t>
        </is>
      </c>
      <c r="J339" s="166" t="n">
        <v>4</v>
      </c>
      <c r="K339" s="176" t="n"/>
      <c r="L339" s="25" t="n"/>
      <c r="M339" s="26" t="n">
        <v>0.4398148148148148</v>
      </c>
      <c r="N339" s="25" t="n"/>
      <c r="O339" s="27" t="n"/>
    </row>
    <row r="340" ht="15.75" customHeight="1">
      <c r="A340" s="183" t="n">
        <v>4</v>
      </c>
      <c r="B340" s="178" t="inlineStr">
        <is>
          <t>PR 1 Volga</t>
        </is>
      </c>
      <c r="C340" s="184" t="inlineStr">
        <is>
          <t>LVP</t>
        </is>
      </c>
      <c r="D340" s="180" t="inlineStr">
        <is>
          <t>Top</t>
        </is>
      </c>
      <c r="E340" s="180" t="n">
        <v>60</v>
      </c>
      <c r="F340" s="185" t="inlineStr">
        <is>
          <t>Passing</t>
        </is>
      </c>
      <c r="G340" s="180" t="inlineStr">
        <is>
          <t xml:space="preserve">PP 3 </t>
        </is>
      </c>
      <c r="H340" s="180" t="n">
        <v>50</v>
      </c>
      <c r="I340" s="180" t="inlineStr">
        <is>
          <t>16 X 16.5</t>
        </is>
      </c>
      <c r="J340" s="180" t="n">
        <v>56</v>
      </c>
      <c r="K340" s="181" t="n"/>
      <c r="L340" s="31" t="n"/>
      <c r="M340" s="32" t="n">
        <v>1.103988603988604</v>
      </c>
      <c r="N340" s="31" t="n"/>
      <c r="O340" s="153" t="n"/>
    </row>
    <row r="341" ht="15.75" customHeight="1">
      <c r="A341" s="232" t="n"/>
      <c r="B341" s="232" t="n"/>
      <c r="C341" s="235" t="n"/>
      <c r="D341" s="169" t="inlineStr">
        <is>
          <t>Bottom</t>
        </is>
      </c>
      <c r="E341" s="169" t="n"/>
      <c r="F341" s="185" t="n"/>
      <c r="G341" s="180" t="n"/>
      <c r="H341" s="180" t="n"/>
      <c r="I341" s="180" t="n"/>
      <c r="J341" s="180" t="n"/>
      <c r="K341" s="171" t="n"/>
      <c r="L341" s="14" t="n"/>
      <c r="M341" s="15" t="e">
        <v>#N/A</v>
      </c>
      <c r="N341" s="14" t="n"/>
      <c r="O341" s="16" t="n"/>
    </row>
    <row r="342" ht="15.75" customHeight="1">
      <c r="A342" s="234" t="n"/>
      <c r="B342" s="234" t="n"/>
      <c r="C342" s="175" t="inlineStr">
        <is>
          <t>SVG</t>
        </is>
      </c>
      <c r="D342" s="166" t="inlineStr">
        <is>
          <t>-</t>
        </is>
      </c>
      <c r="E342" s="166" t="n">
        <v>22</v>
      </c>
      <c r="F342" s="185" t="inlineStr">
        <is>
          <t>Single</t>
        </is>
      </c>
      <c r="G342" s="180" t="inlineStr">
        <is>
          <t>HK 1 SVG</t>
        </is>
      </c>
      <c r="H342" s="180" t="n">
        <v>57</v>
      </c>
      <c r="I342" s="166" t="inlineStr">
        <is>
          <t>22 X 22</t>
        </is>
      </c>
      <c r="J342" s="166" t="n">
        <v>64</v>
      </c>
      <c r="K342" s="176" t="n"/>
      <c r="L342" s="25" t="n"/>
      <c r="M342" s="26" t="n">
        <v>0.4398148148148148</v>
      </c>
      <c r="N342" s="25" t="n"/>
      <c r="O342" s="27" t="n"/>
    </row>
    <row r="343" ht="15.75" customHeight="1">
      <c r="A343" s="183" t="n">
        <v>5</v>
      </c>
      <c r="B343" s="178" t="inlineStr">
        <is>
          <t>PR 2 Volga</t>
        </is>
      </c>
      <c r="C343" s="184" t="inlineStr">
        <is>
          <t>LVP</t>
        </is>
      </c>
      <c r="D343" s="180" t="inlineStr">
        <is>
          <t>Top</t>
        </is>
      </c>
      <c r="E343" s="180" t="n">
        <v>50</v>
      </c>
      <c r="F343" s="185" t="inlineStr">
        <is>
          <t>Passing</t>
        </is>
      </c>
      <c r="G343" s="180" t="inlineStr">
        <is>
          <t>PRC CX 3 Sq FABRIC,
PRC RLR,
 T32 LVP</t>
        </is>
      </c>
      <c r="H343" s="180" t="n">
        <v>67</v>
      </c>
      <c r="I343" s="180" t="inlineStr">
        <is>
          <t>11.5 X 20.5</t>
        </is>
      </c>
      <c r="J343" s="180" t="n">
        <v>24</v>
      </c>
      <c r="K343" s="181" t="n"/>
      <c r="L343" s="31" t="n"/>
      <c r="M343" s="32" t="n">
        <v>0.9182530795072789</v>
      </c>
      <c r="N343" s="31" t="n"/>
      <c r="O343" s="153" t="n"/>
    </row>
    <row r="344" ht="15.75" customHeight="1">
      <c r="A344" s="232" t="n"/>
      <c r="B344" s="232" t="n"/>
      <c r="C344" s="235" t="n"/>
      <c r="D344" s="169" t="inlineStr">
        <is>
          <t>Bottom</t>
        </is>
      </c>
      <c r="E344" s="169" t="n"/>
      <c r="F344" s="185" t="n"/>
      <c r="G344" s="180" t="n"/>
      <c r="H344" s="180" t="n"/>
      <c r="I344" s="180" t="n"/>
      <c r="J344" s="180" t="n"/>
      <c r="K344" s="171" t="n"/>
      <c r="L344" s="14" t="n"/>
      <c r="M344" s="15" t="e">
        <v>#N/A</v>
      </c>
      <c r="N344" s="14" t="n"/>
      <c r="O344" s="16" t="n"/>
    </row>
    <row r="345" ht="15.75" customHeight="1">
      <c r="A345" s="234" t="n"/>
      <c r="B345" s="234" t="n"/>
      <c r="C345" s="175" t="inlineStr">
        <is>
          <t>SVG</t>
        </is>
      </c>
      <c r="D345" s="166" t="inlineStr">
        <is>
          <t>-</t>
        </is>
      </c>
      <c r="E345" s="166" t="n">
        <v>22</v>
      </c>
      <c r="F345" s="185" t="inlineStr">
        <is>
          <t>Single</t>
        </is>
      </c>
      <c r="G345" s="180" t="inlineStr">
        <is>
          <t>PR 2 SVG</t>
        </is>
      </c>
      <c r="H345" s="180" t="n">
        <v>76</v>
      </c>
      <c r="I345" s="166" t="inlineStr">
        <is>
          <t>21 X 21</t>
        </is>
      </c>
      <c r="J345" s="166" t="n">
        <v>36</v>
      </c>
      <c r="K345" s="176" t="n"/>
      <c r="L345" s="25" t="n"/>
      <c r="M345" s="26" t="n">
        <v>0.4398148148148148</v>
      </c>
      <c r="N345" s="25" t="n"/>
      <c r="O345" s="27" t="n"/>
    </row>
    <row r="346" ht="15.75" customHeight="1">
      <c r="A346" s="183" t="n">
        <v>6</v>
      </c>
      <c r="B346" s="178" t="inlineStr">
        <is>
          <t>Italmatic TL 120</t>
        </is>
      </c>
      <c r="C346" s="184" t="inlineStr">
        <is>
          <t>LVP</t>
        </is>
      </c>
      <c r="D346" s="180" t="inlineStr">
        <is>
          <t>Top</t>
        </is>
      </c>
      <c r="E346" s="180" t="n">
        <v>60</v>
      </c>
      <c r="F346" s="185" t="inlineStr">
        <is>
          <t>Passing</t>
        </is>
      </c>
      <c r="G346" s="180" t="inlineStr">
        <is>
          <t>Italmatic MCX 20 LVP</t>
        </is>
      </c>
      <c r="H346" s="180" t="inlineStr">
        <is>
          <t>68 X 113</t>
        </is>
      </c>
      <c r="I346" s="180" t="inlineStr">
        <is>
          <t>19 X 20</t>
        </is>
      </c>
      <c r="J346" s="180" t="n">
        <v>24</v>
      </c>
      <c r="K346" s="181" t="n"/>
      <c r="L346" s="31" t="n"/>
      <c r="M346" s="32" t="n">
        <v>1.103988603988604</v>
      </c>
      <c r="N346" s="31" t="n"/>
      <c r="O346" s="153" t="n"/>
    </row>
    <row r="347" ht="15.75" customHeight="1">
      <c r="A347" s="232" t="n"/>
      <c r="B347" s="232" t="n"/>
      <c r="C347" s="235" t="n"/>
      <c r="D347" s="169" t="inlineStr">
        <is>
          <t>Bottom</t>
        </is>
      </c>
      <c r="E347" s="169" t="n"/>
      <c r="F347" s="185" t="n"/>
      <c r="G347" s="180" t="n"/>
      <c r="H347" s="180" t="n"/>
      <c r="I347" s="180" t="n"/>
      <c r="J347" s="180" t="n"/>
      <c r="K347" s="171" t="n"/>
      <c r="L347" s="14" t="n"/>
      <c r="M347" s="15" t="e">
        <v>#N/A</v>
      </c>
      <c r="N347" s="14" t="n"/>
      <c r="O347" s="16" t="n"/>
    </row>
    <row r="348" ht="15.75" customHeight="1">
      <c r="A348" s="234" t="n"/>
      <c r="B348" s="234" t="n"/>
      <c r="C348" s="175" t="inlineStr">
        <is>
          <t>SVG</t>
        </is>
      </c>
      <c r="D348" s="166" t="inlineStr">
        <is>
          <t>-</t>
        </is>
      </c>
      <c r="E348" s="166" t="n">
        <v>22</v>
      </c>
      <c r="F348" s="185" t="inlineStr">
        <is>
          <t>Single</t>
        </is>
      </c>
      <c r="G348" s="180" t="inlineStr">
        <is>
          <t>Italmatic MCX 20 SVG</t>
        </is>
      </c>
      <c r="H348" s="180" t="inlineStr">
        <is>
          <t>78 X 123</t>
        </is>
      </c>
      <c r="I348" s="166" t="inlineStr">
        <is>
          <t>21.5 X 21.5</t>
        </is>
      </c>
      <c r="J348" s="166" t="n">
        <v>24</v>
      </c>
      <c r="K348" s="176" t="n"/>
      <c r="L348" s="25" t="n"/>
      <c r="M348" s="26" t="n">
        <v>0.4398148148148148</v>
      </c>
      <c r="N348" s="25" t="n"/>
      <c r="O348" s="27" t="n"/>
    </row>
    <row r="349" ht="15.75" customHeight="1">
      <c r="A349" s="183" t="n">
        <v>6</v>
      </c>
      <c r="B349" s="178" t="inlineStr">
        <is>
          <t>X pang 0</t>
        </is>
      </c>
      <c r="C349" s="184" t="inlineStr">
        <is>
          <t>LVP</t>
        </is>
      </c>
      <c r="D349" s="180" t="inlineStr">
        <is>
          <t>Top</t>
        </is>
      </c>
      <c r="E349" s="180" t="n">
        <v>50</v>
      </c>
      <c r="F349" s="185" t="n"/>
      <c r="G349" s="180" t="n"/>
      <c r="H349" s="180" t="n"/>
      <c r="I349" s="180" t="inlineStr">
        <is>
          <t>17 X 24</t>
        </is>
      </c>
      <c r="J349" s="180" t="n">
        <v>96</v>
      </c>
      <c r="K349" s="181" t="n"/>
      <c r="L349" s="31" t="n"/>
      <c r="M349" s="32" t="n">
        <v>0.9182530795072789</v>
      </c>
      <c r="N349" s="31" t="n"/>
      <c r="O349" s="153" t="n"/>
    </row>
    <row r="350" ht="15.75" customHeight="1">
      <c r="A350" s="232" t="n"/>
      <c r="B350" s="232" t="n"/>
      <c r="C350" s="235" t="n"/>
      <c r="D350" s="169" t="inlineStr">
        <is>
          <t>Bottom</t>
        </is>
      </c>
      <c r="E350" s="169" t="n"/>
      <c r="F350" s="185" t="n"/>
      <c r="G350" s="180" t="n"/>
      <c r="H350" s="180" t="n"/>
      <c r="I350" s="180" t="n"/>
      <c r="J350" s="180" t="n"/>
      <c r="K350" s="171" t="n"/>
      <c r="L350" s="14" t="n"/>
      <c r="M350" s="15" t="e">
        <v>#N/A</v>
      </c>
      <c r="N350" s="14" t="n"/>
      <c r="O350" s="16" t="n"/>
    </row>
    <row r="351" ht="15.75" customHeight="1">
      <c r="A351" s="234" t="n"/>
      <c r="B351" s="234" t="n"/>
      <c r="C351" s="175" t="inlineStr">
        <is>
          <t>SVG</t>
        </is>
      </c>
      <c r="D351" s="166" t="inlineStr">
        <is>
          <t>-</t>
        </is>
      </c>
      <c r="E351" s="166" t="n">
        <v>22</v>
      </c>
      <c r="F351" s="185" t="n"/>
      <c r="G351" s="180" t="n"/>
      <c r="H351" s="180" t="n"/>
      <c r="I351" s="166" t="inlineStr">
        <is>
          <t>16 X 16.5</t>
        </is>
      </c>
      <c r="J351" s="166" t="n">
        <v>56</v>
      </c>
      <c r="K351" s="176" t="n"/>
      <c r="L351" s="25" t="n"/>
      <c r="M351" s="26" t="n">
        <v>0.4398148148148148</v>
      </c>
      <c r="N351" s="25" t="n"/>
      <c r="O351" s="27" t="n"/>
    </row>
    <row r="352" ht="15.75" customHeight="1">
      <c r="A352" s="183" t="n">
        <v>6</v>
      </c>
      <c r="B352" s="178" t="inlineStr">
        <is>
          <t>Pang 1</t>
        </is>
      </c>
      <c r="C352" s="184" t="inlineStr">
        <is>
          <t>LVP</t>
        </is>
      </c>
      <c r="D352" s="180" t="inlineStr">
        <is>
          <t>Top</t>
        </is>
      </c>
      <c r="E352" s="180" t="n">
        <v>55</v>
      </c>
      <c r="F352" s="185" t="n"/>
      <c r="G352" s="180" t="inlineStr">
        <is>
          <t>Pang UP 2 LVP,
Chemblue UP 2</t>
        </is>
      </c>
      <c r="H352" s="180" t="n">
        <v>43</v>
      </c>
      <c r="I352" s="180" t="inlineStr">
        <is>
          <t>16 X 23.5</t>
        </is>
      </c>
      <c r="J352" s="180" t="n">
        <v>96</v>
      </c>
      <c r="K352" s="181" t="n"/>
      <c r="L352" s="31" t="n"/>
      <c r="M352" s="32" t="n">
        <v>1.042553191489362</v>
      </c>
      <c r="N352" s="31" t="n"/>
      <c r="O352" s="153" t="n"/>
    </row>
    <row r="353" ht="15.75" customHeight="1">
      <c r="A353" s="232" t="n"/>
      <c r="B353" s="232" t="n"/>
      <c r="C353" s="235" t="n"/>
      <c r="D353" s="169" t="inlineStr">
        <is>
          <t>Bottom</t>
        </is>
      </c>
      <c r="E353" s="169" t="n"/>
      <c r="F353" s="185" t="n"/>
      <c r="G353" s="180" t="n"/>
      <c r="H353" s="180" t="n"/>
      <c r="I353" s="180" t="n"/>
      <c r="J353" s="180" t="n"/>
      <c r="K353" s="171" t="n"/>
      <c r="L353" s="14" t="n"/>
      <c r="M353" s="15" t="e">
        <v>#N/A</v>
      </c>
      <c r="N353" s="14" t="n"/>
      <c r="O353" s="16" t="n"/>
    </row>
    <row r="354" ht="15.75" customHeight="1">
      <c r="A354" s="234" t="n"/>
      <c r="B354" s="234" t="n"/>
      <c r="C354" s="175" t="inlineStr">
        <is>
          <t>SVG</t>
        </is>
      </c>
      <c r="D354" s="166" t="inlineStr">
        <is>
          <t>-</t>
        </is>
      </c>
      <c r="E354" s="166" t="n">
        <v>25</v>
      </c>
      <c r="F354" s="185" t="n"/>
      <c r="G354" s="180" t="inlineStr">
        <is>
          <t>Pang 1 SVG,
Chemblue UP 2 SVG
Chemblue UP 3 LVP</t>
        </is>
      </c>
      <c r="H354" s="180" t="n">
        <v>53</v>
      </c>
      <c r="I354" s="166" t="inlineStr">
        <is>
          <t>17 X 23.5</t>
        </is>
      </c>
      <c r="J354" s="166" t="n">
        <v>70</v>
      </c>
      <c r="K354" s="176" t="n"/>
      <c r="L354" s="25" t="n"/>
      <c r="M354" s="26" t="n">
        <v>0.5128205128205128</v>
      </c>
      <c r="N354" s="25" t="n"/>
      <c r="O354" s="27" t="n"/>
    </row>
    <row r="355" ht="15.75" customHeight="1">
      <c r="A355" s="183" t="n">
        <v>6</v>
      </c>
      <c r="B355" s="178" t="inlineStr">
        <is>
          <t>Pang 2</t>
        </is>
      </c>
      <c r="C355" s="184" t="inlineStr">
        <is>
          <t>LVP</t>
        </is>
      </c>
      <c r="D355" s="180" t="inlineStr">
        <is>
          <t>Top</t>
        </is>
      </c>
      <c r="E355" s="180" t="n">
        <v>55</v>
      </c>
      <c r="F355" s="185" t="n"/>
      <c r="G355" s="180" t="inlineStr">
        <is>
          <t>Pang 1 SVG,
Chemblue UP 2 SVG
Chemblue UP 3 LVP</t>
        </is>
      </c>
      <c r="H355" s="180" t="n">
        <v>53</v>
      </c>
      <c r="I355" s="180" t="inlineStr">
        <is>
          <t>17 X 23.5</t>
        </is>
      </c>
      <c r="J355" s="180" t="n">
        <v>70</v>
      </c>
      <c r="K355" s="181" t="n"/>
      <c r="L355" s="31" t="n"/>
      <c r="M355" s="32" t="n">
        <v>1.042553191489362</v>
      </c>
      <c r="N355" s="31" t="n"/>
      <c r="O355" s="153" t="n"/>
    </row>
    <row r="356" ht="15.75" customHeight="1">
      <c r="A356" s="232" t="n"/>
      <c r="B356" s="232" t="n"/>
      <c r="C356" s="235" t="n"/>
      <c r="D356" s="169" t="inlineStr">
        <is>
          <t>Bottom</t>
        </is>
      </c>
      <c r="E356" s="169" t="n"/>
      <c r="F356" s="185" t="n"/>
      <c r="G356" s="180" t="n"/>
      <c r="H356" s="180" t="n"/>
      <c r="I356" s="180" t="n"/>
      <c r="J356" s="180" t="n"/>
      <c r="K356" s="171" t="n"/>
      <c r="L356" s="14" t="n"/>
      <c r="M356" s="15" t="e">
        <v>#N/A</v>
      </c>
      <c r="N356" s="14" t="n"/>
      <c r="O356" s="16" t="n"/>
    </row>
    <row r="357" ht="15.75" customHeight="1">
      <c r="A357" s="234" t="n"/>
      <c r="B357" s="234" t="n"/>
      <c r="C357" s="175" t="inlineStr">
        <is>
          <t>SVG</t>
        </is>
      </c>
      <c r="D357" s="166" t="inlineStr">
        <is>
          <t>-</t>
        </is>
      </c>
      <c r="E357" s="166" t="n">
        <v>25</v>
      </c>
      <c r="F357" s="185" t="n"/>
      <c r="G357" s="180" t="inlineStr">
        <is>
          <t>Pang 2 SVG,
Chemblue 3 SVG</t>
        </is>
      </c>
      <c r="H357" s="180" t="inlineStr">
        <is>
          <t>63 X 63</t>
        </is>
      </c>
      <c r="I357" s="166" t="inlineStr">
        <is>
          <t>19.5 X 22</t>
        </is>
      </c>
      <c r="J357" s="166" t="n">
        <v>56</v>
      </c>
      <c r="K357" s="176" t="n"/>
      <c r="L357" s="25" t="n"/>
      <c r="M357" s="26" t="n">
        <v>0.5128205128205128</v>
      </c>
      <c r="N357" s="25" t="n"/>
      <c r="O357" s="27" t="n"/>
    </row>
    <row r="358" ht="15" customHeight="1">
      <c r="A358" s="213" t="n"/>
      <c r="B358" s="214" t="n"/>
      <c r="C358" s="215" t="n"/>
      <c r="D358" s="17" t="n"/>
      <c r="E358" s="17" t="n"/>
      <c r="F358" s="17" t="n"/>
      <c r="G358" s="17" t="n"/>
      <c r="H358" s="17" t="n"/>
      <c r="I358" s="17" t="n"/>
      <c r="J358" s="17" t="n"/>
      <c r="K358" s="216" t="n"/>
      <c r="L358" s="90" t="n"/>
      <c r="M358" s="91" t="n"/>
      <c r="N358" s="90" t="n"/>
      <c r="O358" s="92" t="n"/>
    </row>
    <row r="359" ht="15" customHeight="1">
      <c r="A359" s="217" t="n"/>
      <c r="B359" s="215" t="n"/>
      <c r="C359" s="215" t="n"/>
      <c r="D359" s="17" t="n"/>
      <c r="E359" s="17" t="n"/>
      <c r="F359" s="17" t="n"/>
      <c r="G359" s="17" t="n"/>
      <c r="H359" s="17" t="n"/>
      <c r="I359" s="17" t="n"/>
      <c r="J359" s="17" t="n"/>
      <c r="K359" s="216" t="n"/>
      <c r="L359" s="90" t="n"/>
      <c r="M359" s="91" t="n"/>
      <c r="N359" s="90" t="n"/>
      <c r="O359" s="92" t="n"/>
    </row>
    <row r="360" ht="15.75" customHeight="1">
      <c r="A360" s="217" t="n"/>
      <c r="B360" s="215" t="n"/>
      <c r="C360" s="215" t="n"/>
      <c r="D360" s="17" t="n"/>
      <c r="E360" s="17" t="n"/>
      <c r="F360" s="17" t="n"/>
      <c r="G360" s="17" t="n"/>
      <c r="H360" s="17" t="n"/>
      <c r="I360" s="17" t="n"/>
      <c r="J360" s="17" t="n"/>
      <c r="K360" s="216" t="n"/>
      <c r="L360" s="90" t="n"/>
      <c r="M360" s="91" t="n"/>
      <c r="N360" s="90" t="n"/>
      <c r="O360" s="92" t="n"/>
    </row>
    <row r="361" ht="14.25" customHeight="1">
      <c r="A361" s="188" t="n"/>
      <c r="B361" s="236" t="n"/>
      <c r="C361" s="236" t="n"/>
      <c r="D361" s="236" t="n"/>
      <c r="E361" s="236" t="n"/>
      <c r="F361" s="236" t="n"/>
      <c r="G361" s="236" t="n"/>
      <c r="H361" s="236" t="n"/>
      <c r="I361" s="236" t="n"/>
      <c r="J361" s="236" t="n"/>
      <c r="K361" s="236" t="n"/>
      <c r="L361" s="236" t="n"/>
      <c r="M361" s="236" t="n"/>
      <c r="N361" s="236" t="n"/>
      <c r="O361" s="237" t="n"/>
    </row>
    <row r="362" ht="12.75" customHeight="1">
      <c r="A362" s="238" t="n"/>
      <c r="O362" s="239" t="n"/>
    </row>
    <row r="363" ht="13.5" customHeight="1">
      <c r="A363" s="240" t="n"/>
      <c r="B363" s="241" t="n"/>
      <c r="C363" s="241" t="n"/>
      <c r="D363" s="241" t="n"/>
      <c r="E363" s="241" t="n"/>
      <c r="F363" s="241" t="n"/>
      <c r="G363" s="241" t="n"/>
      <c r="H363" s="241" t="n"/>
      <c r="I363" s="241" t="n"/>
      <c r="J363" s="241" t="n"/>
      <c r="K363" s="241" t="n"/>
      <c r="L363" s="241" t="n"/>
      <c r="M363" s="241" t="n"/>
      <c r="N363" s="241" t="n"/>
      <c r="O363" s="242" t="n"/>
    </row>
    <row r="364" ht="15" customHeight="1">
      <c r="A364" s="197" t="n">
        <v>1</v>
      </c>
      <c r="B364" s="198" t="inlineStr">
        <is>
          <t>MSX 10</t>
        </is>
      </c>
      <c r="C364" s="179" t="inlineStr">
        <is>
          <t>LVP</t>
        </is>
      </c>
      <c r="D364" s="180" t="inlineStr">
        <is>
          <t>Top</t>
        </is>
      </c>
      <c r="E364" s="180" t="n">
        <v>90</v>
      </c>
      <c r="F364" s="180" t="inlineStr">
        <is>
          <t>Passing</t>
        </is>
      </c>
      <c r="G364" s="180" t="inlineStr">
        <is>
          <t>MSX 10 LVP</t>
        </is>
      </c>
      <c r="H364" s="180" t="inlineStr">
        <is>
          <t>36 X 55</t>
        </is>
      </c>
      <c r="I364" s="180" t="inlineStr">
        <is>
          <t>15 X 20.5</t>
        </is>
      </c>
      <c r="J364" s="180" t="n">
        <v>64</v>
      </c>
      <c r="K364" s="181" t="n"/>
      <c r="L364" s="31" t="n"/>
      <c r="M364" s="32" t="n">
        <v>1.605797101449275</v>
      </c>
      <c r="N364" s="31" t="n"/>
      <c r="O364" s="33" t="n"/>
    </row>
    <row r="365" ht="14.25" customHeight="1">
      <c r="A365" s="232" t="n"/>
      <c r="B365" s="232" t="n"/>
      <c r="C365" s="168" t="n"/>
      <c r="D365" s="169" t="inlineStr">
        <is>
          <t>Bottom</t>
        </is>
      </c>
      <c r="E365" s="169" t="n"/>
      <c r="F365" s="169" t="n"/>
      <c r="G365" s="169" t="n"/>
      <c r="H365" s="169" t="n"/>
      <c r="I365" s="169" t="n"/>
      <c r="J365" s="169" t="n"/>
      <c r="K365" s="181" t="n"/>
      <c r="L365" s="14" t="n"/>
      <c r="M365" s="15" t="e">
        <v>#N/A</v>
      </c>
      <c r="N365" s="14" t="n"/>
      <c r="O365" s="16" t="n"/>
    </row>
    <row r="366" ht="15.75" customHeight="1">
      <c r="A366" s="234" t="n"/>
      <c r="B366" s="234" t="n"/>
      <c r="C366" s="175" t="inlineStr">
        <is>
          <t>SCFG</t>
        </is>
      </c>
      <c r="D366" s="166" t="inlineStr">
        <is>
          <t>-</t>
        </is>
      </c>
      <c r="E366" s="166" t="n">
        <v>15</v>
      </c>
      <c r="F366" s="166" t="inlineStr">
        <is>
          <t>Single</t>
        </is>
      </c>
      <c r="G366" s="166" t="inlineStr">
        <is>
          <t>MSX 10 SCFG</t>
        </is>
      </c>
      <c r="H366" s="166" t="inlineStr">
        <is>
          <t>55 X 75</t>
        </is>
      </c>
      <c r="I366" s="166" t="inlineStr">
        <is>
          <t>22.5 X 23.5</t>
        </is>
      </c>
      <c r="J366" s="166" t="n">
        <v>48</v>
      </c>
      <c r="K366" s="181" t="n"/>
      <c r="L366" s="25" t="n"/>
      <c r="M366" s="26" t="n">
        <v>0.3381642512077295</v>
      </c>
      <c r="N366" s="25" t="n"/>
      <c r="O366" s="27" t="n"/>
    </row>
    <row r="367" ht="15" customHeight="1">
      <c r="A367" s="197" t="n">
        <v>2</v>
      </c>
      <c r="B367" s="198" t="inlineStr">
        <is>
          <t>MSX 12</t>
        </is>
      </c>
      <c r="C367" s="179" t="inlineStr">
        <is>
          <t>LVP</t>
        </is>
      </c>
      <c r="D367" s="180" t="inlineStr">
        <is>
          <t>Top</t>
        </is>
      </c>
      <c r="E367" s="180" t="n">
        <v>90</v>
      </c>
      <c r="F367" s="180" t="inlineStr">
        <is>
          <t>Passing</t>
        </is>
      </c>
      <c r="G367" s="180" t="inlineStr">
        <is>
          <t>MSX 12 LVP</t>
        </is>
      </c>
      <c r="H367" s="180" t="inlineStr">
        <is>
          <t>51 X 95</t>
        </is>
      </c>
      <c r="I367" s="180" t="inlineStr">
        <is>
          <t>20.5 X 21</t>
        </is>
      </c>
      <c r="J367" s="180" t="n">
        <v>45</v>
      </c>
      <c r="K367" s="181" t="n">
        <v>1286</v>
      </c>
      <c r="L367" s="31">
        <f>K367/J367</f>
        <v/>
      </c>
      <c r="M367" s="32" t="n">
        <v>1.605797101449275</v>
      </c>
      <c r="N367" s="31">
        <f>LEFT(I367,FIND("X",I367)-1)*RIGHT(I367,LEN(I367)-FIND("X",I367)-1)*M367</f>
        <v/>
      </c>
      <c r="O367" s="33">
        <f>(N367*L367)/1000</f>
        <v/>
      </c>
    </row>
    <row r="368" ht="15" customHeight="1">
      <c r="A368" s="232" t="n"/>
      <c r="B368" s="232" t="n"/>
      <c r="C368" s="168" t="n"/>
      <c r="D368" s="169" t="inlineStr">
        <is>
          <t>Bottom</t>
        </is>
      </c>
      <c r="E368" s="169" t="n"/>
      <c r="F368" s="169" t="n"/>
      <c r="G368" s="169" t="n"/>
      <c r="H368" s="169" t="n"/>
      <c r="I368" s="169" t="n"/>
      <c r="J368" s="169" t="n"/>
      <c r="K368" s="171" t="n"/>
      <c r="L368" s="14" t="n"/>
      <c r="M368" s="15" t="e">
        <v>#N/A</v>
      </c>
      <c r="N368" s="14" t="n"/>
      <c r="O368" s="16" t="n"/>
    </row>
    <row r="369" ht="15.75" customHeight="1">
      <c r="A369" s="234" t="n"/>
      <c r="B369" s="234" t="n"/>
      <c r="C369" s="175" t="inlineStr">
        <is>
          <t>SCFG</t>
        </is>
      </c>
      <c r="D369" s="166" t="inlineStr">
        <is>
          <t>-</t>
        </is>
      </c>
      <c r="E369" s="166" t="n">
        <v>15</v>
      </c>
      <c r="F369" s="166" t="inlineStr">
        <is>
          <t>Single</t>
        </is>
      </c>
      <c r="G369" s="166" t="inlineStr">
        <is>
          <t>MSX 12 SCFG</t>
        </is>
      </c>
      <c r="H369" s="166" t="inlineStr">
        <is>
          <t>66 X 110</t>
        </is>
      </c>
      <c r="I369" s="166" t="inlineStr">
        <is>
          <t>24 X 26</t>
        </is>
      </c>
      <c r="J369" s="166" t="n">
        <v>35</v>
      </c>
      <c r="K369" s="176" t="n">
        <v>1286</v>
      </c>
      <c r="L369" s="25">
        <f>K369/J369</f>
        <v/>
      </c>
      <c r="M369" s="26" t="n">
        <v>0.3381642512077295</v>
      </c>
      <c r="N369" s="25">
        <f>LEFT(I369,FIND("X",I369)-1)*RIGHT(I369,LEN(I369)-FIND("X",I369)-1)*M369</f>
        <v/>
      </c>
      <c r="O369" s="27">
        <f>(N369*L369)/1000</f>
        <v/>
      </c>
    </row>
    <row r="370" ht="15" customHeight="1">
      <c r="A370" s="197" t="n">
        <v>3</v>
      </c>
      <c r="B370" s="198" t="inlineStr">
        <is>
          <t>MSX 14</t>
        </is>
      </c>
      <c r="C370" s="179" t="inlineStr">
        <is>
          <t>LVP</t>
        </is>
      </c>
      <c r="D370" s="180" t="inlineStr">
        <is>
          <t>Top</t>
        </is>
      </c>
      <c r="E370" s="180" t="n">
        <v>90</v>
      </c>
      <c r="F370" s="180" t="inlineStr">
        <is>
          <t>Passing</t>
        </is>
      </c>
      <c r="G370" s="180" t="inlineStr">
        <is>
          <t>MSX 14 LVP</t>
        </is>
      </c>
      <c r="H370" s="180" t="inlineStr">
        <is>
          <t>62 X 115</t>
        </is>
      </c>
      <c r="I370" s="180" t="inlineStr">
        <is>
          <t>14 X 20</t>
        </is>
      </c>
      <c r="J370" s="180" t="n">
        <v>20</v>
      </c>
      <c r="K370" s="181" t="n">
        <v>1200</v>
      </c>
      <c r="L370" s="31">
        <f>K370/J370</f>
        <v/>
      </c>
      <c r="M370" s="32" t="n">
        <v>1.605797101449275</v>
      </c>
      <c r="N370" s="31">
        <f>LEFT(I370,FIND("X",I370)-1)*RIGHT(I370,LEN(I370)-FIND("X",I370)-1)*M370</f>
        <v/>
      </c>
      <c r="O370" s="33">
        <f>(N370*L370)/1000</f>
        <v/>
      </c>
    </row>
    <row r="371" ht="15" customHeight="1">
      <c r="A371" s="232" t="n"/>
      <c r="B371" s="232" t="n"/>
      <c r="C371" s="168" t="n"/>
      <c r="D371" s="169" t="inlineStr">
        <is>
          <t>Bottom</t>
        </is>
      </c>
      <c r="E371" s="169" t="n"/>
      <c r="F371" s="169" t="n"/>
      <c r="G371" s="169" t="n"/>
      <c r="H371" s="169" t="n"/>
      <c r="I371" s="169" t="n"/>
      <c r="J371" s="169" t="n"/>
      <c r="K371" s="171" t="n"/>
      <c r="L371" s="14" t="n"/>
      <c r="M371" s="15" t="e">
        <v>#N/A</v>
      </c>
      <c r="N371" s="14" t="n"/>
      <c r="O371" s="16" t="n"/>
    </row>
    <row r="372" ht="15.75" customHeight="1">
      <c r="A372" s="234" t="n"/>
      <c r="B372" s="234" t="n"/>
      <c r="C372" s="175" t="inlineStr">
        <is>
          <t>SCFG</t>
        </is>
      </c>
      <c r="D372" s="166" t="inlineStr">
        <is>
          <t>-</t>
        </is>
      </c>
      <c r="E372" s="166" t="n">
        <v>15</v>
      </c>
      <c r="F372" s="166" t="inlineStr">
        <is>
          <t>Single</t>
        </is>
      </c>
      <c r="G372" s="166" t="inlineStr">
        <is>
          <t>MSX 14 SCFG</t>
        </is>
      </c>
      <c r="H372" s="166" t="inlineStr">
        <is>
          <t>80 X 137</t>
        </is>
      </c>
      <c r="I372" s="166" t="inlineStr">
        <is>
          <t>24 X 25</t>
        </is>
      </c>
      <c r="J372" s="166" t="n">
        <v>24</v>
      </c>
      <c r="K372" s="176" t="n">
        <v>1200</v>
      </c>
      <c r="L372" s="25">
        <f>K372/J372</f>
        <v/>
      </c>
      <c r="M372" s="26" t="n">
        <v>0.3381642512077295</v>
      </c>
      <c r="N372" s="25">
        <f>LEFT(I372,FIND("X",I372)-1)*RIGHT(I372,LEN(I372)-FIND("X",I372)-1)*M372</f>
        <v/>
      </c>
      <c r="O372" s="27">
        <f>(N372*L372)/1000</f>
        <v/>
      </c>
    </row>
    <row r="373" ht="15" customHeight="1">
      <c r="A373" s="197" t="n">
        <v>4</v>
      </c>
      <c r="B373" s="198" t="inlineStr">
        <is>
          <t>MSX 15</t>
        </is>
      </c>
      <c r="C373" s="179" t="inlineStr">
        <is>
          <t>LVP</t>
        </is>
      </c>
      <c r="D373" s="180" t="inlineStr">
        <is>
          <t>Top</t>
        </is>
      </c>
      <c r="E373" s="180" t="n">
        <v>60</v>
      </c>
      <c r="F373" s="180" t="inlineStr">
        <is>
          <t>Passing</t>
        </is>
      </c>
      <c r="G373" s="180" t="inlineStr">
        <is>
          <t>MSX 15 LVP</t>
        </is>
      </c>
      <c r="H373" s="180" t="inlineStr">
        <is>
          <t>61 X 75</t>
        </is>
      </c>
      <c r="I373" s="180" t="inlineStr">
        <is>
          <t>19 X 23</t>
        </is>
      </c>
      <c r="J373" s="180" t="n">
        <v>49</v>
      </c>
      <c r="K373" s="181" t="n"/>
      <c r="L373" s="31" t="n"/>
      <c r="M373" s="32" t="n">
        <v>1.103988603988604</v>
      </c>
      <c r="N373" s="31" t="n"/>
      <c r="O373" s="33" t="n"/>
    </row>
    <row r="374" ht="15" customHeight="1">
      <c r="A374" s="232" t="n"/>
      <c r="B374" s="232" t="n"/>
      <c r="C374" s="168" t="n"/>
      <c r="D374" s="169" t="inlineStr">
        <is>
          <t>Bottom</t>
        </is>
      </c>
      <c r="E374" s="169" t="n"/>
      <c r="F374" s="169" t="n"/>
      <c r="G374" s="169" t="n"/>
      <c r="H374" s="169" t="n"/>
      <c r="I374" s="169" t="n"/>
      <c r="J374" s="169" t="n"/>
      <c r="K374" s="171" t="n"/>
      <c r="L374" s="14" t="n"/>
      <c r="M374" s="15" t="e">
        <v>#N/A</v>
      </c>
      <c r="N374" s="14" t="n"/>
      <c r="O374" s="16" t="n"/>
    </row>
    <row r="375" ht="15.75" customHeight="1">
      <c r="A375" s="234" t="n"/>
      <c r="B375" s="234" t="n"/>
      <c r="C375" s="175" t="inlineStr">
        <is>
          <t>SCFG</t>
        </is>
      </c>
      <c r="D375" s="166" t="inlineStr">
        <is>
          <t>-</t>
        </is>
      </c>
      <c r="E375" s="166" t="n">
        <v>15</v>
      </c>
      <c r="F375" s="166" t="inlineStr">
        <is>
          <t>Single</t>
        </is>
      </c>
      <c r="G375" s="166" t="inlineStr">
        <is>
          <t>MSX 15 SCFG</t>
        </is>
      </c>
      <c r="H375" s="166" t="inlineStr">
        <is>
          <t>75 X 89</t>
        </is>
      </c>
      <c r="I375" s="166" t="inlineStr">
        <is>
          <t>22 X 26</t>
        </is>
      </c>
      <c r="J375" s="166" t="n">
        <v>36</v>
      </c>
      <c r="K375" s="176" t="n"/>
      <c r="L375" s="25" t="n"/>
      <c r="M375" s="26" t="n">
        <v>0.3381642512077295</v>
      </c>
      <c r="N375" s="25" t="n"/>
      <c r="O375" s="27" t="n"/>
    </row>
    <row r="376" ht="15" customHeight="1">
      <c r="A376" s="197" t="n">
        <v>5</v>
      </c>
      <c r="B376" s="198" t="inlineStr">
        <is>
          <t>MSX 16</t>
        </is>
      </c>
      <c r="C376" s="179" t="inlineStr">
        <is>
          <t>LVP</t>
        </is>
      </c>
      <c r="D376" s="180" t="inlineStr">
        <is>
          <t>Top</t>
        </is>
      </c>
      <c r="E376" s="180" t="n">
        <v>90</v>
      </c>
      <c r="F376" s="180" t="inlineStr">
        <is>
          <t>Passing</t>
        </is>
      </c>
      <c r="G376" s="180" t="inlineStr">
        <is>
          <t>MSX 16 LVP</t>
        </is>
      </c>
      <c r="H376" s="180" t="inlineStr">
        <is>
          <t>51 X 95</t>
        </is>
      </c>
      <c r="I376" s="180" t="inlineStr">
        <is>
          <t>20.5 X 21</t>
        </is>
      </c>
      <c r="J376" s="180" t="n">
        <v>45</v>
      </c>
      <c r="K376" s="181" t="n"/>
      <c r="L376" s="31" t="n"/>
      <c r="M376" s="32" t="n">
        <v>1.605797101449275</v>
      </c>
      <c r="N376" s="31" t="n"/>
      <c r="O376" s="33" t="n"/>
    </row>
    <row r="377" ht="15" customHeight="1">
      <c r="A377" s="232" t="n"/>
      <c r="B377" s="232" t="n"/>
      <c r="C377" s="168" t="n"/>
      <c r="D377" s="169" t="inlineStr">
        <is>
          <t>Bottom</t>
        </is>
      </c>
      <c r="E377" s="169" t="n"/>
      <c r="F377" s="169" t="n"/>
      <c r="G377" s="169" t="n"/>
      <c r="H377" s="169" t="n"/>
      <c r="I377" s="169" t="n"/>
      <c r="J377" s="169" t="n"/>
      <c r="K377" s="171" t="n"/>
      <c r="L377" s="14" t="n"/>
      <c r="M377" s="15" t="e">
        <v>#N/A</v>
      </c>
      <c r="N377" s="14" t="n"/>
      <c r="O377" s="16" t="n"/>
    </row>
    <row r="378" ht="15.75" customHeight="1">
      <c r="A378" s="234" t="n"/>
      <c r="B378" s="234" t="n"/>
      <c r="C378" s="175" t="inlineStr">
        <is>
          <t>SCFG</t>
        </is>
      </c>
      <c r="D378" s="166" t="inlineStr">
        <is>
          <t>-</t>
        </is>
      </c>
      <c r="E378" s="166" t="n">
        <v>15</v>
      </c>
      <c r="F378" s="166" t="inlineStr">
        <is>
          <t>Single</t>
        </is>
      </c>
      <c r="G378" s="166" t="inlineStr">
        <is>
          <t>MSX 16 SCFG</t>
        </is>
      </c>
      <c r="H378" s="166" t="inlineStr">
        <is>
          <t>63 X 108</t>
        </is>
      </c>
      <c r="I378" s="166" t="inlineStr">
        <is>
          <t>23 X 25</t>
        </is>
      </c>
      <c r="J378" s="166" t="n">
        <v>35</v>
      </c>
      <c r="K378" s="176" t="n"/>
      <c r="L378" s="25" t="n"/>
      <c r="M378" s="26" t="n">
        <v>0.3381642512077295</v>
      </c>
      <c r="N378" s="25" t="n"/>
      <c r="O378" s="27" t="n"/>
    </row>
    <row r="379" ht="15" customHeight="1">
      <c r="A379" s="197" t="n">
        <v>6</v>
      </c>
      <c r="B379" s="198" t="inlineStr">
        <is>
          <t>MSX 20</t>
        </is>
      </c>
      <c r="C379" s="179" t="inlineStr">
        <is>
          <t>LVP</t>
        </is>
      </c>
      <c r="D379" s="180" t="inlineStr">
        <is>
          <t>Top</t>
        </is>
      </c>
      <c r="E379" s="180" t="n">
        <v>100</v>
      </c>
      <c r="F379" s="180" t="inlineStr">
        <is>
          <t>Passing</t>
        </is>
      </c>
      <c r="G379" s="180" t="inlineStr">
        <is>
          <t>MSX 20 LVP</t>
        </is>
      </c>
      <c r="H379" s="180" t="inlineStr">
        <is>
          <t>53 X 99</t>
        </is>
      </c>
      <c r="I379" s="180" t="inlineStr">
        <is>
          <t>14.5 X 21.5</t>
        </is>
      </c>
      <c r="J379" s="180" t="n">
        <v>30</v>
      </c>
      <c r="K379" s="181" t="n"/>
      <c r="L379" s="31" t="n"/>
      <c r="M379" s="32" t="n">
        <v>1.906191369606004</v>
      </c>
      <c r="N379" s="31" t="n"/>
      <c r="O379" s="33" t="n"/>
    </row>
    <row r="380" ht="15" customHeight="1">
      <c r="A380" s="232" t="n"/>
      <c r="B380" s="232" t="n"/>
      <c r="C380" s="168" t="n"/>
      <c r="D380" s="169" t="inlineStr">
        <is>
          <t>Bottom</t>
        </is>
      </c>
      <c r="E380" s="169" t="n"/>
      <c r="F380" s="169" t="n"/>
      <c r="G380" s="169" t="n"/>
      <c r="H380" s="169" t="n"/>
      <c r="I380" s="169" t="n"/>
      <c r="J380" s="169" t="n"/>
      <c r="K380" s="171" t="n"/>
      <c r="L380" s="14" t="n"/>
      <c r="M380" s="15" t="e">
        <v>#N/A</v>
      </c>
      <c r="N380" s="14" t="n"/>
      <c r="O380" s="16" t="n"/>
    </row>
    <row r="381" ht="15.75" customHeight="1">
      <c r="A381" s="234" t="n"/>
      <c r="B381" s="234" t="n"/>
      <c r="C381" s="175" t="inlineStr">
        <is>
          <t>SCFG</t>
        </is>
      </c>
      <c r="D381" s="166" t="inlineStr">
        <is>
          <t>-</t>
        </is>
      </c>
      <c r="E381" s="166" t="n">
        <v>15</v>
      </c>
      <c r="F381" s="166" t="inlineStr">
        <is>
          <t>Single</t>
        </is>
      </c>
      <c r="G381" s="166" t="inlineStr">
        <is>
          <t>MSX 20 SCFG</t>
        </is>
      </c>
      <c r="H381" s="166" t="inlineStr">
        <is>
          <t>71 X 117</t>
        </is>
      </c>
      <c r="I381" s="166" t="inlineStr">
        <is>
          <t>22 X 25</t>
        </is>
      </c>
      <c r="J381" s="166" t="n">
        <v>28</v>
      </c>
      <c r="K381" s="176" t="n"/>
      <c r="L381" s="25" t="n"/>
      <c r="M381" s="26" t="n">
        <v>0.3381642512077295</v>
      </c>
      <c r="N381" s="25" t="n"/>
      <c r="O381" s="27" t="n"/>
    </row>
    <row r="382" ht="15" customHeight="1">
      <c r="A382" s="197" t="n">
        <v>7</v>
      </c>
      <c r="B382" s="198" t="inlineStr">
        <is>
          <t>MSX 22</t>
        </is>
      </c>
      <c r="C382" s="184" t="inlineStr">
        <is>
          <t>LVP</t>
        </is>
      </c>
      <c r="D382" s="180" t="inlineStr">
        <is>
          <t>Top</t>
        </is>
      </c>
      <c r="E382" s="180" t="n">
        <v>40</v>
      </c>
      <c r="F382" s="180" t="inlineStr">
        <is>
          <t>Single</t>
        </is>
      </c>
      <c r="G382" s="180" t="inlineStr">
        <is>
          <t>MSX 22 LVP</t>
        </is>
      </c>
      <c r="H382" s="180" t="inlineStr">
        <is>
          <t>60 X 140</t>
        </is>
      </c>
      <c r="I382" s="180" t="inlineStr">
        <is>
          <t>20 X 24</t>
        </is>
      </c>
      <c r="J382" s="180" t="n">
        <v>28</v>
      </c>
      <c r="K382" s="181" t="n"/>
      <c r="L382" s="31" t="n"/>
      <c r="M382" s="32" t="n">
        <v>0.6977821913273751</v>
      </c>
      <c r="N382" s="31" t="n"/>
      <c r="O382" s="33" t="n"/>
    </row>
    <row r="383" ht="15" customHeight="1">
      <c r="A383" s="232" t="n"/>
      <c r="B383" s="232" t="n"/>
      <c r="C383" s="235" t="n"/>
      <c r="D383" s="169" t="inlineStr">
        <is>
          <t>Bottom</t>
        </is>
      </c>
      <c r="E383" s="169" t="n">
        <v>40</v>
      </c>
      <c r="F383" s="180" t="inlineStr">
        <is>
          <t>Single</t>
        </is>
      </c>
      <c r="G383" s="180" t="inlineStr">
        <is>
          <t>MSX 22 LVP</t>
        </is>
      </c>
      <c r="H383" s="180" t="inlineStr">
        <is>
          <t>60 X 140</t>
        </is>
      </c>
      <c r="I383" s="180" t="inlineStr">
        <is>
          <t>20 X 24</t>
        </is>
      </c>
      <c r="J383" s="180" t="n">
        <v>28</v>
      </c>
      <c r="K383" s="171" t="n"/>
      <c r="L383" s="14" t="n"/>
      <c r="M383" s="15" t="n">
        <v>0.6977821913273751</v>
      </c>
      <c r="N383" s="14" t="n"/>
      <c r="O383" s="16" t="n"/>
    </row>
    <row r="384" ht="15.75" customHeight="1">
      <c r="A384" s="234" t="n"/>
      <c r="B384" s="234" t="n"/>
      <c r="C384" s="175" t="inlineStr">
        <is>
          <t>SCFG</t>
        </is>
      </c>
      <c r="D384" s="166" t="inlineStr">
        <is>
          <t>-</t>
        </is>
      </c>
      <c r="E384" s="166" t="n">
        <v>15</v>
      </c>
      <c r="F384" s="166" t="inlineStr">
        <is>
          <t>Single</t>
        </is>
      </c>
      <c r="G384" s="166" t="inlineStr">
        <is>
          <t>MSX 22 SCFG</t>
        </is>
      </c>
      <c r="H384" s="166" t="inlineStr">
        <is>
          <t>80 X 160</t>
        </is>
      </c>
      <c r="I384" s="166" t="inlineStr">
        <is>
          <t>21 X 23.5</t>
        </is>
      </c>
      <c r="J384" s="166" t="n">
        <v>18</v>
      </c>
      <c r="K384" s="176" t="n"/>
      <c r="L384" s="25" t="n"/>
      <c r="M384" s="26" t="n">
        <v>0.3381642512077295</v>
      </c>
      <c r="N384" s="25" t="n"/>
      <c r="O384" s="27" t="n"/>
    </row>
    <row r="385" ht="15" customHeight="1">
      <c r="A385" s="197" t="n">
        <v>8</v>
      </c>
      <c r="B385" s="198" t="inlineStr">
        <is>
          <t>MSX 24</t>
        </is>
      </c>
      <c r="C385" s="184" t="inlineStr">
        <is>
          <t>LVP</t>
        </is>
      </c>
      <c r="D385" s="180" t="inlineStr">
        <is>
          <t>Top</t>
        </is>
      </c>
      <c r="E385" s="180" t="n">
        <v>40</v>
      </c>
      <c r="F385" s="180" t="inlineStr">
        <is>
          <t>Single</t>
        </is>
      </c>
      <c r="G385" s="180" t="inlineStr">
        <is>
          <t>MSX 24 LVP</t>
        </is>
      </c>
      <c r="H385" s="180" t="inlineStr">
        <is>
          <t>61 X 198</t>
        </is>
      </c>
      <c r="I385" s="180" t="inlineStr">
        <is>
          <t>20 X 25</t>
        </is>
      </c>
      <c r="J385" s="180" t="n">
        <v>21</v>
      </c>
      <c r="K385" s="181" t="n"/>
      <c r="L385" s="31" t="n"/>
      <c r="M385" s="32" t="n">
        <v>0.6977821913273751</v>
      </c>
      <c r="N385" s="31" t="n"/>
      <c r="O385" s="33" t="n"/>
    </row>
    <row r="386" ht="15" customHeight="1">
      <c r="A386" s="232" t="n"/>
      <c r="B386" s="232" t="n"/>
      <c r="C386" s="235" t="n"/>
      <c r="D386" s="169" t="inlineStr">
        <is>
          <t>Bottom</t>
        </is>
      </c>
      <c r="E386" s="169" t="n">
        <v>40</v>
      </c>
      <c r="F386" s="180" t="inlineStr">
        <is>
          <t>Single</t>
        </is>
      </c>
      <c r="G386" s="180" t="inlineStr">
        <is>
          <t>MSX 24 LVP</t>
        </is>
      </c>
      <c r="H386" s="180" t="inlineStr">
        <is>
          <t>61 X 198</t>
        </is>
      </c>
      <c r="I386" s="180" t="inlineStr">
        <is>
          <t>23 X 25</t>
        </is>
      </c>
      <c r="J386" s="180" t="n">
        <v>24</v>
      </c>
      <c r="K386" s="171" t="n"/>
      <c r="L386" s="14" t="n"/>
      <c r="M386" s="15" t="n">
        <v>0.6977821913273751</v>
      </c>
      <c r="N386" s="14" t="n"/>
      <c r="O386" s="16" t="n"/>
    </row>
    <row r="387" ht="15.75" customHeight="1">
      <c r="A387" s="234" t="n"/>
      <c r="B387" s="234" t="n"/>
      <c r="C387" s="175" t="inlineStr">
        <is>
          <t>SCFG</t>
        </is>
      </c>
      <c r="D387" s="166" t="inlineStr">
        <is>
          <t>-</t>
        </is>
      </c>
      <c r="E387" s="166" t="n">
        <v>15</v>
      </c>
      <c r="F387" s="166" t="inlineStr">
        <is>
          <t>Single</t>
        </is>
      </c>
      <c r="G387" s="166" t="inlineStr">
        <is>
          <t>MSX 24 SCFG</t>
        </is>
      </c>
      <c r="H387" s="166" t="inlineStr">
        <is>
          <t>78 X 221</t>
        </is>
      </c>
      <c r="I387" s="166" t="inlineStr">
        <is>
          <t>19 X 23</t>
        </is>
      </c>
      <c r="J387" s="166" t="n">
        <v>12</v>
      </c>
      <c r="K387" s="176" t="n"/>
      <c r="L387" s="25" t="n"/>
      <c r="M387" s="26" t="n">
        <v>0.3381642512077295</v>
      </c>
      <c r="N387" s="25" t="n"/>
      <c r="O387" s="27" t="n"/>
    </row>
    <row r="388" ht="15" customHeight="1">
      <c r="A388" s="197" t="n">
        <v>9</v>
      </c>
      <c r="B388" s="198" t="inlineStr">
        <is>
          <t>MSX 25</t>
        </is>
      </c>
      <c r="C388" s="184" t="inlineStr">
        <is>
          <t>LVP</t>
        </is>
      </c>
      <c r="D388" s="180" t="inlineStr">
        <is>
          <t>Top</t>
        </is>
      </c>
      <c r="E388" s="180" t="n">
        <v>40</v>
      </c>
      <c r="F388" s="180" t="inlineStr">
        <is>
          <t>Single</t>
        </is>
      </c>
      <c r="G388" s="180" t="inlineStr">
        <is>
          <t>MSX 25 TOP LVP</t>
        </is>
      </c>
      <c r="H388" s="180" t="inlineStr">
        <is>
          <t>90 X 108</t>
        </is>
      </c>
      <c r="I388" s="180" t="inlineStr">
        <is>
          <t>24 X 24</t>
        </is>
      </c>
      <c r="J388" s="180" t="n">
        <v>30</v>
      </c>
      <c r="K388" s="181" t="n"/>
      <c r="L388" s="31" t="n"/>
      <c r="M388" s="32" t="n">
        <v>0.6977821913273751</v>
      </c>
      <c r="N388" s="31" t="n"/>
      <c r="O388" s="33" t="n"/>
    </row>
    <row r="389" ht="15" customHeight="1">
      <c r="A389" s="232" t="n"/>
      <c r="B389" s="232" t="n"/>
      <c r="C389" s="235" t="n"/>
      <c r="D389" s="169" t="inlineStr">
        <is>
          <t>Bottom</t>
        </is>
      </c>
      <c r="E389" s="169" t="n">
        <v>40</v>
      </c>
      <c r="F389" s="180" t="inlineStr">
        <is>
          <t>Single</t>
        </is>
      </c>
      <c r="G389" s="169" t="inlineStr">
        <is>
          <t>MSX 25 BOT LVP</t>
        </is>
      </c>
      <c r="H389" s="169" t="inlineStr">
        <is>
          <t>100 X 118</t>
        </is>
      </c>
      <c r="I389" s="169" t="inlineStr">
        <is>
          <t>20.5 X 22</t>
        </is>
      </c>
      <c r="J389" s="169" t="n">
        <v>20</v>
      </c>
      <c r="K389" s="171" t="n"/>
      <c r="L389" s="14" t="n"/>
      <c r="M389" s="15" t="n">
        <v>0.6977821913273751</v>
      </c>
      <c r="N389" s="14" t="n"/>
      <c r="O389" s="16" t="n"/>
    </row>
    <row r="390" ht="15.75" customHeight="1">
      <c r="A390" s="234" t="n"/>
      <c r="B390" s="234" t="n"/>
      <c r="C390" s="175" t="inlineStr">
        <is>
          <t>SCFG</t>
        </is>
      </c>
      <c r="D390" s="166" t="inlineStr">
        <is>
          <t>-</t>
        </is>
      </c>
      <c r="E390" s="166" t="n">
        <v>15</v>
      </c>
      <c r="F390" s="166" t="inlineStr">
        <is>
          <t>Single</t>
        </is>
      </c>
      <c r="G390" s="166" t="inlineStr">
        <is>
          <t>MSX 25 SCFG</t>
        </is>
      </c>
      <c r="H390" s="166" t="inlineStr">
        <is>
          <t>116 X 136</t>
        </is>
      </c>
      <c r="I390" s="166" t="inlineStr">
        <is>
          <t>21.5 X 24.5</t>
        </is>
      </c>
      <c r="J390" s="166" t="n">
        <v>16</v>
      </c>
      <c r="K390" s="176" t="n"/>
      <c r="L390" s="25" t="n"/>
      <c r="M390" s="26" t="n">
        <v>0.3381642512077295</v>
      </c>
      <c r="N390" s="25" t="n"/>
      <c r="O390" s="27" t="n"/>
    </row>
    <row r="391" ht="15" customHeight="1">
      <c r="A391" s="197" t="n">
        <v>10</v>
      </c>
      <c r="B391" s="198" t="inlineStr">
        <is>
          <t>MSX 26</t>
        </is>
      </c>
      <c r="C391" s="184" t="inlineStr">
        <is>
          <t>LVP</t>
        </is>
      </c>
      <c r="D391" s="180" t="inlineStr">
        <is>
          <t>Top</t>
        </is>
      </c>
      <c r="E391" s="180" t="n">
        <v>40</v>
      </c>
      <c r="F391" s="180" t="inlineStr">
        <is>
          <t>Single</t>
        </is>
      </c>
      <c r="G391" s="180" t="inlineStr">
        <is>
          <t>MSX 26 LVP</t>
        </is>
      </c>
      <c r="H391" s="180" t="inlineStr">
        <is>
          <t>64 X 248</t>
        </is>
      </c>
      <c r="I391" s="180" t="inlineStr">
        <is>
          <t>21 X 24</t>
        </is>
      </c>
      <c r="J391" s="180" t="n">
        <v>16</v>
      </c>
      <c r="K391" s="181" t="n"/>
      <c r="L391" s="31" t="n"/>
      <c r="M391" s="32" t="n">
        <v>0.6977821913273751</v>
      </c>
      <c r="N391" s="31" t="n"/>
      <c r="O391" s="33" t="n"/>
    </row>
    <row r="392" ht="15" customHeight="1">
      <c r="A392" s="232" t="n"/>
      <c r="B392" s="232" t="n"/>
      <c r="C392" s="235" t="n"/>
      <c r="D392" s="169" t="inlineStr">
        <is>
          <t>Bottom</t>
        </is>
      </c>
      <c r="E392" s="169" t="n">
        <v>40</v>
      </c>
      <c r="F392" s="180" t="inlineStr">
        <is>
          <t>Single</t>
        </is>
      </c>
      <c r="G392" s="180" t="inlineStr">
        <is>
          <t>MSX 26 LVP</t>
        </is>
      </c>
      <c r="H392" s="180" t="inlineStr">
        <is>
          <t>64 X 248</t>
        </is>
      </c>
      <c r="I392" s="180" t="inlineStr">
        <is>
          <t>21 X 24</t>
        </is>
      </c>
      <c r="J392" s="180" t="n">
        <v>16</v>
      </c>
      <c r="K392" s="171" t="n"/>
      <c r="L392" s="14" t="n"/>
      <c r="M392" s="15" t="n">
        <v>0.6977821913273751</v>
      </c>
      <c r="N392" s="14" t="n"/>
      <c r="O392" s="16" t="n"/>
    </row>
    <row r="393" ht="15.75" customHeight="1">
      <c r="A393" s="234" t="n"/>
      <c r="B393" s="234" t="n"/>
      <c r="C393" s="175" t="inlineStr">
        <is>
          <t>SCFG</t>
        </is>
      </c>
      <c r="D393" s="166" t="inlineStr">
        <is>
          <t>-</t>
        </is>
      </c>
      <c r="E393" s="166" t="n">
        <v>15</v>
      </c>
      <c r="F393" s="166" t="inlineStr">
        <is>
          <t>Single</t>
        </is>
      </c>
      <c r="G393" s="166" t="inlineStr">
        <is>
          <t>MSX 26 SCFG</t>
        </is>
      </c>
      <c r="H393" s="166" t="inlineStr">
        <is>
          <t>85 X 270</t>
        </is>
      </c>
      <c r="I393" s="166" t="inlineStr">
        <is>
          <t>23 X 25</t>
        </is>
      </c>
      <c r="J393" s="166" t="n">
        <v>12</v>
      </c>
      <c r="K393" s="176" t="n"/>
      <c r="L393" s="25" t="n"/>
      <c r="M393" s="26" t="n">
        <v>0.3381642512077295</v>
      </c>
      <c r="N393" s="25" t="n"/>
      <c r="O393" s="27" t="n"/>
    </row>
    <row r="394" ht="15" customHeight="1">
      <c r="A394" s="197" t="n">
        <v>11</v>
      </c>
      <c r="B394" s="198" t="inlineStr">
        <is>
          <t>MSX 28</t>
        </is>
      </c>
      <c r="C394" s="184" t="inlineStr">
        <is>
          <t>LVP</t>
        </is>
      </c>
      <c r="D394" s="180" t="inlineStr">
        <is>
          <t>Top</t>
        </is>
      </c>
      <c r="E394" s="180" t="n">
        <v>40</v>
      </c>
      <c r="F394" s="180" t="inlineStr">
        <is>
          <t>Single</t>
        </is>
      </c>
      <c r="G394" s="180" t="inlineStr">
        <is>
          <t>MSX 28 LVP</t>
        </is>
      </c>
      <c r="H394" s="180" t="inlineStr">
        <is>
          <t>58 X 311</t>
        </is>
      </c>
      <c r="I394" s="180" t="inlineStr">
        <is>
          <t>22.5 X 25.5</t>
        </is>
      </c>
      <c r="J394" s="180" t="n">
        <v>16</v>
      </c>
      <c r="K394" s="181" t="n"/>
      <c r="L394" s="31" t="n"/>
      <c r="M394" s="32" t="n">
        <v>0.6977821913273751</v>
      </c>
      <c r="N394" s="31" t="n"/>
      <c r="O394" s="33" t="n"/>
    </row>
    <row r="395" ht="15" customHeight="1">
      <c r="A395" s="232" t="n"/>
      <c r="B395" s="232" t="n"/>
      <c r="C395" s="235" t="n"/>
      <c r="D395" s="169" t="inlineStr">
        <is>
          <t>Bottom</t>
        </is>
      </c>
      <c r="E395" s="169" t="n">
        <v>40</v>
      </c>
      <c r="F395" s="180" t="inlineStr">
        <is>
          <t>Single</t>
        </is>
      </c>
      <c r="G395" s="180" t="inlineStr">
        <is>
          <t>MSX 28 LVP</t>
        </is>
      </c>
      <c r="H395" s="180" t="inlineStr">
        <is>
          <t>58 X 311</t>
        </is>
      </c>
      <c r="I395" s="180" t="inlineStr">
        <is>
          <t>22.5 X 25.5</t>
        </is>
      </c>
      <c r="J395" s="180" t="n">
        <v>16</v>
      </c>
      <c r="K395" s="171" t="n"/>
      <c r="L395" s="14" t="n"/>
      <c r="M395" s="15" t="n">
        <v>0.6977821913273751</v>
      </c>
      <c r="N395" s="14" t="n"/>
      <c r="O395" s="16" t="n"/>
    </row>
    <row r="396" ht="15.75" customHeight="1">
      <c r="A396" s="234" t="n"/>
      <c r="B396" s="234" t="n"/>
      <c r="C396" s="175" t="inlineStr">
        <is>
          <t>SCFG</t>
        </is>
      </c>
      <c r="D396" s="166" t="inlineStr">
        <is>
          <t>-</t>
        </is>
      </c>
      <c r="E396" s="166" t="n">
        <v>15</v>
      </c>
      <c r="F396" s="166" t="inlineStr">
        <is>
          <t>Single</t>
        </is>
      </c>
      <c r="G396" s="166" t="inlineStr">
        <is>
          <t>MSX 28 SCFG</t>
        </is>
      </c>
      <c r="H396" s="166" t="inlineStr">
        <is>
          <t>74 X 333</t>
        </is>
      </c>
      <c r="I396" s="166" t="inlineStr">
        <is>
          <t>18.5 X 69.5</t>
        </is>
      </c>
      <c r="J396" s="166" t="n">
        <v>25</v>
      </c>
      <c r="K396" s="176" t="n"/>
      <c r="L396" s="25" t="n"/>
      <c r="M396" s="26" t="n">
        <v>0.3381642512077295</v>
      </c>
      <c r="N396" s="25" t="n"/>
      <c r="O396" s="27" t="n"/>
    </row>
    <row r="397" ht="15" customHeight="1">
      <c r="A397" s="197" t="n">
        <v>12</v>
      </c>
      <c r="B397" s="198" t="inlineStr">
        <is>
          <t>MSX 33</t>
        </is>
      </c>
      <c r="C397" s="184" t="inlineStr">
        <is>
          <t>LVP</t>
        </is>
      </c>
      <c r="D397" s="180" t="inlineStr">
        <is>
          <t>Top</t>
        </is>
      </c>
      <c r="E397" s="180" t="n">
        <v>40</v>
      </c>
      <c r="F397" s="180" t="inlineStr">
        <is>
          <t>Single</t>
        </is>
      </c>
      <c r="G397" s="180" t="inlineStr">
        <is>
          <t>MSX 33 LVP</t>
        </is>
      </c>
      <c r="H397" s="180" t="inlineStr">
        <is>
          <t>80 X 110</t>
        </is>
      </c>
      <c r="I397" s="180" t="inlineStr">
        <is>
          <t>22 X 24</t>
        </is>
      </c>
      <c r="J397" s="180" t="n">
        <v>30</v>
      </c>
      <c r="K397" s="181" t="n"/>
      <c r="L397" s="31" t="n"/>
      <c r="M397" s="32" t="n">
        <v>0.6977821913273751</v>
      </c>
      <c r="N397" s="31" t="n"/>
      <c r="O397" s="33" t="n"/>
    </row>
    <row r="398" ht="15" customHeight="1">
      <c r="A398" s="232" t="n"/>
      <c r="B398" s="232" t="n"/>
      <c r="C398" s="235" t="n"/>
      <c r="D398" s="169" t="inlineStr">
        <is>
          <t>Bottom</t>
        </is>
      </c>
      <c r="E398" s="169" t="n">
        <v>40</v>
      </c>
      <c r="F398" s="180" t="inlineStr">
        <is>
          <t>Single</t>
        </is>
      </c>
      <c r="G398" s="180" t="inlineStr">
        <is>
          <t>MSX 33 LVP</t>
        </is>
      </c>
      <c r="H398" s="180" t="inlineStr">
        <is>
          <t>80 X 110</t>
        </is>
      </c>
      <c r="I398" s="180" t="inlineStr">
        <is>
          <t>22 X 24</t>
        </is>
      </c>
      <c r="J398" s="180" t="n">
        <v>30</v>
      </c>
      <c r="K398" s="171" t="n"/>
      <c r="L398" s="14" t="n"/>
      <c r="M398" s="15" t="n">
        <v>0.6977821913273751</v>
      </c>
      <c r="N398" s="14" t="n"/>
      <c r="O398" s="16" t="n"/>
    </row>
    <row r="399" ht="15.75" customHeight="1">
      <c r="A399" s="234" t="n"/>
      <c r="B399" s="234" t="n"/>
      <c r="C399" s="175" t="inlineStr">
        <is>
          <t>SCFG</t>
        </is>
      </c>
      <c r="D399" s="166" t="inlineStr">
        <is>
          <t>-</t>
        </is>
      </c>
      <c r="E399" s="166" t="n">
        <v>15</v>
      </c>
      <c r="F399" s="166" t="inlineStr">
        <is>
          <t>Single</t>
        </is>
      </c>
      <c r="G399" s="166" t="inlineStr">
        <is>
          <t>MSX 33 SCFG</t>
        </is>
      </c>
      <c r="H399" s="166" t="inlineStr">
        <is>
          <t>100 X 130</t>
        </is>
      </c>
      <c r="I399" s="166" t="inlineStr">
        <is>
          <t>23.5 X 29.5</t>
        </is>
      </c>
      <c r="J399" s="166" t="n">
        <v>25</v>
      </c>
      <c r="K399" s="176" t="n"/>
      <c r="L399" s="25" t="n"/>
      <c r="M399" s="26" t="n">
        <v>0.3381642512077295</v>
      </c>
      <c r="N399" s="25" t="n"/>
      <c r="O399" s="27" t="n"/>
    </row>
    <row r="400" ht="15" customHeight="1">
      <c r="A400" s="197" t="n">
        <v>13</v>
      </c>
      <c r="B400" s="198" t="inlineStr">
        <is>
          <t>MSX 35</t>
        </is>
      </c>
      <c r="C400" s="184" t="inlineStr">
        <is>
          <t>LVP</t>
        </is>
      </c>
      <c r="D400" s="180" t="inlineStr">
        <is>
          <t>Top</t>
        </is>
      </c>
      <c r="E400" s="180" t="n">
        <v>40</v>
      </c>
      <c r="F400" s="180" t="inlineStr">
        <is>
          <t>Single</t>
        </is>
      </c>
      <c r="G400" s="180" t="inlineStr">
        <is>
          <t>MSX 35 TOP LVP</t>
        </is>
      </c>
      <c r="H400" s="180" t="inlineStr">
        <is>
          <t>94 X 145</t>
        </is>
      </c>
      <c r="I400" s="180" t="inlineStr">
        <is>
          <t>21 X 25</t>
        </is>
      </c>
      <c r="J400" s="180" t="n">
        <v>20</v>
      </c>
      <c r="K400" s="181" t="n"/>
      <c r="L400" s="31" t="n"/>
      <c r="M400" s="32" t="n">
        <v>0.6977821913273751</v>
      </c>
      <c r="N400" s="31" t="n"/>
      <c r="O400" s="33" t="n"/>
    </row>
    <row r="401" ht="15" customHeight="1">
      <c r="A401" s="232" t="n"/>
      <c r="B401" s="232" t="n"/>
      <c r="C401" s="235" t="n"/>
      <c r="D401" s="169" t="inlineStr">
        <is>
          <t>Bottom</t>
        </is>
      </c>
      <c r="E401" s="169" t="n">
        <v>40</v>
      </c>
      <c r="F401" s="180" t="inlineStr">
        <is>
          <t>Single</t>
        </is>
      </c>
      <c r="G401" s="169" t="inlineStr">
        <is>
          <t>MSX 35 BOT LVP</t>
        </is>
      </c>
      <c r="H401" s="169" t="inlineStr">
        <is>
          <t>104 X 154</t>
        </is>
      </c>
      <c r="I401" s="169" t="inlineStr">
        <is>
          <t>20 X 23</t>
        </is>
      </c>
      <c r="J401" s="169" t="n">
        <v>15</v>
      </c>
      <c r="K401" s="171" t="n"/>
      <c r="L401" s="14" t="n"/>
      <c r="M401" s="15" t="n">
        <v>0.6977821913273751</v>
      </c>
      <c r="N401" s="14" t="n"/>
      <c r="O401" s="16" t="n"/>
    </row>
    <row r="402" ht="15.75" customHeight="1">
      <c r="A402" s="234" t="n"/>
      <c r="B402" s="234" t="n"/>
      <c r="C402" s="175" t="inlineStr">
        <is>
          <t>SCFG</t>
        </is>
      </c>
      <c r="D402" s="166" t="inlineStr">
        <is>
          <t>-</t>
        </is>
      </c>
      <c r="E402" s="166" t="n">
        <v>15</v>
      </c>
      <c r="F402" s="166" t="inlineStr">
        <is>
          <t>Single</t>
        </is>
      </c>
      <c r="G402" s="166" t="inlineStr">
        <is>
          <t>MSX 35 SCFG</t>
        </is>
      </c>
      <c r="H402" s="166" t="inlineStr">
        <is>
          <t>122 X 175</t>
        </is>
      </c>
      <c r="I402" s="166" t="inlineStr">
        <is>
          <t>28 X 38.5</t>
        </is>
      </c>
      <c r="J402" s="166" t="n">
        <v>25</v>
      </c>
      <c r="K402" s="176" t="n"/>
      <c r="L402" s="25" t="n"/>
      <c r="M402" s="26" t="n">
        <v>0.3381642512077295</v>
      </c>
      <c r="N402" s="25" t="n"/>
      <c r="O402" s="27" t="n"/>
    </row>
    <row r="403" ht="15" customHeight="1">
      <c r="A403" s="197" t="n">
        <v>14</v>
      </c>
      <c r="B403" s="198" t="inlineStr">
        <is>
          <t>MSX 40</t>
        </is>
      </c>
      <c r="C403" s="184" t="inlineStr">
        <is>
          <t>LVP</t>
        </is>
      </c>
      <c r="D403" s="180" t="inlineStr">
        <is>
          <t>Top</t>
        </is>
      </c>
      <c r="E403" s="180" t="n">
        <v>60</v>
      </c>
      <c r="F403" s="180" t="inlineStr">
        <is>
          <t>Single</t>
        </is>
      </c>
      <c r="G403" s="180" t="inlineStr">
        <is>
          <t>MSX 40 TOP LVP</t>
        </is>
      </c>
      <c r="H403" s="180" t="inlineStr">
        <is>
          <t>76 X 168</t>
        </is>
      </c>
      <c r="I403" s="180" t="inlineStr">
        <is>
          <t>21 X 24</t>
        </is>
      </c>
      <c r="J403" s="180" t="n">
        <v>21</v>
      </c>
      <c r="K403" s="181" t="n"/>
      <c r="L403" s="31" t="n"/>
      <c r="M403" s="32" t="n">
        <v>1.103988603988604</v>
      </c>
      <c r="N403" s="31" t="n"/>
      <c r="O403" s="33" t="n"/>
    </row>
    <row r="404" ht="15" customHeight="1">
      <c r="A404" s="232" t="n"/>
      <c r="B404" s="232" t="n"/>
      <c r="C404" s="235" t="n"/>
      <c r="D404" s="169" t="inlineStr">
        <is>
          <t>Bottom</t>
        </is>
      </c>
      <c r="E404" s="169" t="n">
        <v>40</v>
      </c>
      <c r="F404" s="180" t="inlineStr">
        <is>
          <t>Single</t>
        </is>
      </c>
      <c r="G404" s="169" t="inlineStr">
        <is>
          <t>MSX 40 BOT LVP</t>
        </is>
      </c>
      <c r="H404" s="169" t="inlineStr">
        <is>
          <t>88 X 178</t>
        </is>
      </c>
      <c r="I404" s="169" t="inlineStr">
        <is>
          <t>20 X 23</t>
        </is>
      </c>
      <c r="J404" s="169" t="n">
        <v>15</v>
      </c>
      <c r="K404" s="171" t="n"/>
      <c r="L404" s="14" t="n"/>
      <c r="M404" s="15" t="n">
        <v>0.6977821913273751</v>
      </c>
      <c r="N404" s="14" t="n"/>
      <c r="O404" s="16" t="n"/>
    </row>
    <row r="405" ht="15.75" customHeight="1">
      <c r="A405" s="234" t="n"/>
      <c r="B405" s="234" t="n"/>
      <c r="C405" s="175" t="inlineStr">
        <is>
          <t>SCFG</t>
        </is>
      </c>
      <c r="D405" s="166" t="inlineStr">
        <is>
          <t>-</t>
        </is>
      </c>
      <c r="E405" s="166" t="n">
        <v>15</v>
      </c>
      <c r="F405" s="166" t="inlineStr">
        <is>
          <t>Single</t>
        </is>
      </c>
      <c r="G405" s="166" t="inlineStr">
        <is>
          <t>MSX 40 SCFG</t>
        </is>
      </c>
      <c r="H405" s="166" t="inlineStr">
        <is>
          <t>110 X 198</t>
        </is>
      </c>
      <c r="I405" s="166" t="inlineStr">
        <is>
          <t>25.5 X 43</t>
        </is>
      </c>
      <c r="J405" s="166" t="n">
        <v>25</v>
      </c>
      <c r="K405" s="176" t="n"/>
      <c r="L405" s="25" t="n"/>
      <c r="M405" s="26" t="n">
        <v>0.3381642512077295</v>
      </c>
      <c r="N405" s="25" t="n"/>
      <c r="O405" s="27" t="n"/>
    </row>
    <row r="406" ht="15" customHeight="1">
      <c r="A406" s="197" t="n">
        <v>15</v>
      </c>
      <c r="B406" s="198" t="inlineStr">
        <is>
          <t>MSX 42</t>
        </is>
      </c>
      <c r="C406" s="184" t="inlineStr">
        <is>
          <t>LVP</t>
        </is>
      </c>
      <c r="D406" s="180" t="inlineStr">
        <is>
          <t>Top</t>
        </is>
      </c>
      <c r="E406" s="180" t="n">
        <v>60</v>
      </c>
      <c r="F406" s="180" t="inlineStr">
        <is>
          <t>Single</t>
        </is>
      </c>
      <c r="G406" s="180" t="inlineStr">
        <is>
          <t>MSX 42 TOP LVP</t>
        </is>
      </c>
      <c r="H406" s="180" t="inlineStr">
        <is>
          <t>100 X 230</t>
        </is>
      </c>
      <c r="I406" s="180" t="inlineStr">
        <is>
          <t>19 X 22</t>
        </is>
      </c>
      <c r="J406" s="180" t="n">
        <v>10</v>
      </c>
      <c r="K406" s="181" t="n"/>
      <c r="L406" s="31" t="n"/>
      <c r="M406" s="32" t="n">
        <v>1.103988603988604</v>
      </c>
      <c r="N406" s="31" t="n"/>
      <c r="O406" s="33" t="n"/>
    </row>
    <row r="407" ht="15" customHeight="1">
      <c r="A407" s="232" t="n"/>
      <c r="B407" s="232" t="n"/>
      <c r="C407" s="235" t="n"/>
      <c r="D407" s="169" t="inlineStr">
        <is>
          <t>Bottom</t>
        </is>
      </c>
      <c r="E407" s="169" t="n">
        <v>40</v>
      </c>
      <c r="F407" s="180" t="inlineStr">
        <is>
          <t>Single</t>
        </is>
      </c>
      <c r="G407" s="169" t="inlineStr">
        <is>
          <t>MSX 42 BOT LVP</t>
        </is>
      </c>
      <c r="H407" s="169" t="inlineStr">
        <is>
          <t>108 X 240</t>
        </is>
      </c>
      <c r="I407" s="169" t="inlineStr">
        <is>
          <t>20 X 24</t>
        </is>
      </c>
      <c r="J407" s="169" t="n">
        <v>10</v>
      </c>
      <c r="K407" s="171" t="n"/>
      <c r="L407" s="14" t="n"/>
      <c r="M407" s="15" t="n">
        <v>0.6977821913273751</v>
      </c>
      <c r="N407" s="14" t="n"/>
      <c r="O407" s="16" t="n"/>
    </row>
    <row r="408" ht="15.75" customHeight="1">
      <c r="A408" s="234" t="n"/>
      <c r="B408" s="234" t="n"/>
      <c r="C408" s="175" t="inlineStr">
        <is>
          <t>SCFG</t>
        </is>
      </c>
      <c r="D408" s="166" t="inlineStr">
        <is>
          <t>-</t>
        </is>
      </c>
      <c r="E408" s="166" t="n">
        <v>15</v>
      </c>
      <c r="F408" s="166" t="inlineStr">
        <is>
          <t>Single</t>
        </is>
      </c>
      <c r="G408" s="166" t="inlineStr">
        <is>
          <t>MSX 42 SCFG</t>
        </is>
      </c>
      <c r="H408" s="166" t="inlineStr">
        <is>
          <t>126 X 260</t>
        </is>
      </c>
      <c r="I408" s="166" t="inlineStr">
        <is>
          <t>29 X 55</t>
        </is>
      </c>
      <c r="J408" s="166" t="n">
        <v>25</v>
      </c>
      <c r="K408" s="176" t="n"/>
      <c r="L408" s="25" t="n"/>
      <c r="M408" s="26" t="n">
        <v>0.3381642512077295</v>
      </c>
      <c r="N408" s="25" t="n"/>
      <c r="O408" s="27" t="n"/>
    </row>
    <row r="409" ht="15" customHeight="1">
      <c r="A409" s="197" t="n">
        <v>16</v>
      </c>
      <c r="B409" s="198" t="inlineStr">
        <is>
          <t>MSX 44</t>
        </is>
      </c>
      <c r="C409" s="184" t="inlineStr">
        <is>
          <t>LVP</t>
        </is>
      </c>
      <c r="D409" s="180" t="inlineStr">
        <is>
          <t>Top</t>
        </is>
      </c>
      <c r="E409" s="180" t="n">
        <v>60</v>
      </c>
      <c r="F409" s="180" t="inlineStr">
        <is>
          <t>Single</t>
        </is>
      </c>
      <c r="G409" s="180" t="inlineStr">
        <is>
          <t>MSX 44 TOP LVP</t>
        </is>
      </c>
      <c r="H409" s="180" t="inlineStr">
        <is>
          <t>100 X 108</t>
        </is>
      </c>
      <c r="I409" s="180" t="inlineStr">
        <is>
          <t>18 X 24</t>
        </is>
      </c>
      <c r="J409" s="180" t="n">
        <v>20</v>
      </c>
      <c r="K409" s="181" t="n"/>
      <c r="L409" s="31" t="n"/>
      <c r="M409" s="32" t="n">
        <v>1.103988603988604</v>
      </c>
      <c r="N409" s="31" t="n"/>
      <c r="O409" s="33" t="n"/>
    </row>
    <row r="410" ht="15" customHeight="1">
      <c r="A410" s="232" t="n"/>
      <c r="B410" s="232" t="n"/>
      <c r="C410" s="235" t="n"/>
      <c r="D410" s="169" t="inlineStr">
        <is>
          <t>Bottom</t>
        </is>
      </c>
      <c r="E410" s="169" t="n">
        <v>40</v>
      </c>
      <c r="F410" s="180" t="inlineStr">
        <is>
          <t>Single</t>
        </is>
      </c>
      <c r="G410" s="169" t="inlineStr">
        <is>
          <t>MSX 44 BOT LVP</t>
        </is>
      </c>
      <c r="H410" s="169" t="inlineStr">
        <is>
          <t>110 X 320</t>
        </is>
      </c>
      <c r="I410" s="169" t="inlineStr">
        <is>
          <t>24 X 26</t>
        </is>
      </c>
      <c r="J410" s="169" t="n">
        <v>10</v>
      </c>
      <c r="K410" s="171" t="n"/>
      <c r="L410" s="14" t="n"/>
      <c r="M410" s="15" t="n">
        <v>0.6977821913273751</v>
      </c>
      <c r="N410" s="14" t="n"/>
      <c r="O410" s="16" t="n"/>
    </row>
    <row r="411" ht="15.75" customHeight="1">
      <c r="A411" s="234" t="n"/>
      <c r="B411" s="234" t="n"/>
      <c r="C411" s="175" t="inlineStr">
        <is>
          <t>SCFG</t>
        </is>
      </c>
      <c r="D411" s="166" t="inlineStr">
        <is>
          <t>-</t>
        </is>
      </c>
      <c r="E411" s="166" t="n">
        <v>15</v>
      </c>
      <c r="F411" s="166" t="inlineStr">
        <is>
          <t>Single</t>
        </is>
      </c>
      <c r="G411" s="166" t="inlineStr">
        <is>
          <t>MSX 44 SCFG</t>
        </is>
      </c>
      <c r="H411" s="166" t="inlineStr">
        <is>
          <t>135 X 346</t>
        </is>
      </c>
      <c r="I411" s="166" t="inlineStr">
        <is>
          <t>30.5 X 72</t>
        </is>
      </c>
      <c r="J411" s="166" t="n">
        <v>25</v>
      </c>
      <c r="K411" s="176" t="n"/>
      <c r="L411" s="25" t="n"/>
      <c r="M411" s="26" t="n">
        <v>0.3381642512077295</v>
      </c>
      <c r="N411" s="25" t="n"/>
      <c r="O411" s="27" t="n"/>
    </row>
    <row r="412" ht="15" customHeight="1">
      <c r="A412" s="197" t="n">
        <v>17</v>
      </c>
      <c r="B412" s="198" t="inlineStr">
        <is>
          <t>MSX 45</t>
        </is>
      </c>
      <c r="C412" s="184" t="inlineStr">
        <is>
          <t>LVP</t>
        </is>
      </c>
      <c r="D412" s="180" t="inlineStr">
        <is>
          <t>Top</t>
        </is>
      </c>
      <c r="E412" s="180" t="n">
        <v>40</v>
      </c>
      <c r="F412" s="180" t="inlineStr">
        <is>
          <t>Single</t>
        </is>
      </c>
      <c r="G412" s="180" t="inlineStr">
        <is>
          <t>MSX 45 LVP</t>
        </is>
      </c>
      <c r="H412" s="180" t="inlineStr">
        <is>
          <t>158 X 209</t>
        </is>
      </c>
      <c r="I412" s="180" t="inlineStr">
        <is>
          <t>18 X 20</t>
        </is>
      </c>
      <c r="J412" s="180" t="n">
        <v>6</v>
      </c>
      <c r="K412" s="181" t="n"/>
      <c r="L412" s="31" t="n"/>
      <c r="M412" s="32" t="n">
        <v>0.6977821913273751</v>
      </c>
      <c r="N412" s="31" t="n"/>
      <c r="O412" s="33" t="n"/>
    </row>
    <row r="413" ht="15" customHeight="1">
      <c r="A413" s="232" t="n"/>
      <c r="B413" s="232" t="n"/>
      <c r="C413" s="235" t="n"/>
      <c r="D413" s="169" t="inlineStr">
        <is>
          <t>Bottom</t>
        </is>
      </c>
      <c r="E413" s="169" t="n">
        <v>40</v>
      </c>
      <c r="F413" s="180" t="inlineStr">
        <is>
          <t>Single</t>
        </is>
      </c>
      <c r="G413" s="180" t="inlineStr">
        <is>
          <t>MSX 45 LVP</t>
        </is>
      </c>
      <c r="H413" s="180" t="inlineStr">
        <is>
          <t>158 X 209</t>
        </is>
      </c>
      <c r="I413" s="169" t="inlineStr">
        <is>
          <t>18 X 20</t>
        </is>
      </c>
      <c r="J413" s="169" t="n">
        <v>6</v>
      </c>
      <c r="K413" s="171" t="n"/>
      <c r="L413" s="14" t="n"/>
      <c r="M413" s="15" t="n">
        <v>0.6977821913273751</v>
      </c>
      <c r="N413" s="14" t="n"/>
      <c r="O413" s="16" t="n"/>
    </row>
    <row r="414" ht="15.75" customHeight="1">
      <c r="A414" s="234" t="n"/>
      <c r="B414" s="234" t="n"/>
      <c r="C414" s="175" t="inlineStr">
        <is>
          <t>SCFG</t>
        </is>
      </c>
      <c r="D414" s="166" t="inlineStr">
        <is>
          <t>-</t>
        </is>
      </c>
      <c r="E414" s="166" t="n">
        <v>15</v>
      </c>
      <c r="F414" s="166" t="inlineStr">
        <is>
          <t>Single</t>
        </is>
      </c>
      <c r="G414" s="166" t="inlineStr">
        <is>
          <t>MSX 45 SCFG</t>
        </is>
      </c>
      <c r="H414" s="166" t="inlineStr">
        <is>
          <t>175 X 226</t>
        </is>
      </c>
      <c r="I414" s="166" t="inlineStr">
        <is>
          <t>38.5 X 48.5</t>
        </is>
      </c>
      <c r="J414" s="166" t="n">
        <v>25</v>
      </c>
      <c r="K414" s="176" t="n"/>
      <c r="L414" s="25" t="n"/>
      <c r="M414" s="26" t="n">
        <v>0.3381642512077295</v>
      </c>
      <c r="N414" s="25" t="n"/>
      <c r="O414" s="27" t="n"/>
    </row>
    <row r="415" ht="15" customHeight="1">
      <c r="A415" s="197" t="n">
        <v>18</v>
      </c>
      <c r="B415" s="198" t="inlineStr">
        <is>
          <t>MSX 46</t>
        </is>
      </c>
      <c r="C415" s="184" t="inlineStr">
        <is>
          <t>LVP</t>
        </is>
      </c>
      <c r="D415" s="180" t="inlineStr">
        <is>
          <t>Top</t>
        </is>
      </c>
      <c r="E415" s="180" t="n">
        <v>40</v>
      </c>
      <c r="F415" s="180" t="inlineStr">
        <is>
          <t>Single</t>
        </is>
      </c>
      <c r="G415" s="180" t="inlineStr">
        <is>
          <t>MSX 46 LVP</t>
        </is>
      </c>
      <c r="H415" s="180" t="inlineStr">
        <is>
          <t>128 X 389</t>
        </is>
      </c>
      <c r="I415" s="180" t="inlineStr">
        <is>
          <t>16 X 23</t>
        </is>
      </c>
      <c r="J415" s="180" t="n">
        <v>4</v>
      </c>
      <c r="K415" s="181" t="n"/>
      <c r="L415" s="31" t="n"/>
      <c r="M415" s="32" t="n">
        <v>0.6977821913273751</v>
      </c>
      <c r="N415" s="31" t="n"/>
      <c r="O415" s="33" t="n"/>
    </row>
    <row r="416" ht="15" customHeight="1">
      <c r="A416" s="232" t="n"/>
      <c r="B416" s="232" t="n"/>
      <c r="C416" s="235" t="n"/>
      <c r="D416" s="169" t="inlineStr">
        <is>
          <t>Bottom</t>
        </is>
      </c>
      <c r="E416" s="169" t="n">
        <v>40</v>
      </c>
      <c r="F416" s="180" t="inlineStr">
        <is>
          <t>Single</t>
        </is>
      </c>
      <c r="G416" s="180" t="inlineStr">
        <is>
          <t>MSX 46 LVP</t>
        </is>
      </c>
      <c r="H416" s="180" t="inlineStr">
        <is>
          <t>128 X 389</t>
        </is>
      </c>
      <c r="I416" s="169" t="inlineStr">
        <is>
          <t>16 X 23</t>
        </is>
      </c>
      <c r="J416" s="169" t="n">
        <v>4</v>
      </c>
      <c r="K416" s="171" t="n"/>
      <c r="L416" s="14" t="n"/>
      <c r="M416" s="15" t="n">
        <v>0.6977821913273751</v>
      </c>
      <c r="N416" s="14" t="n"/>
      <c r="O416" s="16" t="n"/>
    </row>
    <row r="417" ht="15.75" customHeight="1">
      <c r="A417" s="234" t="n"/>
      <c r="B417" s="234" t="n"/>
      <c r="C417" s="175" t="inlineStr">
        <is>
          <t>SCFG</t>
        </is>
      </c>
      <c r="D417" s="166" t="inlineStr">
        <is>
          <t>-</t>
        </is>
      </c>
      <c r="E417" s="166" t="n">
        <v>15</v>
      </c>
      <c r="F417" s="166" t="inlineStr">
        <is>
          <t>Single</t>
        </is>
      </c>
      <c r="G417" s="166" t="inlineStr">
        <is>
          <t>MSX 46 SCFG</t>
        </is>
      </c>
      <c r="H417" s="166" t="inlineStr">
        <is>
          <t>148 X 409</t>
        </is>
      </c>
      <c r="I417" s="166" t="inlineStr">
        <is>
          <t>33 X 84.5</t>
        </is>
      </c>
      <c r="J417" s="166" t="n">
        <v>25</v>
      </c>
      <c r="K417" s="176" t="n"/>
      <c r="L417" s="25" t="n"/>
      <c r="M417" s="26" t="n">
        <v>0.3381642512077295</v>
      </c>
      <c r="N417" s="25" t="n"/>
      <c r="O417" s="27" t="n"/>
    </row>
    <row r="418" ht="15" customHeight="1">
      <c r="A418" s="197" t="n">
        <v>19</v>
      </c>
      <c r="B418" s="198" t="inlineStr">
        <is>
          <t>MSX 50</t>
        </is>
      </c>
      <c r="C418" s="184" t="inlineStr">
        <is>
          <t>LVP</t>
        </is>
      </c>
      <c r="D418" s="180" t="inlineStr">
        <is>
          <t>Top</t>
        </is>
      </c>
      <c r="E418" s="180" t="n">
        <v>60</v>
      </c>
      <c r="F418" s="180" t="inlineStr">
        <is>
          <t>Single</t>
        </is>
      </c>
      <c r="G418" s="180" t="inlineStr">
        <is>
          <t>MSX 50 LVP</t>
        </is>
      </c>
      <c r="H418" s="180" t="inlineStr">
        <is>
          <t>178 X 539</t>
        </is>
      </c>
      <c r="I418" s="180" t="inlineStr">
        <is>
          <t>22 X 23</t>
        </is>
      </c>
      <c r="J418" s="180" t="n">
        <v>3</v>
      </c>
      <c r="K418" s="181" t="n"/>
      <c r="L418" s="31" t="n"/>
      <c r="M418" s="32" t="n">
        <v>1.103988603988604</v>
      </c>
      <c r="N418" s="31" t="n"/>
      <c r="O418" s="33" t="n"/>
    </row>
    <row r="419" ht="15" customHeight="1">
      <c r="A419" s="232" t="n"/>
      <c r="B419" s="232" t="n"/>
      <c r="C419" s="235" t="n"/>
      <c r="D419" s="169" t="inlineStr">
        <is>
          <t>Bottom</t>
        </is>
      </c>
      <c r="E419" s="169" t="n">
        <v>40</v>
      </c>
      <c r="F419" s="180" t="inlineStr">
        <is>
          <t>Single</t>
        </is>
      </c>
      <c r="G419" s="180" t="inlineStr">
        <is>
          <t>MSX 50 LVP</t>
        </is>
      </c>
      <c r="H419" s="180" t="inlineStr">
        <is>
          <t>178 X 539</t>
        </is>
      </c>
      <c r="I419" s="169" t="inlineStr">
        <is>
          <t>22 X 23</t>
        </is>
      </c>
      <c r="J419" s="169" t="n">
        <v>3</v>
      </c>
      <c r="K419" s="171" t="n"/>
      <c r="L419" s="14" t="n"/>
      <c r="M419" s="15" t="n">
        <v>0.6977821913273751</v>
      </c>
      <c r="N419" s="14" t="n"/>
      <c r="O419" s="16" t="n"/>
    </row>
    <row r="420" ht="15.75" customHeight="1">
      <c r="A420" s="234" t="n"/>
      <c r="B420" s="234" t="n"/>
      <c r="C420" s="175" t="inlineStr">
        <is>
          <t>SCFG</t>
        </is>
      </c>
      <c r="D420" s="166" t="inlineStr">
        <is>
          <t>-</t>
        </is>
      </c>
      <c r="E420" s="166" t="n">
        <v>15</v>
      </c>
      <c r="F420" s="166" t="inlineStr">
        <is>
          <t>H.C.</t>
        </is>
      </c>
      <c r="G420" s="166" t="inlineStr">
        <is>
          <t>Hand Cutting</t>
        </is>
      </c>
      <c r="H420" s="166" t="inlineStr">
        <is>
          <t>201 X 565</t>
        </is>
      </c>
      <c r="I420" s="166" t="inlineStr">
        <is>
          <t>43.5 X 46</t>
        </is>
      </c>
      <c r="J420" s="166" t="n">
        <v>10</v>
      </c>
      <c r="K420" s="176" t="n"/>
      <c r="L420" s="25" t="n"/>
      <c r="M420" s="26" t="n">
        <v>0.3381642512077295</v>
      </c>
      <c r="N420" s="25" t="n"/>
      <c r="O420" s="27" t="n"/>
    </row>
    <row r="421" ht="15" customHeight="1">
      <c r="A421" s="197" t="n">
        <v>20</v>
      </c>
      <c r="B421" s="198" t="inlineStr">
        <is>
          <t>MSX 52</t>
        </is>
      </c>
      <c r="C421" s="184" t="inlineStr">
        <is>
          <t>LVP</t>
        </is>
      </c>
      <c r="D421" s="180" t="inlineStr">
        <is>
          <t>Top</t>
        </is>
      </c>
      <c r="E421" s="180" t="n">
        <v>60</v>
      </c>
      <c r="F421" s="180" t="inlineStr">
        <is>
          <t>Single</t>
        </is>
      </c>
      <c r="G421" s="180" t="inlineStr">
        <is>
          <t>MSX 52/54 LVP</t>
        </is>
      </c>
      <c r="H421" s="180" t="inlineStr">
        <is>
          <t>240 X 559</t>
        </is>
      </c>
      <c r="I421" s="180" t="inlineStr">
        <is>
          <t>22 X 23</t>
        </is>
      </c>
      <c r="J421" s="180" t="n">
        <v>2</v>
      </c>
      <c r="K421" s="181" t="n"/>
      <c r="L421" s="31" t="n"/>
      <c r="M421" s="32" t="n">
        <v>1.103988603988604</v>
      </c>
      <c r="N421" s="31" t="n"/>
      <c r="O421" s="33" t="n"/>
    </row>
    <row r="422" ht="15" customHeight="1">
      <c r="A422" s="232" t="n"/>
      <c r="B422" s="232" t="n"/>
      <c r="C422" s="235" t="n"/>
      <c r="D422" s="169" t="inlineStr">
        <is>
          <t>Bottom</t>
        </is>
      </c>
      <c r="E422" s="169" t="n">
        <v>40</v>
      </c>
      <c r="F422" s="180" t="inlineStr">
        <is>
          <t>Single</t>
        </is>
      </c>
      <c r="G422" s="180" t="inlineStr">
        <is>
          <t>MSX 52/54 LVP</t>
        </is>
      </c>
      <c r="H422" s="180" t="inlineStr">
        <is>
          <t>240 X 559</t>
        </is>
      </c>
      <c r="I422" s="169" t="inlineStr">
        <is>
          <t>22 X 23</t>
        </is>
      </c>
      <c r="J422" s="169" t="n">
        <v>2</v>
      </c>
      <c r="K422" s="171" t="n"/>
      <c r="L422" s="14" t="n"/>
      <c r="M422" s="15" t="n">
        <v>0.6977821913273751</v>
      </c>
      <c r="N422" s="14" t="n"/>
      <c r="O422" s="16" t="n"/>
    </row>
    <row r="423" ht="15.75" customHeight="1">
      <c r="A423" s="234" t="n"/>
      <c r="B423" s="234" t="n"/>
      <c r="C423" s="175" t="inlineStr">
        <is>
          <t>SCFG</t>
        </is>
      </c>
      <c r="D423" s="166" t="inlineStr">
        <is>
          <t>-</t>
        </is>
      </c>
      <c r="E423" s="166" t="n">
        <v>15</v>
      </c>
      <c r="F423" s="166" t="inlineStr">
        <is>
          <t>H.C.</t>
        </is>
      </c>
      <c r="G423" s="166" t="inlineStr">
        <is>
          <t>Hand Cutting</t>
        </is>
      </c>
      <c r="H423" s="166" t="inlineStr">
        <is>
          <t>256 X 575</t>
        </is>
      </c>
      <c r="I423" s="166" t="inlineStr">
        <is>
          <t>54 X 47</t>
        </is>
      </c>
      <c r="J423" s="166" t="n">
        <v>10</v>
      </c>
      <c r="K423" s="176" t="n"/>
      <c r="L423" s="25" t="n"/>
      <c r="M423" s="26" t="n">
        <v>0.3381642512077295</v>
      </c>
      <c r="N423" s="25" t="n"/>
      <c r="O423" s="27" t="n"/>
    </row>
    <row r="424" ht="15" customHeight="1">
      <c r="A424" s="197" t="n">
        <v>21</v>
      </c>
      <c r="B424" s="198" t="inlineStr">
        <is>
          <t>MSX 54</t>
        </is>
      </c>
      <c r="C424" s="184" t="inlineStr">
        <is>
          <t>LVP</t>
        </is>
      </c>
      <c r="D424" s="180" t="inlineStr">
        <is>
          <t>Top</t>
        </is>
      </c>
      <c r="E424" s="180" t="n">
        <v>60</v>
      </c>
      <c r="F424" s="180" t="inlineStr">
        <is>
          <t>Single</t>
        </is>
      </c>
      <c r="G424" s="180" t="inlineStr">
        <is>
          <t>MSX 52/54 LVP</t>
        </is>
      </c>
      <c r="H424" s="180" t="inlineStr">
        <is>
          <t>240 X 559</t>
        </is>
      </c>
      <c r="I424" s="180" t="inlineStr">
        <is>
          <t>22 X 23</t>
        </is>
      </c>
      <c r="J424" s="180" t="n">
        <v>2</v>
      </c>
      <c r="K424" s="181" t="n"/>
      <c r="L424" s="31" t="n"/>
      <c r="M424" s="32" t="n">
        <v>1.103988603988604</v>
      </c>
      <c r="N424" s="31" t="n"/>
      <c r="O424" s="33" t="n"/>
    </row>
    <row r="425" ht="15" customHeight="1">
      <c r="A425" s="232" t="n"/>
      <c r="B425" s="232" t="n"/>
      <c r="C425" s="235" t="n"/>
      <c r="D425" s="169" t="inlineStr">
        <is>
          <t>Bottom</t>
        </is>
      </c>
      <c r="E425" s="169" t="n">
        <v>40</v>
      </c>
      <c r="F425" s="180" t="inlineStr">
        <is>
          <t>Single</t>
        </is>
      </c>
      <c r="G425" s="180" t="inlineStr">
        <is>
          <t>MSX 52/54 LVP</t>
        </is>
      </c>
      <c r="H425" s="180" t="inlineStr">
        <is>
          <t>240 X 559</t>
        </is>
      </c>
      <c r="I425" s="169" t="inlineStr">
        <is>
          <t>22 X 23</t>
        </is>
      </c>
      <c r="J425" s="169" t="n">
        <v>2</v>
      </c>
      <c r="K425" s="171" t="n"/>
      <c r="L425" s="14" t="n"/>
      <c r="M425" s="15" t="n">
        <v>0.6977821913273751</v>
      </c>
      <c r="N425" s="14" t="n"/>
      <c r="O425" s="16" t="n"/>
    </row>
    <row r="426" ht="15.75" customHeight="1">
      <c r="A426" s="234" t="n"/>
      <c r="B426" s="234" t="n"/>
      <c r="C426" s="175" t="inlineStr">
        <is>
          <t>SCFG</t>
        </is>
      </c>
      <c r="D426" s="166" t="inlineStr">
        <is>
          <t>-</t>
        </is>
      </c>
      <c r="E426" s="166" t="n">
        <v>15</v>
      </c>
      <c r="F426" s="166" t="inlineStr">
        <is>
          <t>H.C.</t>
        </is>
      </c>
      <c r="G426" s="166" t="inlineStr">
        <is>
          <t>Hand Cutting</t>
        </is>
      </c>
      <c r="H426" s="166" t="inlineStr">
        <is>
          <t>256 X 575</t>
        </is>
      </c>
      <c r="I426" s="166" t="inlineStr">
        <is>
          <t>54 X 47</t>
        </is>
      </c>
      <c r="J426" s="166" t="n">
        <v>10</v>
      </c>
      <c r="K426" s="176" t="n"/>
      <c r="L426" s="25" t="n"/>
      <c r="M426" s="26" t="n">
        <v>0.3381642512077295</v>
      </c>
      <c r="N426" s="25" t="n"/>
      <c r="O426" s="27" t="n"/>
    </row>
    <row r="427" ht="15" customHeight="1">
      <c r="A427" s="197" t="n">
        <v>22</v>
      </c>
      <c r="B427" s="198" t="inlineStr">
        <is>
          <t>MSX 55</t>
        </is>
      </c>
      <c r="C427" s="184" t="inlineStr">
        <is>
          <t>LVP</t>
        </is>
      </c>
      <c r="D427" s="180" t="inlineStr">
        <is>
          <t>Top</t>
        </is>
      </c>
      <c r="E427" s="180" t="n">
        <v>60</v>
      </c>
      <c r="F427" s="180" t="inlineStr">
        <is>
          <t>Single</t>
        </is>
      </c>
      <c r="G427" s="180" t="inlineStr">
        <is>
          <t>MSX 55 LVP</t>
        </is>
      </c>
      <c r="H427" s="180" t="inlineStr">
        <is>
          <t>237 X 308</t>
        </is>
      </c>
      <c r="I427" s="180" t="inlineStr">
        <is>
          <t>20 X 25</t>
        </is>
      </c>
      <c r="J427" s="180" t="n">
        <v>4</v>
      </c>
      <c r="K427" s="181" t="n"/>
      <c r="L427" s="31" t="n"/>
      <c r="M427" s="32" t="n">
        <v>1.103988603988604</v>
      </c>
      <c r="N427" s="31" t="n"/>
      <c r="O427" s="33" t="n"/>
    </row>
    <row r="428" ht="15" customHeight="1">
      <c r="A428" s="232" t="n"/>
      <c r="B428" s="232" t="n"/>
      <c r="C428" s="235" t="n"/>
      <c r="D428" s="169" t="inlineStr">
        <is>
          <t>Bottom</t>
        </is>
      </c>
      <c r="E428" s="169" t="n">
        <v>40</v>
      </c>
      <c r="F428" s="180" t="inlineStr">
        <is>
          <t>Single</t>
        </is>
      </c>
      <c r="G428" s="180" t="inlineStr">
        <is>
          <t>MSX 55 LVP</t>
        </is>
      </c>
      <c r="H428" s="180" t="inlineStr">
        <is>
          <t>237 X 308</t>
        </is>
      </c>
      <c r="I428" s="169" t="inlineStr">
        <is>
          <t>20 X 25</t>
        </is>
      </c>
      <c r="J428" s="169" t="n">
        <v>4</v>
      </c>
      <c r="K428" s="171" t="n"/>
      <c r="L428" s="14" t="n"/>
      <c r="M428" s="15" t="n">
        <v>0.6977821913273751</v>
      </c>
      <c r="N428" s="14" t="n"/>
      <c r="O428" s="16" t="n"/>
    </row>
    <row r="429" ht="15.75" customHeight="1">
      <c r="A429" s="234" t="n"/>
      <c r="B429" s="234" t="n"/>
      <c r="C429" s="175" t="inlineStr">
        <is>
          <t>SCFG</t>
        </is>
      </c>
      <c r="D429" s="166" t="inlineStr">
        <is>
          <t>-</t>
        </is>
      </c>
      <c r="E429" s="166" t="n">
        <v>15</v>
      </c>
      <c r="F429" s="166" t="inlineStr">
        <is>
          <t>H.C.</t>
        </is>
      </c>
      <c r="G429" s="166" t="inlineStr">
        <is>
          <t>Hand Cutting</t>
        </is>
      </c>
      <c r="H429" s="166" t="inlineStr">
        <is>
          <t>253 X 324</t>
        </is>
      </c>
      <c r="I429" s="166" t="inlineStr">
        <is>
          <t>27 X 54</t>
        </is>
      </c>
      <c r="J429" s="166" t="n">
        <v>10</v>
      </c>
      <c r="K429" s="176" t="n"/>
      <c r="L429" s="25" t="n"/>
      <c r="M429" s="26" t="n">
        <v>0.3381642512077295</v>
      </c>
      <c r="N429" s="25" t="n"/>
      <c r="O429" s="27" t="n"/>
    </row>
    <row r="430" ht="15" customHeight="1">
      <c r="A430" s="197" t="n">
        <v>23</v>
      </c>
      <c r="B430" s="198" t="inlineStr">
        <is>
          <t>MSX 56</t>
        </is>
      </c>
      <c r="C430" s="184" t="inlineStr">
        <is>
          <t>LVP</t>
        </is>
      </c>
      <c r="D430" s="180" t="inlineStr">
        <is>
          <t>Top</t>
        </is>
      </c>
      <c r="E430" s="180" t="n">
        <v>60</v>
      </c>
      <c r="F430" s="180" t="inlineStr">
        <is>
          <t>Single</t>
        </is>
      </c>
      <c r="G430" s="180" t="inlineStr">
        <is>
          <t>MSX 56 LVP</t>
        </is>
      </c>
      <c r="H430" s="180" t="inlineStr">
        <is>
          <t>254 X 725</t>
        </is>
      </c>
      <c r="I430" s="180" t="inlineStr">
        <is>
          <t>21 X 29</t>
        </is>
      </c>
      <c r="J430" s="180" t="n">
        <v>2</v>
      </c>
      <c r="K430" s="181" t="n"/>
      <c r="L430" s="31" t="n"/>
      <c r="M430" s="32" t="n">
        <v>1.103988603988604</v>
      </c>
      <c r="N430" s="31" t="n"/>
      <c r="O430" s="33" t="n"/>
    </row>
    <row r="431" ht="15" customHeight="1">
      <c r="A431" s="232" t="n"/>
      <c r="B431" s="232" t="n"/>
      <c r="C431" s="235" t="n"/>
      <c r="D431" s="169" t="inlineStr">
        <is>
          <t>Bottom</t>
        </is>
      </c>
      <c r="E431" s="169" t="n">
        <v>40</v>
      </c>
      <c r="F431" s="180" t="inlineStr">
        <is>
          <t>Single</t>
        </is>
      </c>
      <c r="G431" s="180" t="inlineStr">
        <is>
          <t>MSX 56 LVP</t>
        </is>
      </c>
      <c r="H431" s="180" t="inlineStr">
        <is>
          <t>254 X 725</t>
        </is>
      </c>
      <c r="I431" s="169" t="inlineStr">
        <is>
          <t>21 X 29</t>
        </is>
      </c>
      <c r="J431" s="169" t="n">
        <v>2</v>
      </c>
      <c r="K431" s="171" t="n"/>
      <c r="L431" s="14" t="n"/>
      <c r="M431" s="15" t="n">
        <v>0.6977821913273751</v>
      </c>
      <c r="N431" s="14" t="n"/>
      <c r="O431" s="16" t="n"/>
    </row>
    <row r="432" ht="15.75" customHeight="1">
      <c r="A432" s="234" t="n"/>
      <c r="B432" s="234" t="n"/>
      <c r="C432" s="175" t="inlineStr">
        <is>
          <t>SCFG</t>
        </is>
      </c>
      <c r="D432" s="166" t="inlineStr">
        <is>
          <t>-</t>
        </is>
      </c>
      <c r="E432" s="166" t="n">
        <v>15</v>
      </c>
      <c r="F432" s="166" t="inlineStr">
        <is>
          <t>H.C.</t>
        </is>
      </c>
      <c r="G432" s="166" t="inlineStr">
        <is>
          <t>Hand Cutting</t>
        </is>
      </c>
      <c r="H432" s="166" t="inlineStr">
        <is>
          <t>270 X 739</t>
        </is>
      </c>
      <c r="I432" s="166" t="inlineStr">
        <is>
          <t>57 X 60</t>
        </is>
      </c>
      <c r="J432" s="166" t="n">
        <v>10</v>
      </c>
      <c r="K432" s="176" t="n"/>
      <c r="L432" s="25" t="n"/>
      <c r="M432" s="26" t="n">
        <v>0.3381642512077295</v>
      </c>
      <c r="N432" s="25" t="n"/>
      <c r="O432" s="27" t="n"/>
    </row>
    <row r="433" ht="15" customHeight="1">
      <c r="A433" s="197" t="n">
        <v>24</v>
      </c>
      <c r="B433" s="198" t="inlineStr">
        <is>
          <t>MSX 60</t>
        </is>
      </c>
      <c r="C433" s="184" t="inlineStr">
        <is>
          <t>LVP</t>
        </is>
      </c>
      <c r="D433" s="180" t="inlineStr">
        <is>
          <t>Top</t>
        </is>
      </c>
      <c r="E433" s="180" t="n">
        <v>60</v>
      </c>
      <c r="F433" s="180" t="inlineStr">
        <is>
          <t>H.C.</t>
        </is>
      </c>
      <c r="G433" s="180" t="inlineStr">
        <is>
          <t>Hand Cutting</t>
        </is>
      </c>
      <c r="H433" s="180" t="inlineStr">
        <is>
          <t>243 X 998</t>
        </is>
      </c>
      <c r="I433" s="180" t="inlineStr">
        <is>
          <t>20 X 40</t>
        </is>
      </c>
      <c r="J433" s="180" t="n">
        <v>2</v>
      </c>
      <c r="K433" s="181" t="n"/>
      <c r="L433" s="31" t="n"/>
      <c r="M433" s="32" t="n">
        <v>1.103988603988604</v>
      </c>
      <c r="N433" s="31" t="n"/>
      <c r="O433" s="33" t="n"/>
    </row>
    <row r="434" ht="15" customHeight="1">
      <c r="A434" s="232" t="n"/>
      <c r="B434" s="232" t="n"/>
      <c r="C434" s="235" t="n"/>
      <c r="D434" s="169" t="inlineStr">
        <is>
          <t>Bottom</t>
        </is>
      </c>
      <c r="E434" s="169" t="n">
        <v>40</v>
      </c>
      <c r="F434" s="169" t="inlineStr">
        <is>
          <t>H.C.</t>
        </is>
      </c>
      <c r="G434" s="169" t="inlineStr">
        <is>
          <t>Hand Cutting</t>
        </is>
      </c>
      <c r="H434" s="180" t="inlineStr">
        <is>
          <t>243 X 998</t>
        </is>
      </c>
      <c r="I434" s="180" t="inlineStr">
        <is>
          <t>20 X 40</t>
        </is>
      </c>
      <c r="J434" s="180" t="n">
        <v>2</v>
      </c>
      <c r="K434" s="171" t="n"/>
      <c r="L434" s="14" t="n"/>
      <c r="M434" s="15" t="n">
        <v>0.6977821913273751</v>
      </c>
      <c r="N434" s="14" t="n"/>
      <c r="O434" s="16" t="n"/>
    </row>
    <row r="435" ht="15.75" customHeight="1">
      <c r="A435" s="234" t="n"/>
      <c r="B435" s="234" t="n"/>
      <c r="C435" s="175" t="inlineStr">
        <is>
          <t>SCFG</t>
        </is>
      </c>
      <c r="D435" s="166" t="inlineStr">
        <is>
          <t>-</t>
        </is>
      </c>
      <c r="E435" s="166" t="n">
        <v>15</v>
      </c>
      <c r="F435" s="166" t="inlineStr">
        <is>
          <t>H.C.</t>
        </is>
      </c>
      <c r="G435" s="166" t="inlineStr">
        <is>
          <t>Hand Cutting</t>
        </is>
      </c>
      <c r="H435" s="166" t="inlineStr">
        <is>
          <t>266 X 1015</t>
        </is>
      </c>
      <c r="I435" s="166" t="inlineStr">
        <is>
          <t>56 X 81.5</t>
        </is>
      </c>
      <c r="J435" s="166" t="n">
        <v>10</v>
      </c>
      <c r="K435" s="176" t="n"/>
      <c r="L435" s="25" t="n"/>
      <c r="M435" s="26" t="n">
        <v>0.3381642512077295</v>
      </c>
      <c r="N435" s="25" t="n"/>
      <c r="O435" s="27" t="n"/>
    </row>
    <row r="436" ht="15" customHeight="1">
      <c r="A436" s="197" t="n">
        <v>25</v>
      </c>
      <c r="B436" s="198" t="inlineStr">
        <is>
          <t>MSX 62</t>
        </is>
      </c>
      <c r="C436" s="184" t="inlineStr">
        <is>
          <t>LVP</t>
        </is>
      </c>
      <c r="D436" s="180" t="inlineStr">
        <is>
          <t>Top</t>
        </is>
      </c>
      <c r="E436" s="180" t="n">
        <v>60</v>
      </c>
      <c r="F436" s="180" t="inlineStr">
        <is>
          <t>H.C.</t>
        </is>
      </c>
      <c r="G436" s="180" t="inlineStr">
        <is>
          <t>Hand Cutting</t>
        </is>
      </c>
      <c r="H436" s="180" t="inlineStr">
        <is>
          <t>302 X 1027</t>
        </is>
      </c>
      <c r="I436" s="180" t="inlineStr">
        <is>
          <t>25 X 41</t>
        </is>
      </c>
      <c r="J436" s="180" t="n">
        <v>2</v>
      </c>
      <c r="K436" s="181" t="n"/>
      <c r="L436" s="31" t="n"/>
      <c r="M436" s="32" t="n">
        <v>1.103988603988604</v>
      </c>
      <c r="N436" s="31" t="n"/>
      <c r="O436" s="33" t="n"/>
    </row>
    <row r="437" ht="15" customHeight="1">
      <c r="A437" s="232" t="n"/>
      <c r="B437" s="232" t="n"/>
      <c r="C437" s="235" t="n"/>
      <c r="D437" s="169" t="inlineStr">
        <is>
          <t>Bottom</t>
        </is>
      </c>
      <c r="E437" s="169" t="n">
        <v>40</v>
      </c>
      <c r="F437" s="169" t="inlineStr">
        <is>
          <t>H.C.</t>
        </is>
      </c>
      <c r="G437" s="169" t="inlineStr">
        <is>
          <t>Hand Cutting</t>
        </is>
      </c>
      <c r="H437" s="180" t="inlineStr">
        <is>
          <t>302 X 1027</t>
        </is>
      </c>
      <c r="I437" s="180" t="inlineStr">
        <is>
          <t>25 X 41</t>
        </is>
      </c>
      <c r="J437" s="180" t="n">
        <v>2</v>
      </c>
      <c r="K437" s="171" t="n"/>
      <c r="L437" s="14" t="n"/>
      <c r="M437" s="15" t="n">
        <v>0.6977821913273751</v>
      </c>
      <c r="N437" s="14" t="n"/>
      <c r="O437" s="16" t="n"/>
    </row>
    <row r="438" ht="15.75" customHeight="1">
      <c r="A438" s="234" t="n"/>
      <c r="B438" s="234" t="n"/>
      <c r="C438" s="175" t="inlineStr">
        <is>
          <t>SCFG</t>
        </is>
      </c>
      <c r="D438" s="166" t="inlineStr">
        <is>
          <t>-</t>
        </is>
      </c>
      <c r="E438" s="166" t="n">
        <v>15</v>
      </c>
      <c r="F438" s="166" t="inlineStr">
        <is>
          <t>H.C.</t>
        </is>
      </c>
      <c r="G438" s="166" t="inlineStr">
        <is>
          <t>Hand Cutting</t>
        </is>
      </c>
      <c r="H438" s="166" t="inlineStr">
        <is>
          <t>322 X 1047</t>
        </is>
      </c>
      <c r="I438" s="166" t="inlineStr">
        <is>
          <t>67 X 84</t>
        </is>
      </c>
      <c r="J438" s="166" t="n">
        <v>10</v>
      </c>
      <c r="K438" s="176" t="n"/>
      <c r="L438" s="25" t="n"/>
      <c r="M438" s="26" t="n">
        <v>0.3381642512077295</v>
      </c>
      <c r="N438" s="25" t="n"/>
      <c r="O438" s="27" t="n"/>
    </row>
    <row r="439" ht="15" customHeight="1">
      <c r="A439" s="197" t="n">
        <v>26</v>
      </c>
      <c r="B439" s="198" t="inlineStr">
        <is>
          <t>MSX 65</t>
        </is>
      </c>
      <c r="C439" s="184" t="inlineStr">
        <is>
          <t>LVP</t>
        </is>
      </c>
      <c r="D439" s="180" t="inlineStr">
        <is>
          <t>Top</t>
        </is>
      </c>
      <c r="E439" s="180" t="n">
        <v>60</v>
      </c>
      <c r="F439" s="180" t="inlineStr">
        <is>
          <t>Single</t>
        </is>
      </c>
      <c r="G439" s="180" t="inlineStr">
        <is>
          <t>MSX 65 LVP</t>
        </is>
      </c>
      <c r="H439" s="180" t="inlineStr">
        <is>
          <t>307 X 398</t>
        </is>
      </c>
      <c r="I439" s="180" t="inlineStr">
        <is>
          <t>16 X 25</t>
        </is>
      </c>
      <c r="J439" s="180" t="n">
        <v>2</v>
      </c>
      <c r="K439" s="181" t="n"/>
      <c r="L439" s="31" t="n"/>
      <c r="M439" s="32" t="n">
        <v>1.103988603988604</v>
      </c>
      <c r="N439" s="31" t="n"/>
      <c r="O439" s="33" t="n"/>
    </row>
    <row r="440" ht="15" customHeight="1">
      <c r="A440" s="232" t="n"/>
      <c r="B440" s="232" t="n"/>
      <c r="C440" s="235" t="n"/>
      <c r="D440" s="169" t="inlineStr">
        <is>
          <t>Bottom</t>
        </is>
      </c>
      <c r="E440" s="169" t="n">
        <v>40</v>
      </c>
      <c r="F440" s="180" t="inlineStr">
        <is>
          <t>Single</t>
        </is>
      </c>
      <c r="G440" s="180" t="inlineStr">
        <is>
          <t>MSX 65 LVP</t>
        </is>
      </c>
      <c r="H440" s="180" t="inlineStr">
        <is>
          <t>307 X 398</t>
        </is>
      </c>
      <c r="I440" s="169" t="inlineStr">
        <is>
          <t>16 X 25</t>
        </is>
      </c>
      <c r="J440" s="169" t="n">
        <v>2</v>
      </c>
      <c r="K440" s="171" t="n"/>
      <c r="L440" s="14" t="n"/>
      <c r="M440" s="15" t="n">
        <v>0.6977821913273751</v>
      </c>
      <c r="N440" s="14" t="n"/>
      <c r="O440" s="16" t="n"/>
    </row>
    <row r="441" ht="15.75" customHeight="1">
      <c r="A441" s="234" t="n"/>
      <c r="B441" s="234" t="n"/>
      <c r="C441" s="175" t="inlineStr">
        <is>
          <t>SCFG</t>
        </is>
      </c>
      <c r="D441" s="166" t="inlineStr">
        <is>
          <t>-</t>
        </is>
      </c>
      <c r="E441" s="166" t="n">
        <v>15</v>
      </c>
      <c r="F441" s="166" t="inlineStr">
        <is>
          <t>H.C.</t>
        </is>
      </c>
      <c r="G441" s="166" t="inlineStr">
        <is>
          <t>Hand Cutting</t>
        </is>
      </c>
      <c r="H441" s="166" t="inlineStr">
        <is>
          <t>418 X 328</t>
        </is>
      </c>
      <c r="I441" s="166" t="inlineStr">
        <is>
          <t>27 X 86</t>
        </is>
      </c>
      <c r="J441" s="166" t="n">
        <v>10</v>
      </c>
      <c r="K441" s="176" t="n"/>
      <c r="L441" s="25" t="n"/>
      <c r="M441" s="26" t="n">
        <v>0.3381642512077295</v>
      </c>
      <c r="N441" s="25" t="n"/>
      <c r="O441" s="27" t="n"/>
    </row>
    <row r="442" ht="15" customHeight="1">
      <c r="A442" s="197" t="n">
        <v>27</v>
      </c>
      <c r="B442" s="198" t="inlineStr">
        <is>
          <t>MSX 68</t>
        </is>
      </c>
      <c r="C442" s="184" t="inlineStr">
        <is>
          <t>LVP</t>
        </is>
      </c>
      <c r="D442" s="180" t="inlineStr">
        <is>
          <t>Top</t>
        </is>
      </c>
      <c r="E442" s="180" t="n">
        <v>60</v>
      </c>
      <c r="F442" s="180" t="inlineStr">
        <is>
          <t>H.C.</t>
        </is>
      </c>
      <c r="G442" s="180" t="inlineStr">
        <is>
          <t>Hand Cutting</t>
        </is>
      </c>
      <c r="H442" s="180" t="inlineStr">
        <is>
          <t>327 X 732</t>
        </is>
      </c>
      <c r="I442" s="180" t="inlineStr">
        <is>
          <t>27 X 29</t>
        </is>
      </c>
      <c r="J442" s="180" t="n">
        <v>2</v>
      </c>
      <c r="K442" s="181" t="n"/>
      <c r="L442" s="31" t="n"/>
      <c r="M442" s="32" t="n">
        <v>1.103988603988604</v>
      </c>
      <c r="N442" s="31" t="n"/>
      <c r="O442" s="33" t="n"/>
    </row>
    <row r="443" ht="15" customHeight="1">
      <c r="A443" s="232" t="n"/>
      <c r="B443" s="232" t="n"/>
      <c r="C443" s="235" t="n"/>
      <c r="D443" s="169" t="inlineStr">
        <is>
          <t>Bottom</t>
        </is>
      </c>
      <c r="E443" s="169" t="n">
        <v>40</v>
      </c>
      <c r="F443" s="180" t="inlineStr">
        <is>
          <t>H.C.</t>
        </is>
      </c>
      <c r="G443" s="169" t="inlineStr">
        <is>
          <t>Hand Cutting</t>
        </is>
      </c>
      <c r="H443" s="180" t="inlineStr">
        <is>
          <t>327 X 732</t>
        </is>
      </c>
      <c r="I443" s="180" t="inlineStr">
        <is>
          <t>27 X 29</t>
        </is>
      </c>
      <c r="J443" s="180" t="n">
        <v>2</v>
      </c>
      <c r="K443" s="171" t="n"/>
      <c r="L443" s="14" t="n"/>
      <c r="M443" s="15" t="n">
        <v>0.6977821913273751</v>
      </c>
      <c r="N443" s="14" t="n"/>
      <c r="O443" s="16" t="n"/>
    </row>
    <row r="444" ht="15.75" customHeight="1">
      <c r="A444" s="234" t="n"/>
      <c r="B444" s="234" t="n"/>
      <c r="C444" s="175" t="inlineStr">
        <is>
          <t>SCFG</t>
        </is>
      </c>
      <c r="D444" s="166" t="inlineStr">
        <is>
          <t>-</t>
        </is>
      </c>
      <c r="E444" s="166" t="n">
        <v>15</v>
      </c>
      <c r="F444" s="166" t="inlineStr">
        <is>
          <t>H.C.</t>
        </is>
      </c>
      <c r="G444" s="166" t="inlineStr">
        <is>
          <t>Hand Cutting</t>
        </is>
      </c>
      <c r="H444" s="166" t="inlineStr">
        <is>
          <t>343 X 753</t>
        </is>
      </c>
      <c r="I444" s="166" t="inlineStr">
        <is>
          <t>61 X 71.5</t>
        </is>
      </c>
      <c r="J444" s="166" t="n">
        <v>10</v>
      </c>
      <c r="K444" s="176" t="n"/>
      <c r="L444" s="25" t="n"/>
      <c r="M444" s="26" t="n">
        <v>0.3381642512077295</v>
      </c>
      <c r="N444" s="25" t="n"/>
      <c r="O444" s="27" t="n"/>
    </row>
    <row r="445" ht="15" customHeight="1">
      <c r="A445" s="197" t="n">
        <v>28</v>
      </c>
      <c r="B445" s="198" t="inlineStr">
        <is>
          <t>MSX 75</t>
        </is>
      </c>
      <c r="C445" s="184" t="inlineStr">
        <is>
          <t>LVP</t>
        </is>
      </c>
      <c r="D445" s="180" t="inlineStr">
        <is>
          <t>Top</t>
        </is>
      </c>
      <c r="E445" s="180" t="n">
        <v>60</v>
      </c>
      <c r="F445" s="180" t="inlineStr">
        <is>
          <t>Single</t>
        </is>
      </c>
      <c r="G445" s="180" t="inlineStr">
        <is>
          <t>MSX 75 LVP</t>
        </is>
      </c>
      <c r="H445" s="180" t="inlineStr">
        <is>
          <t>427 X 508</t>
        </is>
      </c>
      <c r="I445" s="180" t="inlineStr">
        <is>
          <t>20.5 X 34.5</t>
        </is>
      </c>
      <c r="J445" s="180" t="n">
        <v>2</v>
      </c>
      <c r="K445" s="181" t="n"/>
      <c r="L445" s="31" t="n"/>
      <c r="M445" s="32" t="n">
        <v>1.103988603988604</v>
      </c>
      <c r="N445" s="31" t="n"/>
      <c r="O445" s="33" t="n"/>
    </row>
    <row r="446" ht="15" customHeight="1">
      <c r="A446" s="232" t="n"/>
      <c r="B446" s="232" t="n"/>
      <c r="C446" s="235" t="n"/>
      <c r="D446" s="169" t="inlineStr">
        <is>
          <t>Bottom</t>
        </is>
      </c>
      <c r="E446" s="169" t="n">
        <v>40</v>
      </c>
      <c r="F446" s="180" t="inlineStr">
        <is>
          <t>Single</t>
        </is>
      </c>
      <c r="G446" s="180" t="inlineStr">
        <is>
          <t>MSX 75 LVP</t>
        </is>
      </c>
      <c r="H446" s="180" t="inlineStr">
        <is>
          <t>427 X 508</t>
        </is>
      </c>
      <c r="I446" s="169" t="inlineStr">
        <is>
          <t>20.5 X 34.5</t>
        </is>
      </c>
      <c r="J446" s="169" t="n">
        <v>2</v>
      </c>
      <c r="K446" s="171" t="n"/>
      <c r="L446" s="14" t="n"/>
      <c r="M446" s="15" t="n">
        <v>0.6977821913273751</v>
      </c>
      <c r="N446" s="14" t="n"/>
      <c r="O446" s="16" t="n"/>
    </row>
    <row r="447" ht="15.75" customHeight="1">
      <c r="A447" s="234" t="n"/>
      <c r="B447" s="234" t="n"/>
      <c r="C447" s="175" t="inlineStr">
        <is>
          <t>SCFG</t>
        </is>
      </c>
      <c r="D447" s="166" t="inlineStr">
        <is>
          <t>-</t>
        </is>
      </c>
      <c r="E447" s="166" t="n">
        <v>15</v>
      </c>
      <c r="F447" s="166" t="inlineStr">
        <is>
          <t>H.C.</t>
        </is>
      </c>
      <c r="G447" s="166" t="inlineStr">
        <is>
          <t>Hand Cutting</t>
        </is>
      </c>
      <c r="H447" s="166" t="inlineStr">
        <is>
          <t>443 X 524</t>
        </is>
      </c>
      <c r="I447" s="166" t="inlineStr">
        <is>
          <t>43 X 91</t>
        </is>
      </c>
      <c r="J447" s="166" t="n">
        <v>10</v>
      </c>
      <c r="K447" s="176" t="n"/>
      <c r="L447" s="25" t="n"/>
      <c r="M447" s="26" t="n">
        <v>0.3381642512077295</v>
      </c>
      <c r="N447" s="25" t="n"/>
      <c r="O447" s="27" t="n"/>
    </row>
    <row r="448" ht="15" customHeight="1">
      <c r="A448" s="197" t="n">
        <v>29</v>
      </c>
      <c r="B448" s="198" t="inlineStr">
        <is>
          <t>MSX 80</t>
        </is>
      </c>
      <c r="C448" s="184" t="inlineStr">
        <is>
          <t>LVP</t>
        </is>
      </c>
      <c r="D448" s="180" t="inlineStr">
        <is>
          <t>Top</t>
        </is>
      </c>
      <c r="E448" s="180" t="n">
        <v>60</v>
      </c>
      <c r="F448" s="180" t="inlineStr">
        <is>
          <t>Single</t>
        </is>
      </c>
      <c r="G448" s="180" t="inlineStr">
        <is>
          <t>MSX 80 LVP</t>
        </is>
      </c>
      <c r="H448" s="180" t="inlineStr">
        <is>
          <t>127 X 192</t>
        </is>
      </c>
      <c r="I448" s="180" t="inlineStr">
        <is>
          <t>22 X 24</t>
        </is>
      </c>
      <c r="J448" s="180" t="n">
        <v>9</v>
      </c>
      <c r="K448" s="181" t="n"/>
      <c r="L448" s="31" t="n"/>
      <c r="M448" s="32" t="n">
        <v>1.103988603988604</v>
      </c>
      <c r="N448" s="31" t="n"/>
      <c r="O448" s="33" t="n"/>
    </row>
    <row r="449" ht="15" customHeight="1">
      <c r="A449" s="232" t="n"/>
      <c r="B449" s="232" t="n"/>
      <c r="C449" s="235" t="n"/>
      <c r="D449" s="169" t="inlineStr">
        <is>
          <t>Bottom</t>
        </is>
      </c>
      <c r="E449" s="169" t="n">
        <v>40</v>
      </c>
      <c r="F449" s="180" t="inlineStr">
        <is>
          <t>Single</t>
        </is>
      </c>
      <c r="G449" s="180" t="inlineStr">
        <is>
          <t>MSX 80 LVP</t>
        </is>
      </c>
      <c r="H449" s="180" t="inlineStr">
        <is>
          <t>127 X 192</t>
        </is>
      </c>
      <c r="I449" s="169" t="inlineStr">
        <is>
          <t>22 X 24</t>
        </is>
      </c>
      <c r="J449" s="169" t="n">
        <v>9</v>
      </c>
      <c r="K449" s="171" t="n"/>
      <c r="L449" s="14" t="n"/>
      <c r="M449" s="15" t="n">
        <v>0.6977821913273751</v>
      </c>
      <c r="N449" s="14" t="n"/>
      <c r="O449" s="16" t="n"/>
    </row>
    <row r="450" ht="15.75" customHeight="1">
      <c r="A450" s="234" t="n"/>
      <c r="B450" s="234" t="n"/>
      <c r="C450" s="175" t="inlineStr">
        <is>
          <t>SCFG</t>
        </is>
      </c>
      <c r="D450" s="166" t="inlineStr">
        <is>
          <t>-</t>
        </is>
      </c>
      <c r="E450" s="166" t="n">
        <v>15</v>
      </c>
      <c r="F450" s="180" t="inlineStr">
        <is>
          <t>Single</t>
        </is>
      </c>
      <c r="G450" s="166" t="inlineStr">
        <is>
          <t>MSX 80 SCFG</t>
        </is>
      </c>
      <c r="H450" s="166" t="inlineStr">
        <is>
          <t>147 X 211</t>
        </is>
      </c>
      <c r="I450" s="166" t="inlineStr">
        <is>
          <t>18 X 33</t>
        </is>
      </c>
      <c r="J450" s="166" t="n">
        <v>10</v>
      </c>
      <c r="K450" s="176" t="n"/>
      <c r="L450" s="25" t="n"/>
      <c r="M450" s="26" t="n">
        <v>0.3381642512077295</v>
      </c>
      <c r="N450" s="25" t="n"/>
      <c r="O450" s="27" t="n"/>
    </row>
    <row r="451" ht="15" customHeight="1">
      <c r="A451" s="197" t="n">
        <v>30</v>
      </c>
      <c r="B451" s="198" t="inlineStr">
        <is>
          <t>MSX 82</t>
        </is>
      </c>
      <c r="C451" s="184" t="inlineStr">
        <is>
          <t>LVP</t>
        </is>
      </c>
      <c r="D451" s="180" t="inlineStr">
        <is>
          <t>Top</t>
        </is>
      </c>
      <c r="E451" s="180" t="n">
        <v>60</v>
      </c>
      <c r="F451" s="180" t="inlineStr">
        <is>
          <t>Single</t>
        </is>
      </c>
      <c r="G451" s="180" t="inlineStr">
        <is>
          <t>MSX 82 LVP</t>
        </is>
      </c>
      <c r="H451" s="180" t="inlineStr">
        <is>
          <t>178 X 254</t>
        </is>
      </c>
      <c r="I451" s="180" t="inlineStr">
        <is>
          <t>21 X 23</t>
        </is>
      </c>
      <c r="J451" s="180" t="n">
        <v>6</v>
      </c>
      <c r="K451" s="181" t="n"/>
      <c r="L451" s="31" t="n"/>
      <c r="M451" s="32" t="n">
        <v>1.103988603988604</v>
      </c>
      <c r="N451" s="31" t="n"/>
      <c r="O451" s="33" t="n"/>
    </row>
    <row r="452" ht="15" customHeight="1">
      <c r="A452" s="232" t="n"/>
      <c r="B452" s="232" t="n"/>
      <c r="C452" s="235" t="n"/>
      <c r="D452" s="169" t="inlineStr">
        <is>
          <t>Bottom</t>
        </is>
      </c>
      <c r="E452" s="169" t="n">
        <v>40</v>
      </c>
      <c r="F452" s="180" t="inlineStr">
        <is>
          <t>Single</t>
        </is>
      </c>
      <c r="G452" s="180" t="inlineStr">
        <is>
          <t>MSX 82 LVP</t>
        </is>
      </c>
      <c r="H452" s="180" t="inlineStr">
        <is>
          <t>178 X 254</t>
        </is>
      </c>
      <c r="I452" s="169" t="inlineStr">
        <is>
          <t>21 X 23</t>
        </is>
      </c>
      <c r="J452" s="169" t="n">
        <v>6</v>
      </c>
      <c r="K452" s="171" t="n"/>
      <c r="L452" s="14" t="n"/>
      <c r="M452" s="15" t="n">
        <v>0.6977821913273751</v>
      </c>
      <c r="N452" s="14" t="n"/>
      <c r="O452" s="16" t="n"/>
    </row>
    <row r="453" ht="15.75" customHeight="1">
      <c r="A453" s="234" t="n"/>
      <c r="B453" s="234" t="n"/>
      <c r="C453" s="175" t="inlineStr">
        <is>
          <t>SCFG</t>
        </is>
      </c>
      <c r="D453" s="166" t="inlineStr">
        <is>
          <t>-</t>
        </is>
      </c>
      <c r="E453" s="166" t="n">
        <v>15</v>
      </c>
      <c r="F453" s="166" t="inlineStr">
        <is>
          <t>Single</t>
        </is>
      </c>
      <c r="G453" s="166" t="inlineStr">
        <is>
          <t>MSX 82 SCFG</t>
        </is>
      </c>
      <c r="H453" s="166" t="inlineStr">
        <is>
          <t>198 X 275</t>
        </is>
      </c>
      <c r="I453" s="166" t="inlineStr">
        <is>
          <t>23 X 43</t>
        </is>
      </c>
      <c r="J453" s="166" t="n">
        <v>10</v>
      </c>
      <c r="K453" s="176" t="n"/>
      <c r="L453" s="25" t="n"/>
      <c r="M453" s="26" t="n">
        <v>0.3381642512077295</v>
      </c>
      <c r="N453" s="25" t="n"/>
      <c r="O453" s="27" t="n"/>
    </row>
    <row r="454" ht="15" customHeight="1">
      <c r="A454" s="197" t="n">
        <v>31</v>
      </c>
      <c r="B454" s="198" t="inlineStr">
        <is>
          <t>MSX 84</t>
        </is>
      </c>
      <c r="C454" s="184" t="inlineStr">
        <is>
          <t>LVP</t>
        </is>
      </c>
      <c r="D454" s="180" t="inlineStr">
        <is>
          <t>Top</t>
        </is>
      </c>
      <c r="E454" s="180" t="n">
        <v>60</v>
      </c>
      <c r="F454" s="180" t="inlineStr">
        <is>
          <t>Single</t>
        </is>
      </c>
      <c r="G454" s="180" t="inlineStr">
        <is>
          <t>MCX 84 LVP</t>
        </is>
      </c>
      <c r="H454" s="180" t="inlineStr">
        <is>
          <t>204 X 273</t>
        </is>
      </c>
      <c r="I454" s="180" t="inlineStr">
        <is>
          <t>17 X 23</t>
        </is>
      </c>
      <c r="J454" s="180" t="n">
        <v>4</v>
      </c>
      <c r="K454" s="181" t="n"/>
      <c r="L454" s="31" t="n"/>
      <c r="M454" s="32" t="n">
        <v>1.103988603988604</v>
      </c>
      <c r="N454" s="31" t="n"/>
      <c r="O454" s="33" t="n"/>
    </row>
    <row r="455" ht="15" customHeight="1">
      <c r="A455" s="232" t="n"/>
      <c r="B455" s="232" t="n"/>
      <c r="C455" s="235" t="n"/>
      <c r="D455" s="169" t="inlineStr">
        <is>
          <t>Bottom</t>
        </is>
      </c>
      <c r="E455" s="169" t="n">
        <v>40</v>
      </c>
      <c r="F455" s="180" t="inlineStr">
        <is>
          <t>Single</t>
        </is>
      </c>
      <c r="G455" s="169" t="inlineStr">
        <is>
          <t>MCX 84 LVP</t>
        </is>
      </c>
      <c r="H455" s="169" t="inlineStr">
        <is>
          <t>204 X 273</t>
        </is>
      </c>
      <c r="I455" s="169" t="inlineStr">
        <is>
          <t>17 X 23</t>
        </is>
      </c>
      <c r="J455" s="169" t="n">
        <v>4</v>
      </c>
      <c r="K455" s="171" t="n"/>
      <c r="L455" s="14" t="n"/>
      <c r="M455" s="15" t="n">
        <v>0.6977821913273751</v>
      </c>
      <c r="N455" s="14" t="n"/>
      <c r="O455" s="16" t="n"/>
    </row>
    <row r="456" ht="15.75" customHeight="1">
      <c r="A456" s="234" t="n"/>
      <c r="B456" s="234" t="n"/>
      <c r="C456" s="175" t="inlineStr">
        <is>
          <t>SCFG</t>
        </is>
      </c>
      <c r="D456" s="166" t="inlineStr">
        <is>
          <t>-</t>
        </is>
      </c>
      <c r="E456" s="166" t="n">
        <v>15</v>
      </c>
      <c r="F456" s="166" t="inlineStr">
        <is>
          <t>Single</t>
        </is>
      </c>
      <c r="G456" s="166" t="inlineStr">
        <is>
          <t>MSX 84 SCFG</t>
        </is>
      </c>
      <c r="H456" s="166" t="inlineStr">
        <is>
          <t>223 X 294</t>
        </is>
      </c>
      <c r="I456" s="166" t="inlineStr">
        <is>
          <t>25 X 48</t>
        </is>
      </c>
      <c r="J456" s="166" t="n">
        <v>10</v>
      </c>
      <c r="K456" s="176" t="n"/>
      <c r="L456" s="25" t="n"/>
      <c r="M456" s="26" t="n">
        <v>0.3381642512077295</v>
      </c>
      <c r="N456" s="25" t="n"/>
      <c r="O456" s="27" t="n"/>
    </row>
    <row r="457" ht="15" customHeight="1">
      <c r="A457" s="197" t="n">
        <v>32</v>
      </c>
      <c r="B457" s="198" t="inlineStr">
        <is>
          <t>MSX 86</t>
        </is>
      </c>
      <c r="C457" s="184" t="inlineStr">
        <is>
          <t>LVP</t>
        </is>
      </c>
      <c r="D457" s="180" t="inlineStr">
        <is>
          <t>Top</t>
        </is>
      </c>
      <c r="E457" s="180" t="n">
        <v>60</v>
      </c>
      <c r="F457" s="180" t="inlineStr">
        <is>
          <t>Single</t>
        </is>
      </c>
      <c r="G457" s="180" t="inlineStr">
        <is>
          <t>MCX 86 LVP</t>
        </is>
      </c>
      <c r="H457" s="180" t="inlineStr">
        <is>
          <t>235 X 330</t>
        </is>
      </c>
      <c r="I457" s="180" t="inlineStr">
        <is>
          <t>14 X 20</t>
        </is>
      </c>
      <c r="J457" s="180" t="n">
        <v>2</v>
      </c>
      <c r="K457" s="181" t="n"/>
      <c r="L457" s="31" t="n"/>
      <c r="M457" s="32" t="n">
        <v>1.103988603988604</v>
      </c>
      <c r="N457" s="31" t="n"/>
      <c r="O457" s="33" t="n"/>
    </row>
    <row r="458" ht="15" customHeight="1">
      <c r="A458" s="232" t="n"/>
      <c r="B458" s="232" t="n"/>
      <c r="C458" s="235" t="n"/>
      <c r="D458" s="169" t="inlineStr">
        <is>
          <t>Bottom</t>
        </is>
      </c>
      <c r="E458" s="169" t="n">
        <v>40</v>
      </c>
      <c r="F458" s="180" t="inlineStr">
        <is>
          <t>Single</t>
        </is>
      </c>
      <c r="G458" s="169" t="inlineStr">
        <is>
          <t>MCX 86 LVP</t>
        </is>
      </c>
      <c r="H458" s="169" t="inlineStr">
        <is>
          <t>235 X 330</t>
        </is>
      </c>
      <c r="I458" s="169" t="inlineStr">
        <is>
          <t>14 X 20</t>
        </is>
      </c>
      <c r="J458" s="169" t="n">
        <v>2</v>
      </c>
      <c r="K458" s="171" t="n"/>
      <c r="L458" s="14" t="n"/>
      <c r="M458" s="15" t="n">
        <v>0.6977821913273751</v>
      </c>
      <c r="N458" s="14" t="n"/>
      <c r="O458" s="16" t="n"/>
    </row>
    <row r="459" ht="15.75" customHeight="1">
      <c r="A459" s="234" t="n"/>
      <c r="B459" s="234" t="n"/>
      <c r="C459" s="175" t="inlineStr">
        <is>
          <t>SCFG</t>
        </is>
      </c>
      <c r="D459" s="166" t="inlineStr">
        <is>
          <t>-</t>
        </is>
      </c>
      <c r="E459" s="166" t="n">
        <v>15</v>
      </c>
      <c r="F459" s="166" t="inlineStr">
        <is>
          <t>Single</t>
        </is>
      </c>
      <c r="G459" s="166" t="inlineStr">
        <is>
          <t>MSX 86 SCFG</t>
        </is>
      </c>
      <c r="H459" s="166" t="inlineStr">
        <is>
          <t>255 X 351</t>
        </is>
      </c>
      <c r="I459" s="166" t="inlineStr">
        <is>
          <t>29 X 54</t>
        </is>
      </c>
      <c r="J459" s="166" t="n">
        <v>10</v>
      </c>
      <c r="K459" s="176" t="n"/>
      <c r="L459" s="25" t="n"/>
      <c r="M459" s="26" t="n">
        <v>0.3381642512077295</v>
      </c>
      <c r="N459" s="25" t="n"/>
      <c r="O459" s="27" t="n"/>
    </row>
    <row r="460">
      <c r="A460" s="188" t="n"/>
      <c r="B460" s="236" t="n"/>
      <c r="C460" s="236" t="n"/>
      <c r="D460" s="236" t="n"/>
      <c r="E460" s="236" t="n"/>
      <c r="F460" s="236" t="n"/>
      <c r="G460" s="236" t="n"/>
      <c r="H460" s="236" t="n"/>
      <c r="I460" s="236" t="n"/>
      <c r="J460" s="236" t="n"/>
      <c r="K460" s="236" t="n"/>
      <c r="L460" s="236" t="n"/>
      <c r="M460" s="236" t="n"/>
      <c r="N460" s="236" t="n"/>
      <c r="O460" s="237" t="n"/>
    </row>
    <row r="461">
      <c r="A461" s="238" t="n"/>
      <c r="O461" s="239" t="n"/>
    </row>
    <row r="462" ht="13.5" customHeight="1">
      <c r="A462" s="240" t="n"/>
      <c r="B462" s="241" t="n"/>
      <c r="C462" s="241" t="n"/>
      <c r="D462" s="241" t="n"/>
      <c r="E462" s="241" t="n"/>
      <c r="F462" s="241" t="n"/>
      <c r="G462" s="241" t="n"/>
      <c r="H462" s="241" t="n"/>
      <c r="I462" s="241" t="n"/>
      <c r="J462" s="241" t="n"/>
      <c r="K462" s="241" t="n"/>
      <c r="L462" s="241" t="n"/>
      <c r="M462" s="241" t="n"/>
      <c r="N462" s="241" t="n"/>
      <c r="O462" s="242" t="n"/>
    </row>
    <row r="463" ht="15" customHeight="1">
      <c r="A463" s="218" t="n"/>
      <c r="B463" s="219" t="n"/>
      <c r="C463" s="219" t="n"/>
      <c r="D463" s="219" t="n"/>
      <c r="E463" s="219" t="n"/>
      <c r="F463" s="219" t="n"/>
      <c r="G463" s="219" t="n"/>
      <c r="H463" s="219" t="n"/>
      <c r="I463" s="219" t="n"/>
      <c r="J463" s="219" t="n"/>
      <c r="K463" s="219" t="n"/>
      <c r="L463" s="219" t="n"/>
      <c r="M463" s="219" t="n"/>
      <c r="N463" s="219" t="n"/>
      <c r="O463" s="220" t="n"/>
    </row>
    <row r="464" ht="15" customHeight="1">
      <c r="A464" s="197" t="n">
        <v>1</v>
      </c>
      <c r="B464" s="198" t="inlineStr">
        <is>
          <t>Kwik 0</t>
        </is>
      </c>
      <c r="C464" s="221" t="inlineStr">
        <is>
          <t>Fabric</t>
        </is>
      </c>
      <c r="D464" s="180" t="n"/>
      <c r="E464" s="180" t="n"/>
      <c r="F464" s="180" t="n"/>
      <c r="G464" s="180" t="n"/>
      <c r="H464" s="180" t="n"/>
      <c r="I464" s="180" t="n"/>
      <c r="J464" s="180" t="n"/>
      <c r="K464" s="181" t="n"/>
      <c r="L464" s="31" t="n"/>
      <c r="M464" s="32" t="e">
        <v>#N/A</v>
      </c>
      <c r="N464" s="31" t="n"/>
      <c r="O464" s="33" t="n"/>
    </row>
    <row r="465" ht="15.75" customHeight="1">
      <c r="A465" s="234" t="n"/>
      <c r="B465" s="234" t="n"/>
      <c r="C465" s="175" t="inlineStr">
        <is>
          <t>SCFG</t>
        </is>
      </c>
      <c r="D465" s="166" t="inlineStr">
        <is>
          <t>-</t>
        </is>
      </c>
      <c r="E465" s="166" t="n">
        <v>15</v>
      </c>
      <c r="F465" s="166" t="inlineStr">
        <is>
          <t>Single</t>
        </is>
      </c>
      <c r="G465" s="166" t="inlineStr">
        <is>
          <t>KWIK 0 SCFG</t>
        </is>
      </c>
      <c r="H465" s="166" t="n">
        <v>60</v>
      </c>
      <c r="I465" s="166" t="inlineStr">
        <is>
          <t>22 X 22</t>
        </is>
      </c>
      <c r="J465" s="166" t="n">
        <v>49</v>
      </c>
      <c r="K465" s="176" t="n"/>
      <c r="L465" s="25" t="n"/>
      <c r="M465" s="26" t="n">
        <v>0.3381642512077295</v>
      </c>
      <c r="N465" s="25" t="n"/>
      <c r="O465" s="27" t="n"/>
    </row>
    <row r="466" ht="15" customHeight="1">
      <c r="A466" s="197" t="n">
        <v>2</v>
      </c>
      <c r="B466" s="198" t="inlineStr">
        <is>
          <t>Kwik 1</t>
        </is>
      </c>
      <c r="C466" s="221" t="inlineStr">
        <is>
          <t>Fabric</t>
        </is>
      </c>
      <c r="D466" s="180" t="n"/>
      <c r="E466" s="180" t="n"/>
      <c r="F466" s="180" t="n"/>
      <c r="G466" s="180" t="n"/>
      <c r="H466" s="180" t="n"/>
      <c r="I466" s="180" t="n"/>
      <c r="J466" s="180" t="n"/>
      <c r="K466" s="181" t="n"/>
      <c r="L466" s="31" t="n"/>
      <c r="M466" s="32" t="e">
        <v>#N/A</v>
      </c>
      <c r="N466" s="31" t="n"/>
      <c r="O466" s="33" t="n"/>
    </row>
    <row r="467" ht="15.75" customHeight="1">
      <c r="A467" s="234" t="n"/>
      <c r="B467" s="234" t="n"/>
      <c r="C467" s="175" t="inlineStr">
        <is>
          <t>SCFG</t>
        </is>
      </c>
      <c r="D467" s="166" t="inlineStr">
        <is>
          <t>-</t>
        </is>
      </c>
      <c r="E467" s="166" t="n">
        <v>15</v>
      </c>
      <c r="F467" s="166" t="inlineStr">
        <is>
          <t>Single</t>
        </is>
      </c>
      <c r="G467" s="166" t="inlineStr">
        <is>
          <t>KWIK 1 SCFG</t>
        </is>
      </c>
      <c r="H467" s="166" t="n">
        <v>75</v>
      </c>
      <c r="I467" s="166" t="inlineStr">
        <is>
          <t>22.5 X 22.5</t>
        </is>
      </c>
      <c r="J467" s="166" t="n">
        <v>36</v>
      </c>
      <c r="K467" s="176" t="n"/>
      <c r="L467" s="25" t="n"/>
      <c r="M467" s="26" t="n">
        <v>0.3381642512077295</v>
      </c>
      <c r="N467" s="25" t="n"/>
      <c r="O467" s="27" t="n"/>
    </row>
    <row r="468" ht="15" customHeight="1">
      <c r="A468" s="197" t="n">
        <v>3</v>
      </c>
      <c r="B468" s="198" t="inlineStr">
        <is>
          <t>Kwik 2</t>
        </is>
      </c>
      <c r="C468" s="184" t="inlineStr">
        <is>
          <t>LVP</t>
        </is>
      </c>
      <c r="D468" s="180" t="inlineStr">
        <is>
          <t>Top</t>
        </is>
      </c>
      <c r="E468" s="180" t="n">
        <v>75</v>
      </c>
      <c r="F468" s="180" t="inlineStr">
        <is>
          <t>Passing</t>
        </is>
      </c>
      <c r="G468" s="180" t="inlineStr">
        <is>
          <t>KWIK 2 LVP</t>
        </is>
      </c>
      <c r="H468" s="180" t="n">
        <v>70</v>
      </c>
      <c r="I468" s="180" t="inlineStr">
        <is>
          <t>23 X 23</t>
        </is>
      </c>
      <c r="J468" s="180" t="n">
        <v>49</v>
      </c>
      <c r="K468" s="181" t="n"/>
      <c r="L468" s="31" t="n"/>
      <c r="M468" s="32" t="n">
        <v>1.433962264150943</v>
      </c>
      <c r="N468" s="31" t="n"/>
      <c r="O468" s="33" t="n"/>
    </row>
    <row r="469" ht="15" customHeight="1">
      <c r="A469" s="232" t="n"/>
      <c r="B469" s="232" t="n"/>
      <c r="C469" s="235" t="n"/>
      <c r="D469" s="169" t="inlineStr">
        <is>
          <t>Bottom</t>
        </is>
      </c>
      <c r="E469" s="169" t="n"/>
      <c r="F469" s="169" t="n"/>
      <c r="G469" s="169" t="n"/>
      <c r="H469" s="169" t="n"/>
      <c r="I469" s="169" t="n"/>
      <c r="J469" s="169" t="n"/>
      <c r="K469" s="171" t="n"/>
      <c r="L469" s="14" t="n"/>
      <c r="M469" s="15" t="e">
        <v>#N/A</v>
      </c>
      <c r="N469" s="14" t="n"/>
      <c r="O469" s="16" t="n"/>
    </row>
    <row r="470" ht="15.75" customHeight="1">
      <c r="A470" s="234" t="n"/>
      <c r="B470" s="234" t="n"/>
      <c r="C470" s="175" t="inlineStr">
        <is>
          <t>SCFG</t>
        </is>
      </c>
      <c r="D470" s="166" t="inlineStr">
        <is>
          <t>-</t>
        </is>
      </c>
      <c r="E470" s="166" t="n">
        <v>15</v>
      </c>
      <c r="F470" s="166" t="inlineStr">
        <is>
          <t>Single</t>
        </is>
      </c>
      <c r="G470" s="166" t="inlineStr">
        <is>
          <t>KWIK 2 SCFG</t>
        </is>
      </c>
      <c r="H470" s="166" t="n">
        <v>89</v>
      </c>
      <c r="I470" s="166" t="inlineStr">
        <is>
          <t>21.5 X 21.5</t>
        </is>
      </c>
      <c r="J470" s="166" t="n">
        <v>25</v>
      </c>
      <c r="K470" s="176" t="n"/>
      <c r="L470" s="25" t="n"/>
      <c r="M470" s="26" t="n">
        <v>0.3381642512077295</v>
      </c>
      <c r="N470" s="25" t="n"/>
      <c r="O470" s="154" t="n"/>
    </row>
    <row r="471" ht="15" customHeight="1">
      <c r="A471" s="197" t="n">
        <v>4</v>
      </c>
      <c r="B471" s="198" t="inlineStr">
        <is>
          <t>Kwik 3</t>
        </is>
      </c>
      <c r="C471" s="184" t="inlineStr">
        <is>
          <t>LVP</t>
        </is>
      </c>
      <c r="D471" s="180" t="inlineStr">
        <is>
          <t>Top</t>
        </is>
      </c>
      <c r="E471" s="180" t="n">
        <v>40</v>
      </c>
      <c r="F471" s="180" t="inlineStr">
        <is>
          <t>Single</t>
        </is>
      </c>
      <c r="G471" s="180" t="inlineStr">
        <is>
          <t>KWIK 3 LVP</t>
        </is>
      </c>
      <c r="H471" s="180" t="inlineStr">
        <is>
          <t>89 x 89</t>
        </is>
      </c>
      <c r="I471" s="180" t="inlineStr">
        <is>
          <t>24 X 24</t>
        </is>
      </c>
      <c r="J471" s="180" t="n">
        <v>36</v>
      </c>
      <c r="K471" s="181" t="n"/>
      <c r="L471" s="31" t="n"/>
      <c r="M471" s="32" t="n">
        <v>0.6977821913273751</v>
      </c>
      <c r="N471" s="31" t="n"/>
      <c r="O471" s="155" t="n"/>
    </row>
    <row r="472" ht="15" customHeight="1">
      <c r="A472" s="232" t="n"/>
      <c r="B472" s="232" t="n"/>
      <c r="C472" s="235" t="n"/>
      <c r="D472" s="169" t="inlineStr">
        <is>
          <t>Bottom</t>
        </is>
      </c>
      <c r="E472" s="169" t="n">
        <v>40</v>
      </c>
      <c r="F472" s="169" t="inlineStr">
        <is>
          <t>Single</t>
        </is>
      </c>
      <c r="G472" s="180" t="inlineStr">
        <is>
          <t>KWIK 3 LVP</t>
        </is>
      </c>
      <c r="H472" s="180" t="inlineStr">
        <is>
          <t>89 x 89</t>
        </is>
      </c>
      <c r="I472" s="180" t="inlineStr">
        <is>
          <t>24 X 24</t>
        </is>
      </c>
      <c r="J472" s="180" t="n">
        <v>36</v>
      </c>
      <c r="K472" s="171" t="n"/>
      <c r="L472" s="14" t="n"/>
      <c r="M472" s="15" t="n">
        <v>0.6977821913273751</v>
      </c>
      <c r="N472" s="14" t="n"/>
      <c r="O472" s="156" t="n"/>
    </row>
    <row r="473" ht="15.75" customHeight="1">
      <c r="A473" s="234" t="n"/>
      <c r="B473" s="234" t="n"/>
      <c r="C473" s="175" t="inlineStr">
        <is>
          <t>SCFG</t>
        </is>
      </c>
      <c r="D473" s="166" t="inlineStr">
        <is>
          <t>-</t>
        </is>
      </c>
      <c r="E473" s="166" t="n">
        <v>15</v>
      </c>
      <c r="F473" s="166" t="inlineStr">
        <is>
          <t>Single</t>
        </is>
      </c>
      <c r="G473" s="166" t="inlineStr">
        <is>
          <t>KWIK 3 SCFG</t>
        </is>
      </c>
      <c r="H473" s="166" t="inlineStr">
        <is>
          <t>108 x 108</t>
        </is>
      </c>
      <c r="I473" s="166" t="inlineStr">
        <is>
          <t>25 X 25</t>
        </is>
      </c>
      <c r="J473" s="166" t="n">
        <v>25</v>
      </c>
      <c r="K473" s="176" t="n"/>
      <c r="L473" s="25" t="n"/>
      <c r="M473" s="26" t="n">
        <v>0.3381642512077295</v>
      </c>
      <c r="N473" s="25" t="n"/>
      <c r="O473" s="157" t="n"/>
    </row>
    <row r="474" ht="15" customHeight="1">
      <c r="A474" s="197" t="n">
        <v>5</v>
      </c>
      <c r="B474" s="198" t="inlineStr">
        <is>
          <t>Kwik 4</t>
        </is>
      </c>
      <c r="C474" s="184" t="inlineStr">
        <is>
          <t>LVP</t>
        </is>
      </c>
      <c r="D474" s="180" t="inlineStr">
        <is>
          <t>Top</t>
        </is>
      </c>
      <c r="E474" s="180" t="n">
        <v>60</v>
      </c>
      <c r="F474" s="180" t="inlineStr">
        <is>
          <t>Single</t>
        </is>
      </c>
      <c r="G474" s="180" t="inlineStr">
        <is>
          <t>KWIK 4 LVP</t>
        </is>
      </c>
      <c r="H474" s="180" t="inlineStr">
        <is>
          <t>136 x 136</t>
        </is>
      </c>
      <c r="I474" s="180" t="inlineStr">
        <is>
          <t>23.5 X 23.5</t>
        </is>
      </c>
      <c r="J474" s="180" t="n">
        <v>16</v>
      </c>
      <c r="K474" s="181" t="n"/>
      <c r="L474" s="31" t="n"/>
      <c r="M474" s="32" t="n">
        <v>1.103988603988604</v>
      </c>
      <c r="N474" s="31" t="n"/>
      <c r="O474" s="153" t="n"/>
    </row>
    <row r="475" ht="15" customHeight="1">
      <c r="A475" s="232" t="n"/>
      <c r="B475" s="232" t="n"/>
      <c r="C475" s="235" t="n"/>
      <c r="D475" s="169" t="inlineStr">
        <is>
          <t>Bottom</t>
        </is>
      </c>
      <c r="E475" s="169" t="n">
        <v>40</v>
      </c>
      <c r="F475" s="169" t="inlineStr">
        <is>
          <t>Single</t>
        </is>
      </c>
      <c r="G475" s="180" t="inlineStr">
        <is>
          <t>KWIK 4 LVP</t>
        </is>
      </c>
      <c r="H475" s="180" t="inlineStr">
        <is>
          <t>136 x 136</t>
        </is>
      </c>
      <c r="I475" s="180" t="inlineStr">
        <is>
          <t>23.5 X 23.5</t>
        </is>
      </c>
      <c r="J475" s="180" t="n">
        <v>16</v>
      </c>
      <c r="K475" s="171" t="n"/>
      <c r="L475" s="14" t="n"/>
      <c r="M475" s="15" t="n">
        <v>0.6977821913273751</v>
      </c>
      <c r="N475" s="14" t="n"/>
      <c r="O475" s="158" t="n"/>
    </row>
    <row r="476" ht="15.75" customHeight="1">
      <c r="A476" s="234" t="n"/>
      <c r="B476" s="234" t="n"/>
      <c r="C476" s="175" t="inlineStr">
        <is>
          <t>SCFG</t>
        </is>
      </c>
      <c r="D476" s="166" t="inlineStr">
        <is>
          <t>-</t>
        </is>
      </c>
      <c r="E476" s="166" t="n">
        <v>15</v>
      </c>
      <c r="F476" s="166" t="inlineStr">
        <is>
          <t>Single</t>
        </is>
      </c>
      <c r="G476" s="166" t="inlineStr">
        <is>
          <t>KWIK 4 SCFG</t>
        </is>
      </c>
      <c r="H476" s="166" t="inlineStr">
        <is>
          <t>161 x 161</t>
        </is>
      </c>
      <c r="I476" s="166" t="inlineStr">
        <is>
          <t>21.5 X 21.5</t>
        </is>
      </c>
      <c r="J476" s="166" t="n">
        <v>9</v>
      </c>
      <c r="K476" s="176" t="n"/>
      <c r="L476" s="25" t="n"/>
      <c r="M476" s="26" t="n">
        <v>0.3381642512077295</v>
      </c>
      <c r="N476" s="25" t="n"/>
      <c r="O476" s="27" t="n"/>
    </row>
    <row r="477" ht="15" customHeight="1">
      <c r="A477" s="197" t="n">
        <v>6</v>
      </c>
      <c r="B477" s="198" t="inlineStr">
        <is>
          <t>Kwik 5</t>
        </is>
      </c>
      <c r="C477" s="184" t="inlineStr">
        <is>
          <t>LVP</t>
        </is>
      </c>
      <c r="D477" s="180" t="inlineStr">
        <is>
          <t>Top</t>
        </is>
      </c>
      <c r="E477" s="180" t="n">
        <v>60</v>
      </c>
      <c r="F477" s="180" t="inlineStr">
        <is>
          <t>Single</t>
        </is>
      </c>
      <c r="G477" s="180" t="inlineStr">
        <is>
          <t>KWIK 5 LVP</t>
        </is>
      </c>
      <c r="H477" s="180" t="inlineStr">
        <is>
          <t>165 X 165</t>
        </is>
      </c>
      <c r="I477" s="180" t="inlineStr">
        <is>
          <t>21 X 21</t>
        </is>
      </c>
      <c r="J477" s="180" t="n">
        <v>9</v>
      </c>
      <c r="K477" s="181" t="n"/>
      <c r="L477" s="31" t="n"/>
      <c r="M477" s="32" t="n">
        <v>1.103988603988604</v>
      </c>
      <c r="N477" s="31" t="n"/>
      <c r="O477" s="153" t="n"/>
    </row>
    <row r="478" ht="15" customHeight="1">
      <c r="A478" s="232" t="n"/>
      <c r="B478" s="232" t="n"/>
      <c r="C478" s="235" t="n"/>
      <c r="D478" s="169" t="inlineStr">
        <is>
          <t>Bottom</t>
        </is>
      </c>
      <c r="E478" s="169" t="n">
        <v>40</v>
      </c>
      <c r="F478" s="169" t="inlineStr">
        <is>
          <t>Single</t>
        </is>
      </c>
      <c r="G478" s="180" t="inlineStr">
        <is>
          <t>KWIK 5 LVP</t>
        </is>
      </c>
      <c r="H478" s="180" t="inlineStr">
        <is>
          <t>165 X 165</t>
        </is>
      </c>
      <c r="I478" s="180" t="inlineStr">
        <is>
          <t>21 X 21</t>
        </is>
      </c>
      <c r="J478" s="180" t="n">
        <v>9</v>
      </c>
      <c r="K478" s="171" t="n"/>
      <c r="L478" s="14" t="n"/>
      <c r="M478" s="15" t="n">
        <v>0.6977821913273751</v>
      </c>
      <c r="N478" s="14" t="n"/>
      <c r="O478" s="158" t="n"/>
    </row>
    <row r="479" ht="15.75" customHeight="1">
      <c r="A479" s="234" t="n"/>
      <c r="B479" s="234" t="n"/>
      <c r="C479" s="175" t="inlineStr">
        <is>
          <t>SCFG</t>
        </is>
      </c>
      <c r="D479" s="166" t="inlineStr">
        <is>
          <t>-</t>
        </is>
      </c>
      <c r="E479" s="166" t="n">
        <v>15</v>
      </c>
      <c r="F479" s="166" t="inlineStr">
        <is>
          <t>Single</t>
        </is>
      </c>
      <c r="G479" s="166" t="inlineStr">
        <is>
          <t>KWIK 5 SCFG</t>
        </is>
      </c>
      <c r="H479" s="166" t="inlineStr">
        <is>
          <t>188 x 188</t>
        </is>
      </c>
      <c r="I479" s="166" t="inlineStr">
        <is>
          <t>24.5 X 24.5</t>
        </is>
      </c>
      <c r="J479" s="166" t="n">
        <v>9</v>
      </c>
      <c r="K479" s="176" t="n"/>
      <c r="L479" s="25" t="n"/>
      <c r="M479" s="26" t="n">
        <v>0.3381642512077295</v>
      </c>
      <c r="N479" s="25" t="n"/>
      <c r="O479" s="154" t="n"/>
    </row>
    <row r="480" ht="15" customHeight="1">
      <c r="A480" s="197" t="n">
        <v>7</v>
      </c>
      <c r="B480" s="198" t="inlineStr">
        <is>
          <t>Kwik 5.5</t>
        </is>
      </c>
      <c r="C480" s="184" t="inlineStr">
        <is>
          <t>LVP</t>
        </is>
      </c>
      <c r="D480" s="180" t="inlineStr">
        <is>
          <t>Top</t>
        </is>
      </c>
      <c r="E480" s="180" t="n">
        <v>60</v>
      </c>
      <c r="F480" s="180" t="inlineStr">
        <is>
          <t>Single</t>
        </is>
      </c>
      <c r="G480" s="180" t="inlineStr">
        <is>
          <t>KWIK 5.5 LVP</t>
        </is>
      </c>
      <c r="H480" s="180" t="inlineStr">
        <is>
          <t>185 X 185</t>
        </is>
      </c>
      <c r="I480" s="180" t="inlineStr">
        <is>
          <t>23.5 X 23.5</t>
        </is>
      </c>
      <c r="J480" s="180" t="n">
        <v>9</v>
      </c>
      <c r="K480" s="181" t="n"/>
      <c r="L480" s="31" t="n"/>
      <c r="M480" s="32" t="n">
        <v>1.103988603988604</v>
      </c>
      <c r="N480" s="31" t="n"/>
      <c r="O480" s="153" t="n"/>
    </row>
    <row r="481" ht="15" customHeight="1">
      <c r="A481" s="232" t="n"/>
      <c r="B481" s="232" t="n"/>
      <c r="C481" s="235" t="n"/>
      <c r="D481" s="169" t="inlineStr">
        <is>
          <t>Bottom</t>
        </is>
      </c>
      <c r="E481" s="169" t="n">
        <v>40</v>
      </c>
      <c r="F481" s="169" t="inlineStr">
        <is>
          <t>Single</t>
        </is>
      </c>
      <c r="G481" s="180" t="inlineStr">
        <is>
          <t>KWIK 5.5 LVP</t>
        </is>
      </c>
      <c r="H481" s="180" t="inlineStr">
        <is>
          <t>185 X 185</t>
        </is>
      </c>
      <c r="I481" s="180" t="inlineStr">
        <is>
          <t>23.5 X 23.5</t>
        </is>
      </c>
      <c r="J481" s="180" t="n">
        <v>9</v>
      </c>
      <c r="K481" s="171" t="n"/>
      <c r="L481" s="14" t="n"/>
      <c r="M481" s="15" t="n">
        <v>0.6977821913273751</v>
      </c>
      <c r="N481" s="14" t="n"/>
      <c r="O481" s="158" t="n"/>
    </row>
    <row r="482" ht="15.75" customHeight="1">
      <c r="A482" s="234" t="n"/>
      <c r="B482" s="234" t="n"/>
      <c r="C482" s="175" t="inlineStr">
        <is>
          <t>SCFG</t>
        </is>
      </c>
      <c r="D482" s="166" t="inlineStr">
        <is>
          <t>-</t>
        </is>
      </c>
      <c r="E482" s="166" t="n">
        <v>15</v>
      </c>
      <c r="F482" s="166" t="inlineStr">
        <is>
          <t>Single</t>
        </is>
      </c>
      <c r="G482" s="169" t="inlineStr">
        <is>
          <t>KWIK 5.5 SCFG</t>
        </is>
      </c>
      <c r="H482" s="169" t="inlineStr">
        <is>
          <t>207 X 207</t>
        </is>
      </c>
      <c r="I482" s="166" t="inlineStr">
        <is>
          <t>27 X 27</t>
        </is>
      </c>
      <c r="J482" s="166" t="n">
        <v>9</v>
      </c>
      <c r="K482" s="176" t="n"/>
      <c r="L482" s="25" t="n"/>
      <c r="M482" s="26" t="n">
        <v>0.3381642512077295</v>
      </c>
      <c r="N482" s="25" t="n"/>
      <c r="O482" s="154" t="n"/>
    </row>
    <row r="483" ht="15" customHeight="1">
      <c r="A483" s="197" t="n">
        <v>8</v>
      </c>
      <c r="B483" s="198" t="inlineStr">
        <is>
          <t>Kwik 6</t>
        </is>
      </c>
      <c r="C483" s="184" t="inlineStr">
        <is>
          <t>LVP</t>
        </is>
      </c>
      <c r="D483" s="180" t="inlineStr">
        <is>
          <t>Top</t>
        </is>
      </c>
      <c r="E483" s="180" t="n">
        <v>60</v>
      </c>
      <c r="F483" s="180" t="inlineStr">
        <is>
          <t>Single</t>
        </is>
      </c>
      <c r="G483" s="180" t="inlineStr">
        <is>
          <t>KWIK 6 LVP</t>
        </is>
      </c>
      <c r="H483" s="180" t="inlineStr">
        <is>
          <t>236 X 236</t>
        </is>
      </c>
      <c r="I483" s="180" t="inlineStr">
        <is>
          <t>20 X 20</t>
        </is>
      </c>
      <c r="J483" s="180" t="n">
        <v>4</v>
      </c>
      <c r="K483" s="181" t="n"/>
      <c r="L483" s="31" t="n"/>
      <c r="M483" s="32" t="n">
        <v>1.103988603988604</v>
      </c>
      <c r="N483" s="31" t="n"/>
      <c r="O483" s="153" t="n"/>
    </row>
    <row r="484" ht="15" customHeight="1">
      <c r="A484" s="232" t="n"/>
      <c r="B484" s="232" t="n"/>
      <c r="C484" s="235" t="n"/>
      <c r="D484" s="169" t="inlineStr">
        <is>
          <t>Bottom</t>
        </is>
      </c>
      <c r="E484" s="169" t="n">
        <v>40</v>
      </c>
      <c r="F484" s="169" t="inlineStr">
        <is>
          <t>Single</t>
        </is>
      </c>
      <c r="G484" s="180" t="inlineStr">
        <is>
          <t>KWIK 6 LVP</t>
        </is>
      </c>
      <c r="H484" s="180" t="inlineStr">
        <is>
          <t>236 X 236</t>
        </is>
      </c>
      <c r="I484" s="180" t="inlineStr">
        <is>
          <t>20 X 20</t>
        </is>
      </c>
      <c r="J484" s="180" t="n">
        <v>4</v>
      </c>
      <c r="K484" s="171" t="n"/>
      <c r="L484" s="14" t="n"/>
      <c r="M484" s="15" t="n">
        <v>0.6977821913273751</v>
      </c>
      <c r="N484" s="14" t="n"/>
      <c r="O484" s="158" t="n"/>
    </row>
    <row r="485" ht="15.75" customHeight="1">
      <c r="A485" s="234" t="n"/>
      <c r="B485" s="234" t="n"/>
      <c r="C485" s="175" t="inlineStr">
        <is>
          <t>SCFG</t>
        </is>
      </c>
      <c r="D485" s="166" t="inlineStr">
        <is>
          <t>-</t>
        </is>
      </c>
      <c r="E485" s="166" t="n">
        <v>15</v>
      </c>
      <c r="F485" s="166" t="inlineStr">
        <is>
          <t>Single</t>
        </is>
      </c>
      <c r="G485" s="166" t="inlineStr">
        <is>
          <t>KWIK 6 SCFG</t>
        </is>
      </c>
      <c r="H485" s="166" t="inlineStr">
        <is>
          <t>262 X 262</t>
        </is>
      </c>
      <c r="I485" s="166" t="inlineStr">
        <is>
          <t>22 X 22</t>
        </is>
      </c>
      <c r="J485" s="166" t="n">
        <v>4</v>
      </c>
      <c r="K485" s="176" t="n"/>
      <c r="L485" s="25" t="n"/>
      <c r="M485" s="26" t="n">
        <v>0.3381642512077295</v>
      </c>
      <c r="N485" s="25" t="n"/>
      <c r="O485" s="154" t="n"/>
    </row>
    <row r="486" ht="15" customHeight="1">
      <c r="A486" s="197" t="n">
        <v>9</v>
      </c>
      <c r="B486" s="198" t="inlineStr">
        <is>
          <t>Kwik 7</t>
        </is>
      </c>
      <c r="C486" s="184" t="inlineStr">
        <is>
          <t>LVP</t>
        </is>
      </c>
      <c r="D486" s="180" t="inlineStr">
        <is>
          <t>Top</t>
        </is>
      </c>
      <c r="E486" s="180" t="n">
        <v>60</v>
      </c>
      <c r="F486" s="180" t="inlineStr">
        <is>
          <t>Single</t>
        </is>
      </c>
      <c r="G486" s="180" t="inlineStr">
        <is>
          <t>KWIK 7 LVP</t>
        </is>
      </c>
      <c r="H486" s="180" t="inlineStr">
        <is>
          <t>290 X 290</t>
        </is>
      </c>
      <c r="I486" s="180" t="inlineStr">
        <is>
          <t>24 X 24</t>
        </is>
      </c>
      <c r="J486" s="180" t="n">
        <v>4</v>
      </c>
      <c r="K486" s="181" t="n"/>
      <c r="L486" s="31" t="n"/>
      <c r="M486" s="32" t="n">
        <v>1.103988603988604</v>
      </c>
      <c r="N486" s="31" t="n"/>
      <c r="O486" s="103" t="n"/>
    </row>
    <row r="487" ht="15" customHeight="1">
      <c r="A487" s="232" t="n"/>
      <c r="B487" s="232" t="n"/>
      <c r="C487" s="235" t="n"/>
      <c r="D487" s="169" t="inlineStr">
        <is>
          <t>Bottom</t>
        </is>
      </c>
      <c r="E487" s="169" t="n">
        <v>40</v>
      </c>
      <c r="F487" s="169" t="inlineStr">
        <is>
          <t>Single</t>
        </is>
      </c>
      <c r="G487" s="180" t="inlineStr">
        <is>
          <t>KWIK 7 LVP</t>
        </is>
      </c>
      <c r="H487" s="180" t="inlineStr">
        <is>
          <t>290 X 290</t>
        </is>
      </c>
      <c r="I487" s="180" t="inlineStr">
        <is>
          <t>24 X 24</t>
        </is>
      </c>
      <c r="J487" s="180" t="n">
        <v>4</v>
      </c>
      <c r="K487" s="171" t="n"/>
      <c r="L487" s="14" t="n"/>
      <c r="M487" s="15" t="n">
        <v>0.6977821913273751</v>
      </c>
      <c r="N487" s="14" t="n"/>
      <c r="O487" s="104" t="n"/>
    </row>
    <row r="488" ht="15.75" customHeight="1">
      <c r="A488" s="234" t="n"/>
      <c r="B488" s="234" t="n"/>
      <c r="C488" s="175" t="inlineStr">
        <is>
          <t>SCFG</t>
        </is>
      </c>
      <c r="D488" s="166" t="inlineStr">
        <is>
          <t>-</t>
        </is>
      </c>
      <c r="E488" s="166" t="n">
        <v>15</v>
      </c>
      <c r="F488" s="166" t="inlineStr">
        <is>
          <t>Single</t>
        </is>
      </c>
      <c r="G488" s="166" t="inlineStr">
        <is>
          <t>KWIK 7 SCFG</t>
        </is>
      </c>
      <c r="H488" s="166" t="inlineStr">
        <is>
          <t>311 X 311</t>
        </is>
      </c>
      <c r="I488" s="166" t="inlineStr">
        <is>
          <t>26 X 26</t>
        </is>
      </c>
      <c r="J488" s="166" t="n">
        <v>4</v>
      </c>
      <c r="K488" s="176" t="n"/>
      <c r="L488" s="25" t="n"/>
      <c r="M488" s="26" t="n">
        <v>0.3381642512077295</v>
      </c>
      <c r="N488" s="25" t="n"/>
      <c r="O488" s="27" t="n"/>
    </row>
    <row r="489" ht="15" customHeight="1">
      <c r="A489" s="197" t="n">
        <v>10</v>
      </c>
      <c r="B489" s="198" t="inlineStr">
        <is>
          <t>Kwik 8</t>
        </is>
      </c>
      <c r="C489" s="184" t="inlineStr">
        <is>
          <t>LVP</t>
        </is>
      </c>
      <c r="D489" s="180" t="inlineStr">
        <is>
          <t>Top</t>
        </is>
      </c>
      <c r="E489" s="180" t="n">
        <v>60</v>
      </c>
      <c r="F489" s="180" t="inlineStr">
        <is>
          <t>Single</t>
        </is>
      </c>
      <c r="G489" s="180" t="inlineStr">
        <is>
          <t>KWIK 8 LVP</t>
        </is>
      </c>
      <c r="H489" s="180" t="inlineStr">
        <is>
          <t>340 X 340</t>
        </is>
      </c>
      <c r="I489" s="180" t="inlineStr">
        <is>
          <t>28 X 28</t>
        </is>
      </c>
      <c r="J489" s="180" t="n">
        <v>4</v>
      </c>
      <c r="K489" s="181" t="n"/>
      <c r="L489" s="31" t="n"/>
      <c r="M489" s="32" t="n">
        <v>1.103988603988604</v>
      </c>
      <c r="N489" s="31" t="n"/>
      <c r="O489" s="153" t="n"/>
    </row>
    <row r="490" ht="15" customHeight="1">
      <c r="A490" s="232" t="n"/>
      <c r="B490" s="232" t="n"/>
      <c r="C490" s="235" t="n"/>
      <c r="D490" s="169" t="inlineStr">
        <is>
          <t>Bottom</t>
        </is>
      </c>
      <c r="E490" s="169" t="n">
        <v>40</v>
      </c>
      <c r="F490" s="169" t="inlineStr">
        <is>
          <t>Single</t>
        </is>
      </c>
      <c r="G490" s="180" t="inlineStr">
        <is>
          <t>KWIK 8 LVP</t>
        </is>
      </c>
      <c r="H490" s="180" t="inlineStr">
        <is>
          <t>340 X 340</t>
        </is>
      </c>
      <c r="I490" s="180" t="inlineStr">
        <is>
          <t>28 X 28</t>
        </is>
      </c>
      <c r="J490" s="180" t="n">
        <v>4</v>
      </c>
      <c r="K490" s="171" t="n"/>
      <c r="L490" s="14" t="n"/>
      <c r="M490" s="15" t="n">
        <v>0.6977821913273751</v>
      </c>
      <c r="N490" s="14" t="n"/>
      <c r="O490" s="158" t="n"/>
    </row>
    <row r="491" ht="15.75" customHeight="1">
      <c r="A491" s="234" t="n"/>
      <c r="B491" s="234" t="n"/>
      <c r="C491" s="175" t="inlineStr">
        <is>
          <t>SCFG</t>
        </is>
      </c>
      <c r="D491" s="166" t="inlineStr">
        <is>
          <t>-</t>
        </is>
      </c>
      <c r="E491" s="166" t="n">
        <v>15</v>
      </c>
      <c r="F491" s="166" t="inlineStr">
        <is>
          <t>Single</t>
        </is>
      </c>
      <c r="G491" s="166" t="inlineStr">
        <is>
          <t>KWIK 8 SCFG</t>
        </is>
      </c>
      <c r="H491" s="166" t="inlineStr">
        <is>
          <t>363 X 363</t>
        </is>
      </c>
      <c r="I491" s="166" t="inlineStr">
        <is>
          <t>30 X 30</t>
        </is>
      </c>
      <c r="J491" s="166" t="n">
        <v>4</v>
      </c>
      <c r="K491" s="176" t="n"/>
      <c r="L491" s="25" t="n"/>
      <c r="M491" s="26" t="n">
        <v>0.3381642512077295</v>
      </c>
      <c r="N491" s="25" t="n"/>
      <c r="O491" s="27" t="n"/>
    </row>
    <row r="492" ht="15" customHeight="1">
      <c r="A492" s="197" t="n">
        <v>11</v>
      </c>
      <c r="B492" s="198" t="inlineStr">
        <is>
          <t>Kwik 9</t>
        </is>
      </c>
      <c r="C492" s="184" t="inlineStr">
        <is>
          <t>LVP</t>
        </is>
      </c>
      <c r="D492" s="180" t="inlineStr">
        <is>
          <t>Top</t>
        </is>
      </c>
      <c r="E492" s="180" t="n">
        <v>60</v>
      </c>
      <c r="F492" s="180" t="inlineStr">
        <is>
          <t>Single</t>
        </is>
      </c>
      <c r="G492" s="180" t="inlineStr">
        <is>
          <t>KWIK 9 LVP</t>
        </is>
      </c>
      <c r="H492" s="180" t="inlineStr">
        <is>
          <t>363 X 363</t>
        </is>
      </c>
      <c r="I492" s="180" t="inlineStr">
        <is>
          <t>15 X 15</t>
        </is>
      </c>
      <c r="J492" s="180" t="n">
        <v>1</v>
      </c>
      <c r="K492" s="181" t="n"/>
      <c r="L492" s="31" t="n"/>
      <c r="M492" s="32" t="n">
        <v>1.103988603988604</v>
      </c>
      <c r="N492" s="31" t="n"/>
      <c r="O492" s="153" t="n"/>
    </row>
    <row r="493" ht="15" customHeight="1">
      <c r="A493" s="232" t="n"/>
      <c r="B493" s="232" t="n"/>
      <c r="C493" s="235" t="n"/>
      <c r="D493" s="169" t="inlineStr">
        <is>
          <t>Bottom</t>
        </is>
      </c>
      <c r="E493" s="169" t="n">
        <v>40</v>
      </c>
      <c r="F493" s="169" t="inlineStr">
        <is>
          <t>Single</t>
        </is>
      </c>
      <c r="G493" s="180" t="inlineStr">
        <is>
          <t>KWIK 9 LVP</t>
        </is>
      </c>
      <c r="H493" s="180" t="inlineStr">
        <is>
          <t>363 X 363</t>
        </is>
      </c>
      <c r="I493" s="180" t="inlineStr">
        <is>
          <t>15 X 15</t>
        </is>
      </c>
      <c r="J493" s="180" t="n">
        <v>1</v>
      </c>
      <c r="K493" s="171" t="n"/>
      <c r="L493" s="14" t="n"/>
      <c r="M493" s="15" t="n">
        <v>0.6977821913273751</v>
      </c>
      <c r="N493" s="14" t="n"/>
      <c r="O493" s="158" t="n"/>
    </row>
    <row r="494" ht="15.75" customHeight="1">
      <c r="A494" s="234" t="n"/>
      <c r="B494" s="234" t="n"/>
      <c r="C494" s="175" t="inlineStr">
        <is>
          <t>SCFG</t>
        </is>
      </c>
      <c r="D494" s="166" t="inlineStr">
        <is>
          <t>-</t>
        </is>
      </c>
      <c r="E494" s="166" t="n">
        <v>15</v>
      </c>
      <c r="F494" s="166" t="inlineStr">
        <is>
          <t>Single</t>
        </is>
      </c>
      <c r="G494" s="166" t="inlineStr">
        <is>
          <t>KWIK 9 SCFG</t>
        </is>
      </c>
      <c r="H494" s="166" t="inlineStr">
        <is>
          <t>383 X 383</t>
        </is>
      </c>
      <c r="I494" s="166" t="inlineStr">
        <is>
          <t>32 X 31</t>
        </is>
      </c>
      <c r="J494" s="166" t="n">
        <v>4</v>
      </c>
      <c r="K494" s="176" t="n"/>
      <c r="L494" s="25" t="n"/>
      <c r="M494" s="26" t="n">
        <v>0.3381642512077295</v>
      </c>
      <c r="N494" s="25" t="n"/>
      <c r="O494" s="27" t="n"/>
    </row>
    <row r="495" ht="15" customHeight="1">
      <c r="A495" s="197" t="n">
        <v>12</v>
      </c>
      <c r="B495" s="198" t="inlineStr">
        <is>
          <t>Kwik 10</t>
        </is>
      </c>
      <c r="C495" s="184" t="inlineStr">
        <is>
          <t>LVP</t>
        </is>
      </c>
      <c r="D495" s="180" t="inlineStr">
        <is>
          <t>Top</t>
        </is>
      </c>
      <c r="E495" s="180" t="n">
        <v>60</v>
      </c>
      <c r="F495" s="180" t="inlineStr">
        <is>
          <t>Single</t>
        </is>
      </c>
      <c r="G495" s="180" t="inlineStr">
        <is>
          <t>KWIK 10 LVP</t>
        </is>
      </c>
      <c r="H495" s="180" t="inlineStr">
        <is>
          <t>431 X 431</t>
        </is>
      </c>
      <c r="I495" s="180" t="inlineStr">
        <is>
          <t>18 X 18</t>
        </is>
      </c>
      <c r="J495" s="180" t="n">
        <v>1</v>
      </c>
      <c r="K495" s="181" t="n"/>
      <c r="L495" s="31" t="n"/>
      <c r="M495" s="32" t="n">
        <v>1.103988603988604</v>
      </c>
      <c r="N495" s="31" t="n"/>
      <c r="O495" s="153" t="n"/>
    </row>
    <row r="496" ht="15" customHeight="1">
      <c r="A496" s="232" t="n"/>
      <c r="B496" s="232" t="n"/>
      <c r="C496" s="235" t="n"/>
      <c r="D496" s="169" t="inlineStr">
        <is>
          <t>Bottom</t>
        </is>
      </c>
      <c r="E496" s="169" t="n">
        <v>40</v>
      </c>
      <c r="F496" s="169" t="inlineStr">
        <is>
          <t>Single</t>
        </is>
      </c>
      <c r="G496" s="180" t="inlineStr">
        <is>
          <t>KWIK 10 LVP</t>
        </is>
      </c>
      <c r="H496" s="180" t="inlineStr">
        <is>
          <t>431 X 431</t>
        </is>
      </c>
      <c r="I496" s="180" t="inlineStr">
        <is>
          <t>18 X 18</t>
        </is>
      </c>
      <c r="J496" s="180" t="n">
        <v>1</v>
      </c>
      <c r="K496" s="171" t="n"/>
      <c r="L496" s="14" t="n"/>
      <c r="M496" s="15" t="n">
        <v>0.6977821913273751</v>
      </c>
      <c r="N496" s="14" t="n"/>
      <c r="O496" s="158" t="n"/>
    </row>
    <row r="497" ht="15.75" customHeight="1">
      <c r="A497" s="234" t="n"/>
      <c r="B497" s="234" t="n"/>
      <c r="C497" s="175" t="inlineStr">
        <is>
          <t>SCFG</t>
        </is>
      </c>
      <c r="D497" s="166" t="inlineStr">
        <is>
          <t>-</t>
        </is>
      </c>
      <c r="E497" s="166" t="n">
        <v>15</v>
      </c>
      <c r="F497" s="166" t="inlineStr">
        <is>
          <t>Single</t>
        </is>
      </c>
      <c r="G497" s="166" t="inlineStr">
        <is>
          <t>KWIK 10 SCFG</t>
        </is>
      </c>
      <c r="H497" s="166" t="inlineStr">
        <is>
          <t>447 X 447</t>
        </is>
      </c>
      <c r="I497" s="166" t="inlineStr">
        <is>
          <t>18.5 X 18.5</t>
        </is>
      </c>
      <c r="J497" s="166" t="n">
        <v>1</v>
      </c>
      <c r="K497" s="176" t="n"/>
      <c r="L497" s="25" t="n"/>
      <c r="M497" s="26" t="n">
        <v>0.3381642512077295</v>
      </c>
      <c r="N497" s="25" t="n"/>
      <c r="O497" s="27" t="n"/>
    </row>
    <row r="498" ht="15" customHeight="1">
      <c r="A498" s="197" t="n">
        <v>13</v>
      </c>
      <c r="B498" s="198" t="inlineStr">
        <is>
          <t>UP -1 / Y01</t>
        </is>
      </c>
      <c r="C498" s="184" t="inlineStr">
        <is>
          <t>LVP</t>
        </is>
      </c>
      <c r="D498" s="180" t="inlineStr">
        <is>
          <t>Top</t>
        </is>
      </c>
      <c r="E498" s="180" t="n">
        <v>80</v>
      </c>
      <c r="F498" s="180" t="inlineStr">
        <is>
          <t>Passing</t>
        </is>
      </c>
      <c r="G498" s="180" t="inlineStr">
        <is>
          <t>PRC UP 1 LVP</t>
        </is>
      </c>
      <c r="H498" s="180" t="inlineStr">
        <is>
          <t>34 X 34</t>
        </is>
      </c>
      <c r="I498" s="180" t="inlineStr">
        <is>
          <t>20.5 X 23.5</t>
        </is>
      </c>
      <c r="J498" s="180" t="n">
        <v>195</v>
      </c>
      <c r="K498" s="181" t="n"/>
      <c r="L498" s="31" t="n"/>
      <c r="M498" s="32" t="n">
        <v>1.494824016563147</v>
      </c>
      <c r="N498" s="31" t="n"/>
      <c r="O498" s="33" t="n"/>
    </row>
    <row r="499" ht="15" customHeight="1">
      <c r="A499" s="232" t="n"/>
      <c r="B499" s="232" t="n"/>
      <c r="C499" s="235" t="n"/>
      <c r="D499" s="169" t="inlineStr">
        <is>
          <t>Bottom</t>
        </is>
      </c>
      <c r="E499" s="169" t="n"/>
      <c r="F499" s="169" t="n"/>
      <c r="G499" s="169" t="n"/>
      <c r="H499" s="169" t="n"/>
      <c r="I499" s="169" t="n"/>
      <c r="J499" s="169" t="n"/>
      <c r="K499" s="171" t="n"/>
      <c r="L499" s="14" t="n"/>
      <c r="M499" s="15" t="e">
        <v>#N/A</v>
      </c>
      <c r="N499" s="14" t="n"/>
      <c r="O499" s="16" t="n"/>
    </row>
    <row r="500" ht="15.75" customHeight="1">
      <c r="A500" s="234" t="n"/>
      <c r="B500" s="234" t="n"/>
      <c r="C500" s="175" t="inlineStr">
        <is>
          <t>SCFG</t>
        </is>
      </c>
      <c r="D500" s="166" t="inlineStr">
        <is>
          <t>-</t>
        </is>
      </c>
      <c r="E500" s="166" t="n">
        <v>15</v>
      </c>
      <c r="F500" s="166" t="inlineStr">
        <is>
          <t>Single</t>
        </is>
      </c>
      <c r="G500" s="166" t="inlineStr">
        <is>
          <t>PRC UP 1 SCFG</t>
        </is>
      </c>
      <c r="H500" s="166" t="inlineStr">
        <is>
          <t>47.6 X 47.6</t>
        </is>
      </c>
      <c r="I500" s="166" t="inlineStr">
        <is>
          <t>26.6 X 26.6</t>
        </is>
      </c>
      <c r="J500" s="166" t="n">
        <v>100</v>
      </c>
      <c r="K500" s="176" t="n"/>
      <c r="L500" s="25" t="n"/>
      <c r="M500" s="26" t="n">
        <v>0.3381642512077295</v>
      </c>
      <c r="N500" s="25" t="n"/>
      <c r="O500" s="27" t="n"/>
    </row>
    <row r="501" ht="15" customHeight="1">
      <c r="A501" s="197" t="n">
        <v>13</v>
      </c>
      <c r="B501" s="198" t="inlineStr">
        <is>
          <t>UP -2 / Y02</t>
        </is>
      </c>
      <c r="C501" s="184" t="inlineStr">
        <is>
          <t>LVP</t>
        </is>
      </c>
      <c r="D501" s="180" t="inlineStr">
        <is>
          <t>Top</t>
        </is>
      </c>
      <c r="E501" s="180" t="n">
        <v>80</v>
      </c>
      <c r="F501" s="180" t="inlineStr">
        <is>
          <t>Passing</t>
        </is>
      </c>
      <c r="G501" s="180" t="inlineStr">
        <is>
          <t>PRC UP 2 LVP</t>
        </is>
      </c>
      <c r="H501" s="180" t="inlineStr">
        <is>
          <t>41 X 41</t>
        </is>
      </c>
      <c r="I501" s="180" t="inlineStr">
        <is>
          <t>20.5 X 22.5</t>
        </is>
      </c>
      <c r="J501" s="180" t="n">
        <v>132</v>
      </c>
      <c r="K501" s="181" t="n"/>
      <c r="L501" s="31" t="n"/>
      <c r="M501" s="32" t="n">
        <v>1.494824016563147</v>
      </c>
      <c r="N501" s="31" t="n"/>
      <c r="O501" s="33" t="n"/>
    </row>
    <row r="502" ht="15" customHeight="1">
      <c r="A502" s="232" t="n"/>
      <c r="B502" s="232" t="n"/>
      <c r="C502" s="235" t="n"/>
      <c r="D502" s="169" t="inlineStr">
        <is>
          <t>Bottom</t>
        </is>
      </c>
      <c r="E502" s="169" t="n"/>
      <c r="F502" s="169" t="n"/>
      <c r="G502" s="169" t="n"/>
      <c r="H502" s="169" t="n"/>
      <c r="I502" s="169" t="n"/>
      <c r="J502" s="169" t="n"/>
      <c r="K502" s="171" t="n"/>
      <c r="L502" s="14" t="n"/>
      <c r="M502" s="15" t="e">
        <v>#N/A</v>
      </c>
      <c r="N502" s="14" t="n"/>
      <c r="O502" s="16" t="n"/>
    </row>
    <row r="503" ht="15.75" customHeight="1">
      <c r="A503" s="234" t="n"/>
      <c r="B503" s="234" t="n"/>
      <c r="C503" s="175" t="inlineStr">
        <is>
          <t>SCFG</t>
        </is>
      </c>
      <c r="D503" s="166" t="inlineStr">
        <is>
          <t>-</t>
        </is>
      </c>
      <c r="E503" s="166" t="n">
        <v>15</v>
      </c>
      <c r="F503" s="166" t="inlineStr">
        <is>
          <t>Single</t>
        </is>
      </c>
      <c r="G503" s="166" t="inlineStr">
        <is>
          <t>PRC UP 2 SCFG</t>
        </is>
      </c>
      <c r="H503" s="166" t="inlineStr">
        <is>
          <t>54 X 54</t>
        </is>
      </c>
      <c r="I503" s="166" t="inlineStr">
        <is>
          <t>29 X 29</t>
        </is>
      </c>
      <c r="J503" s="166" t="n">
        <v>100</v>
      </c>
      <c r="K503" s="176" t="n"/>
      <c r="L503" s="25" t="n"/>
      <c r="M503" s="26" t="n">
        <v>0.3381642512077295</v>
      </c>
      <c r="N503" s="25" t="n"/>
      <c r="O503" s="27" t="n"/>
    </row>
    <row r="504" ht="15" customHeight="1">
      <c r="A504" s="197" t="n">
        <v>14</v>
      </c>
      <c r="B504" s="198" t="inlineStr">
        <is>
          <t>Gav Y -45</t>
        </is>
      </c>
      <c r="C504" s="184" t="inlineStr">
        <is>
          <t>LVP</t>
        </is>
      </c>
      <c r="D504" s="180" t="inlineStr">
        <is>
          <t>Top</t>
        </is>
      </c>
      <c r="E504" s="180" t="n">
        <v>60</v>
      </c>
      <c r="F504" s="180" t="inlineStr">
        <is>
          <t>Single</t>
        </is>
      </c>
      <c r="G504" s="180" t="inlineStr">
        <is>
          <t>MCX 45 LVP,
MSX 45 LVP</t>
        </is>
      </c>
      <c r="H504" s="180" t="inlineStr">
        <is>
          <t>158 X 209</t>
        </is>
      </c>
      <c r="I504" s="180" t="inlineStr">
        <is>
          <t>20 X 26</t>
        </is>
      </c>
      <c r="J504" s="180" t="n">
        <v>9</v>
      </c>
      <c r="K504" s="181" t="n"/>
      <c r="L504" s="31" t="n"/>
      <c r="M504" s="32" t="n">
        <v>1.103988603988604</v>
      </c>
      <c r="N504" s="31" t="n"/>
      <c r="O504" s="33" t="n"/>
    </row>
    <row r="505" ht="15" customHeight="1">
      <c r="A505" s="232" t="n"/>
      <c r="B505" s="232" t="n"/>
      <c r="C505" s="235" t="n"/>
      <c r="D505" s="169" t="inlineStr">
        <is>
          <t>Bottom</t>
        </is>
      </c>
      <c r="E505" s="169" t="n">
        <v>40</v>
      </c>
      <c r="F505" s="169" t="inlineStr">
        <is>
          <t>Single</t>
        </is>
      </c>
      <c r="G505" s="180" t="inlineStr">
        <is>
          <t>MCX 45 LVP,
MSX 45 LVP</t>
        </is>
      </c>
      <c r="H505" s="180" t="inlineStr">
        <is>
          <t>158 X 209</t>
        </is>
      </c>
      <c r="I505" s="180" t="inlineStr">
        <is>
          <t>20 X 26</t>
        </is>
      </c>
      <c r="J505" s="180" t="n">
        <v>9</v>
      </c>
      <c r="K505" s="171" t="n"/>
      <c r="L505" s="14" t="n"/>
      <c r="M505" s="15" t="n">
        <v>0.6977821913273751</v>
      </c>
      <c r="N505" s="14" t="n"/>
      <c r="O505" s="16" t="n"/>
    </row>
    <row r="506" ht="15.75" customHeight="1">
      <c r="A506" s="234" t="n"/>
      <c r="B506" s="234" t="n"/>
      <c r="C506" s="175" t="inlineStr">
        <is>
          <t>SCFG</t>
        </is>
      </c>
      <c r="D506" s="166" t="inlineStr">
        <is>
          <t>-</t>
        </is>
      </c>
      <c r="E506" s="166" t="n">
        <v>15</v>
      </c>
      <c r="F506" s="166" t="inlineStr">
        <is>
          <t>Single</t>
        </is>
      </c>
      <c r="G506" s="166" t="inlineStr">
        <is>
          <t>MSX 45 SCFG</t>
        </is>
      </c>
      <c r="H506" s="166" t="inlineStr">
        <is>
          <t>175 X 226</t>
        </is>
      </c>
      <c r="I506" s="166" t="inlineStr">
        <is>
          <t>38.5 X 48.5</t>
        </is>
      </c>
      <c r="J506" s="166" t="n">
        <v>25</v>
      </c>
      <c r="K506" s="176" t="n"/>
      <c r="L506" s="25" t="n"/>
      <c r="M506" s="26" t="n">
        <v>0.3381642512077295</v>
      </c>
      <c r="N506" s="25" t="n"/>
      <c r="O506" s="27" t="n"/>
    </row>
    <row r="507" ht="15" customHeight="1">
      <c r="A507" s="197" t="n">
        <v>15</v>
      </c>
      <c r="B507" s="198" t="inlineStr">
        <is>
          <t>T-29</t>
        </is>
      </c>
      <c r="C507" s="184" t="inlineStr">
        <is>
          <t>LVP</t>
        </is>
      </c>
      <c r="D507" s="180" t="inlineStr">
        <is>
          <t>Top</t>
        </is>
      </c>
      <c r="E507" s="180" t="n">
        <v>50</v>
      </c>
      <c r="F507" s="180" t="inlineStr">
        <is>
          <t>Passing</t>
        </is>
      </c>
      <c r="G507" s="180" t="inlineStr">
        <is>
          <t>T 29 LVP</t>
        </is>
      </c>
      <c r="H507" s="180" t="n">
        <v>22</v>
      </c>
      <c r="I507" s="180" t="inlineStr">
        <is>
          <t>15.5 X 19</t>
        </is>
      </c>
      <c r="J507" s="180" t="n">
        <v>298</v>
      </c>
      <c r="K507" s="181" t="n"/>
      <c r="L507" s="31" t="n"/>
      <c r="M507" s="32" t="n">
        <v>0.9182530795072789</v>
      </c>
      <c r="N507" s="31" t="n"/>
      <c r="O507" s="33" t="n"/>
    </row>
    <row r="508" ht="15" customHeight="1">
      <c r="A508" s="232" t="n"/>
      <c r="B508" s="232" t="n"/>
      <c r="C508" s="235" t="n"/>
      <c r="D508" s="169" t="inlineStr">
        <is>
          <t>Bottom</t>
        </is>
      </c>
      <c r="E508" s="169" t="n"/>
      <c r="F508" s="169" t="n"/>
      <c r="G508" s="180" t="n"/>
      <c r="H508" s="180" t="n"/>
      <c r="I508" s="180" t="n"/>
      <c r="J508" s="180" t="n"/>
      <c r="K508" s="181" t="n"/>
      <c r="L508" s="14" t="n"/>
      <c r="M508" s="15" t="e">
        <v>#N/A</v>
      </c>
      <c r="N508" s="14" t="n"/>
      <c r="O508" s="16" t="n"/>
    </row>
    <row r="509" ht="15.75" customHeight="1">
      <c r="A509" s="234" t="n"/>
      <c r="B509" s="234" t="n"/>
      <c r="C509" s="175" t="inlineStr">
        <is>
          <t>SCFG</t>
        </is>
      </c>
      <c r="D509" s="166" t="inlineStr">
        <is>
          <t>-</t>
        </is>
      </c>
      <c r="E509" s="166" t="n">
        <v>15</v>
      </c>
      <c r="F509" s="166" t="inlineStr">
        <is>
          <t>Single</t>
        </is>
      </c>
      <c r="G509" s="166" t="inlineStr">
        <is>
          <t>T 29 SCFG</t>
        </is>
      </c>
      <c r="H509" s="166" t="n">
        <v>35</v>
      </c>
      <c r="I509" s="166" t="inlineStr">
        <is>
          <t>24 X 25</t>
        </is>
      </c>
      <c r="J509" s="166" t="n">
        <v>149</v>
      </c>
      <c r="K509" s="181" t="n"/>
      <c r="L509" s="25" t="n"/>
      <c r="M509" s="26" t="n">
        <v>0.3381642512077295</v>
      </c>
      <c r="N509" s="25" t="n"/>
      <c r="O509" s="27" t="n"/>
    </row>
    <row r="510" ht="15" customHeight="1">
      <c r="A510" s="197" t="n">
        <v>16</v>
      </c>
      <c r="B510" s="198" t="inlineStr">
        <is>
          <t>T-30</t>
        </is>
      </c>
      <c r="C510" s="184" t="inlineStr">
        <is>
          <t>LVP</t>
        </is>
      </c>
      <c r="D510" s="180" t="inlineStr">
        <is>
          <t>Top</t>
        </is>
      </c>
      <c r="E510" s="180" t="n">
        <v>50</v>
      </c>
      <c r="F510" s="180" t="inlineStr">
        <is>
          <t>Passing</t>
        </is>
      </c>
      <c r="G510" s="180" t="inlineStr">
        <is>
          <t>T 30 LVP</t>
        </is>
      </c>
      <c r="H510" s="180" t="n">
        <v>31</v>
      </c>
      <c r="I510" s="180" t="inlineStr">
        <is>
          <t>16.5 X 21</t>
        </is>
      </c>
      <c r="J510" s="180" t="n">
        <v>189</v>
      </c>
      <c r="K510" s="181" t="n"/>
      <c r="L510" s="31" t="n"/>
      <c r="M510" s="32" t="n">
        <v>0.9182530795072789</v>
      </c>
      <c r="N510" s="31" t="n"/>
      <c r="O510" s="33" t="n"/>
    </row>
    <row r="511" ht="15" customHeight="1">
      <c r="A511" s="232" t="n"/>
      <c r="B511" s="232" t="n"/>
      <c r="C511" s="235" t="n"/>
      <c r="D511" s="169" t="inlineStr">
        <is>
          <t>Bottom</t>
        </is>
      </c>
      <c r="E511" s="169" t="n"/>
      <c r="F511" s="169" t="n"/>
      <c r="G511" s="180" t="n"/>
      <c r="H511" s="180" t="n"/>
      <c r="I511" s="180" t="n"/>
      <c r="J511" s="180" t="n"/>
      <c r="K511" s="181" t="n"/>
      <c r="L511" s="14" t="n"/>
      <c r="M511" s="15" t="e">
        <v>#N/A</v>
      </c>
      <c r="N511" s="14" t="n"/>
      <c r="O511" s="16" t="n"/>
    </row>
    <row r="512" ht="15.75" customHeight="1">
      <c r="A512" s="234" t="n"/>
      <c r="B512" s="234" t="n"/>
      <c r="C512" s="175" t="inlineStr">
        <is>
          <t>SCFG</t>
        </is>
      </c>
      <c r="D512" s="166" t="inlineStr">
        <is>
          <t>-</t>
        </is>
      </c>
      <c r="E512" s="166" t="n">
        <v>15</v>
      </c>
      <c r="F512" s="166" t="inlineStr">
        <is>
          <t>Single</t>
        </is>
      </c>
      <c r="G512" s="166" t="inlineStr">
        <is>
          <t>T 30 SCFG</t>
        </is>
      </c>
      <c r="H512" s="166" t="n">
        <v>44.5</v>
      </c>
      <c r="I512" s="166" t="inlineStr">
        <is>
          <t>24 X 25</t>
        </is>
      </c>
      <c r="J512" s="166" t="n">
        <v>137</v>
      </c>
      <c r="K512" s="181" t="n"/>
      <c r="L512" s="25" t="n"/>
      <c r="M512" s="26" t="n">
        <v>0.3381642512077295</v>
      </c>
      <c r="N512" s="25" t="n"/>
      <c r="O512" s="27" t="n"/>
    </row>
    <row r="513" ht="15" customHeight="1">
      <c r="A513" s="197" t="n">
        <v>17</v>
      </c>
      <c r="B513" s="198" t="inlineStr">
        <is>
          <t>T-31</t>
        </is>
      </c>
      <c r="C513" s="184" t="inlineStr">
        <is>
          <t>LVP</t>
        </is>
      </c>
      <c r="D513" s="180" t="inlineStr">
        <is>
          <t>Top</t>
        </is>
      </c>
      <c r="E513" s="180" t="n">
        <v>50</v>
      </c>
      <c r="F513" s="180" t="inlineStr">
        <is>
          <t>Passing</t>
        </is>
      </c>
      <c r="G513" s="180" t="inlineStr">
        <is>
          <t>PRC RMR New,
 T 31 LVP</t>
        </is>
      </c>
      <c r="H513" s="180" t="n">
        <v>44</v>
      </c>
      <c r="I513" s="180" t="inlineStr">
        <is>
          <t>16.5 X 20.5</t>
        </is>
      </c>
      <c r="J513" s="180" t="n">
        <v>96</v>
      </c>
      <c r="K513" s="181" t="n"/>
      <c r="L513" s="31" t="n"/>
      <c r="M513" s="32" t="n">
        <v>0.9182530795072789</v>
      </c>
      <c r="N513" s="31" t="n"/>
      <c r="O513" s="33" t="n"/>
    </row>
    <row r="514" ht="15" customHeight="1">
      <c r="A514" s="232" t="n"/>
      <c r="B514" s="232" t="n"/>
      <c r="C514" s="235" t="n"/>
      <c r="D514" s="169" t="inlineStr">
        <is>
          <t>Bottom</t>
        </is>
      </c>
      <c r="E514" s="169" t="n"/>
      <c r="F514" s="169" t="n"/>
      <c r="G514" s="180" t="n"/>
      <c r="H514" s="180" t="n"/>
      <c r="I514" s="180" t="n"/>
      <c r="J514" s="180" t="n"/>
      <c r="K514" s="181" t="n"/>
      <c r="L514" s="14" t="n"/>
      <c r="M514" s="15" t="e">
        <v>#N/A</v>
      </c>
      <c r="N514" s="14" t="n"/>
      <c r="O514" s="16" t="n"/>
    </row>
    <row r="515" ht="15.75" customHeight="1">
      <c r="A515" s="234" t="n"/>
      <c r="B515" s="234" t="n"/>
      <c r="C515" s="175" t="inlineStr">
        <is>
          <t>SCFG</t>
        </is>
      </c>
      <c r="D515" s="166" t="inlineStr">
        <is>
          <t>-</t>
        </is>
      </c>
      <c r="E515" s="166" t="n">
        <v>15</v>
      </c>
      <c r="F515" s="166" t="inlineStr">
        <is>
          <t>Single</t>
        </is>
      </c>
      <c r="G515" s="166" t="n"/>
      <c r="H515" s="166" t="n">
        <v>57.2</v>
      </c>
      <c r="I515" s="166" t="inlineStr">
        <is>
          <t>24 X 25</t>
        </is>
      </c>
      <c r="J515" s="166" t="n">
        <v>86</v>
      </c>
      <c r="K515" s="181" t="n"/>
      <c r="L515" s="25" t="n"/>
      <c r="M515" s="26" t="n">
        <v>0.3381642512077295</v>
      </c>
      <c r="N515" s="25" t="n"/>
      <c r="O515" s="27" t="n"/>
    </row>
    <row r="516" ht="15" customHeight="1">
      <c r="A516" s="197" t="n">
        <v>17</v>
      </c>
      <c r="B516" s="198" t="inlineStr">
        <is>
          <t>T-32</t>
        </is>
      </c>
      <c r="C516" s="184" t="inlineStr">
        <is>
          <t>LVP</t>
        </is>
      </c>
      <c r="D516" s="180" t="inlineStr">
        <is>
          <t>Top</t>
        </is>
      </c>
      <c r="E516" s="180" t="n">
        <v>50</v>
      </c>
      <c r="F516" s="180" t="inlineStr">
        <is>
          <t>Passing</t>
        </is>
      </c>
      <c r="G516" s="180" t="inlineStr">
        <is>
          <t>PRC CX 3 Sq FABRIC,
PRC RLR,
 T32 LVP</t>
        </is>
      </c>
      <c r="H516" s="180" t="n">
        <v>67</v>
      </c>
      <c r="I516" s="180" t="inlineStr">
        <is>
          <t>11.5 X 20.5</t>
        </is>
      </c>
      <c r="J516" s="180" t="n">
        <v>24</v>
      </c>
      <c r="K516" s="181" t="n"/>
      <c r="L516" s="31" t="n"/>
      <c r="M516" s="32" t="n">
        <v>0.9182530795072789</v>
      </c>
      <c r="N516" s="31" t="n"/>
      <c r="O516" s="33" t="n"/>
    </row>
    <row r="517" ht="15" customHeight="1">
      <c r="A517" s="232" t="n"/>
      <c r="B517" s="232" t="n"/>
      <c r="C517" s="235" t="n"/>
      <c r="D517" s="169" t="inlineStr">
        <is>
          <t>Bottom</t>
        </is>
      </c>
      <c r="E517" s="169" t="n"/>
      <c r="F517" s="169" t="n"/>
      <c r="G517" s="180" t="n"/>
      <c r="H517" s="180" t="n"/>
      <c r="I517" s="180" t="n"/>
      <c r="J517" s="180" t="n"/>
      <c r="K517" s="181" t="n"/>
      <c r="L517" s="14" t="n"/>
      <c r="M517" s="15" t="e">
        <v>#N/A</v>
      </c>
      <c r="N517" s="14" t="n"/>
      <c r="O517" s="16" t="n"/>
    </row>
    <row r="518" ht="15.75" customHeight="1">
      <c r="A518" s="234" t="n"/>
      <c r="B518" s="234" t="n"/>
      <c r="C518" s="175" t="inlineStr">
        <is>
          <t>SCFG</t>
        </is>
      </c>
      <c r="D518" s="166" t="inlineStr">
        <is>
          <t>-</t>
        </is>
      </c>
      <c r="E518" s="166" t="n">
        <v>15</v>
      </c>
      <c r="F518" s="166" t="inlineStr">
        <is>
          <t>Single</t>
        </is>
      </c>
      <c r="G518" s="166" t="n"/>
      <c r="H518" s="166" t="n">
        <v>79</v>
      </c>
      <c r="I518" s="166" t="inlineStr">
        <is>
          <t>24 X 25</t>
        </is>
      </c>
      <c r="J518" s="166" t="n">
        <v>36</v>
      </c>
      <c r="K518" s="181" t="n"/>
      <c r="L518" s="25" t="n"/>
      <c r="M518" s="26" t="n">
        <v>0.3381642512077295</v>
      </c>
      <c r="N518" s="25" t="n"/>
      <c r="O518" s="27" t="n"/>
    </row>
    <row r="519" ht="15" customHeight="1">
      <c r="A519" s="197" t="n">
        <v>17</v>
      </c>
      <c r="B519" s="198" t="inlineStr">
        <is>
          <t>UP-3</t>
        </is>
      </c>
      <c r="C519" s="184" t="inlineStr">
        <is>
          <t>LVP</t>
        </is>
      </c>
      <c r="D519" s="180" t="inlineStr">
        <is>
          <t>Top</t>
        </is>
      </c>
      <c r="E519" s="180" t="n">
        <v>80</v>
      </c>
      <c r="F519" s="180" t="inlineStr">
        <is>
          <t>Passing</t>
        </is>
      </c>
      <c r="G519" s="180" t="inlineStr">
        <is>
          <t>PRC UP 3 LVP</t>
        </is>
      </c>
      <c r="H519" s="180" t="inlineStr">
        <is>
          <t>53 X 53</t>
        </is>
      </c>
      <c r="I519" s="180" t="inlineStr">
        <is>
          <t>19 X 21.5</t>
        </is>
      </c>
      <c r="J519" s="180" t="n">
        <v>72</v>
      </c>
      <c r="K519" s="181" t="n"/>
      <c r="L519" s="31" t="n"/>
      <c r="M519" s="32" t="n">
        <v>1.494824016563147</v>
      </c>
      <c r="N519" s="31" t="n"/>
      <c r="O519" s="33" t="n"/>
    </row>
    <row r="520" ht="15" customHeight="1">
      <c r="A520" s="232" t="n"/>
      <c r="B520" s="232" t="n"/>
      <c r="C520" s="235" t="n"/>
      <c r="D520" s="169" t="inlineStr">
        <is>
          <t>Bottom</t>
        </is>
      </c>
      <c r="E520" s="169" t="n"/>
      <c r="F520" s="169" t="n"/>
      <c r="G520" s="180" t="n"/>
      <c r="H520" s="180" t="n"/>
      <c r="I520" s="180" t="n"/>
      <c r="J520" s="180" t="n"/>
      <c r="K520" s="171" t="n"/>
      <c r="L520" s="14" t="n"/>
      <c r="M520" s="15" t="e">
        <v>#N/A</v>
      </c>
      <c r="N520" s="14" t="n"/>
      <c r="O520" s="16" t="n"/>
    </row>
    <row r="521" ht="15.75" customHeight="1">
      <c r="A521" s="234" t="n"/>
      <c r="B521" s="234" t="n"/>
      <c r="C521" s="175" t="inlineStr">
        <is>
          <t>SCFG</t>
        </is>
      </c>
      <c r="D521" s="166" t="inlineStr">
        <is>
          <t>-</t>
        </is>
      </c>
      <c r="E521" s="166" t="n">
        <v>15</v>
      </c>
      <c r="F521" s="166" t="inlineStr">
        <is>
          <t>Single</t>
        </is>
      </c>
      <c r="G521" s="180" t="inlineStr">
        <is>
          <t>PRC UP 3 SCFG</t>
        </is>
      </c>
      <c r="H521" s="166" t="inlineStr">
        <is>
          <t>66.7 X 66.7</t>
        </is>
      </c>
      <c r="I521" s="166" t="inlineStr">
        <is>
          <t>10 X 17</t>
        </is>
      </c>
      <c r="J521" s="166" t="n">
        <v>15</v>
      </c>
      <c r="K521" s="176" t="n"/>
      <c r="L521" s="25" t="n"/>
      <c r="M521" s="26" t="n">
        <v>0.3381642512077295</v>
      </c>
      <c r="N521" s="25" t="n"/>
      <c r="O521" s="27" t="n"/>
    </row>
    <row r="522" ht="15" customHeight="1">
      <c r="A522" s="197" t="n">
        <v>18</v>
      </c>
      <c r="B522" s="198" t="inlineStr">
        <is>
          <t>S-42 /
Kwik 4 MSRTC</t>
        </is>
      </c>
      <c r="C522" s="184" t="inlineStr">
        <is>
          <t>LVP</t>
        </is>
      </c>
      <c r="D522" s="180" t="inlineStr">
        <is>
          <t>Top</t>
        </is>
      </c>
      <c r="E522" s="180" t="n">
        <v>40</v>
      </c>
      <c r="F522" s="180" t="inlineStr">
        <is>
          <t>Single</t>
        </is>
      </c>
      <c r="G522" s="180" t="inlineStr">
        <is>
          <t>KWIK 4 MSRTC LVP</t>
        </is>
      </c>
      <c r="H522" s="180" t="inlineStr">
        <is>
          <t>102 X 102</t>
        </is>
      </c>
      <c r="I522" s="180" t="inlineStr">
        <is>
          <t>18 X 23</t>
        </is>
      </c>
      <c r="J522" s="180" t="n">
        <v>20</v>
      </c>
      <c r="K522" s="181" t="n"/>
      <c r="L522" s="31" t="n"/>
      <c r="M522" s="32" t="n">
        <v>0.6977821913273751</v>
      </c>
      <c r="N522" s="31" t="n"/>
      <c r="O522" s="33" t="n"/>
    </row>
    <row r="523" ht="15" customHeight="1">
      <c r="A523" s="232" t="n"/>
      <c r="B523" s="232" t="n"/>
      <c r="C523" s="235" t="n"/>
      <c r="D523" s="169" t="inlineStr">
        <is>
          <t>Bottom</t>
        </is>
      </c>
      <c r="E523" s="169" t="n">
        <v>40</v>
      </c>
      <c r="F523" s="169" t="inlineStr">
        <is>
          <t>Single</t>
        </is>
      </c>
      <c r="G523" s="180" t="inlineStr">
        <is>
          <t>KWIK 4 MSRTC LVP</t>
        </is>
      </c>
      <c r="H523" s="180" t="inlineStr">
        <is>
          <t>102 X 102</t>
        </is>
      </c>
      <c r="I523" s="180" t="inlineStr">
        <is>
          <t>18 X 23</t>
        </is>
      </c>
      <c r="J523" s="180" t="n">
        <v>20</v>
      </c>
      <c r="K523" s="181" t="n"/>
      <c r="L523" s="14" t="n"/>
      <c r="M523" s="15" t="n">
        <v>0.6977821913273751</v>
      </c>
      <c r="N523" s="14" t="n"/>
      <c r="O523" s="16" t="n"/>
    </row>
    <row r="524" ht="15.75" customHeight="1">
      <c r="A524" s="234" t="n"/>
      <c r="B524" s="234" t="n"/>
      <c r="C524" s="175" t="inlineStr">
        <is>
          <t>SCFG</t>
        </is>
      </c>
      <c r="D524" s="166" t="inlineStr">
        <is>
          <t>-</t>
        </is>
      </c>
      <c r="E524" s="166" t="n">
        <v>15</v>
      </c>
      <c r="F524" s="166" t="inlineStr">
        <is>
          <t>Single</t>
        </is>
      </c>
      <c r="G524" s="166" t="inlineStr">
        <is>
          <t>KWIK 4 MSRTC SCFG</t>
        </is>
      </c>
      <c r="H524" s="166" t="inlineStr">
        <is>
          <t>124 X 124</t>
        </is>
      </c>
      <c r="I524" s="166" t="inlineStr">
        <is>
          <t>17 X 28</t>
        </is>
      </c>
      <c r="J524" s="166" t="n">
        <v>15</v>
      </c>
      <c r="K524" s="181" t="n"/>
      <c r="L524" s="25" t="n"/>
      <c r="M524" s="26" t="n">
        <v>0.3381642512077295</v>
      </c>
      <c r="N524" s="25" t="n"/>
      <c r="O524" s="27" t="n"/>
    </row>
    <row r="525" ht="15" customHeight="1">
      <c r="A525" s="197" t="n">
        <v>18</v>
      </c>
      <c r="B525" s="198" t="inlineStr">
        <is>
          <t>Kwik 5 MSRTC</t>
        </is>
      </c>
      <c r="C525" s="184" t="inlineStr">
        <is>
          <t>LVP</t>
        </is>
      </c>
      <c r="D525" s="180" t="inlineStr">
        <is>
          <t>Top</t>
        </is>
      </c>
      <c r="E525" s="180" t="n">
        <v>60</v>
      </c>
      <c r="F525" s="180" t="inlineStr">
        <is>
          <t>Single</t>
        </is>
      </c>
      <c r="G525" s="180" t="inlineStr">
        <is>
          <t>KWIK 5 MSRTC LVP</t>
        </is>
      </c>
      <c r="H525" s="180" t="inlineStr">
        <is>
          <t>155 X 155</t>
        </is>
      </c>
      <c r="I525" s="180" t="inlineStr">
        <is>
          <t xml:space="preserve">20 X 20 </t>
        </is>
      </c>
      <c r="J525" s="180" t="n">
        <v>9</v>
      </c>
      <c r="K525" s="181" t="n"/>
      <c r="L525" s="31" t="n"/>
      <c r="M525" s="32" t="n">
        <v>1.103988603988604</v>
      </c>
      <c r="N525" s="31" t="n"/>
      <c r="O525" s="33" t="n"/>
    </row>
    <row r="526" ht="15" customHeight="1">
      <c r="A526" s="232" t="n"/>
      <c r="B526" s="232" t="n"/>
      <c r="C526" s="235" t="n"/>
      <c r="D526" s="169" t="inlineStr">
        <is>
          <t>Bottom</t>
        </is>
      </c>
      <c r="E526" s="169" t="n">
        <v>40</v>
      </c>
      <c r="F526" s="169" t="inlineStr">
        <is>
          <t>Single</t>
        </is>
      </c>
      <c r="G526" s="180" t="inlineStr">
        <is>
          <t>KWIK 5 MSRTC LVP</t>
        </is>
      </c>
      <c r="H526" s="180" t="inlineStr">
        <is>
          <t>155 X 155</t>
        </is>
      </c>
      <c r="I526" s="180" t="inlineStr">
        <is>
          <t xml:space="preserve">20 X 20 </t>
        </is>
      </c>
      <c r="J526" s="180" t="n">
        <v>9</v>
      </c>
      <c r="K526" s="171" t="n"/>
      <c r="L526" s="14" t="n"/>
      <c r="M526" s="15" t="n">
        <v>0.6977821913273751</v>
      </c>
      <c r="N526" s="14" t="n"/>
      <c r="O526" s="16" t="n"/>
    </row>
    <row r="527" ht="15.75" customHeight="1">
      <c r="A527" s="234" t="n"/>
      <c r="B527" s="234" t="n"/>
      <c r="C527" s="175" t="inlineStr">
        <is>
          <t>SCFG</t>
        </is>
      </c>
      <c r="D527" s="166" t="inlineStr">
        <is>
          <t>-</t>
        </is>
      </c>
      <c r="E527" s="166" t="n">
        <v>15</v>
      </c>
      <c r="F527" s="166" t="inlineStr">
        <is>
          <t>Single</t>
        </is>
      </c>
      <c r="G527" s="166" t="inlineStr">
        <is>
          <t>KWIK 5 MSRTC SCFG</t>
        </is>
      </c>
      <c r="H527" s="166" t="inlineStr">
        <is>
          <t>175 X 175</t>
        </is>
      </c>
      <c r="I527" s="166" t="inlineStr">
        <is>
          <t>23 X 38</t>
        </is>
      </c>
      <c r="J527" s="166" t="n">
        <v>15</v>
      </c>
      <c r="K527" s="176" t="n"/>
      <c r="L527" s="25" t="n"/>
      <c r="M527" s="26" t="n">
        <v>0.3381642512077295</v>
      </c>
      <c r="N527" s="25" t="n"/>
      <c r="O527" s="27" t="n"/>
    </row>
    <row r="528" ht="15" customHeight="1">
      <c r="A528" s="197" t="n">
        <v>18</v>
      </c>
      <c r="B528" s="198" t="inlineStr">
        <is>
          <t>T1</t>
        </is>
      </c>
      <c r="C528" s="184" t="inlineStr">
        <is>
          <t>LVP</t>
        </is>
      </c>
      <c r="D528" s="180" t="inlineStr">
        <is>
          <t>Top</t>
        </is>
      </c>
      <c r="E528" s="180" t="n">
        <v>70</v>
      </c>
      <c r="F528" s="180" t="n"/>
      <c r="G528" s="180" t="inlineStr">
        <is>
          <t>R1 LVP</t>
        </is>
      </c>
      <c r="H528" s="180" t="n">
        <v>27</v>
      </c>
      <c r="I528" s="180" t="inlineStr">
        <is>
          <t>12 X 18.5</t>
        </is>
      </c>
      <c r="J528" s="180" t="n">
        <v>160</v>
      </c>
      <c r="K528" s="181" t="n"/>
      <c r="L528" s="31" t="n"/>
      <c r="M528" s="32" t="n">
        <v>1.269736842105263</v>
      </c>
      <c r="N528" s="31" t="n"/>
      <c r="O528" s="33" t="n"/>
    </row>
    <row r="529" ht="15" customHeight="1">
      <c r="A529" s="232" t="n"/>
      <c r="B529" s="232" t="n"/>
      <c r="C529" s="235" t="n"/>
      <c r="D529" s="169" t="inlineStr">
        <is>
          <t>Bottom</t>
        </is>
      </c>
      <c r="E529" s="169" t="n"/>
      <c r="F529" s="169" t="n"/>
      <c r="G529" s="180" t="n"/>
      <c r="H529" s="180" t="n"/>
      <c r="I529" s="180" t="n"/>
      <c r="J529" s="180" t="n"/>
      <c r="K529" s="171" t="n"/>
      <c r="L529" s="14" t="n"/>
      <c r="M529" s="15" t="e">
        <v>#N/A</v>
      </c>
      <c r="N529" s="14" t="n"/>
      <c r="O529" s="16" t="n"/>
    </row>
    <row r="530" ht="15.75" customHeight="1">
      <c r="A530" s="234" t="n"/>
      <c r="B530" s="234" t="n"/>
      <c r="C530" s="175" t="inlineStr">
        <is>
          <t>SCFG</t>
        </is>
      </c>
      <c r="D530" s="166" t="inlineStr">
        <is>
          <t>-</t>
        </is>
      </c>
      <c r="E530" s="166" t="n">
        <v>15</v>
      </c>
      <c r="F530" s="166" t="n"/>
      <c r="G530" s="166" t="inlineStr">
        <is>
          <t xml:space="preserve">SCFG </t>
        </is>
      </c>
      <c r="H530" s="166" t="n">
        <v>40</v>
      </c>
      <c r="I530" s="166" t="inlineStr">
        <is>
          <t>31 X 23</t>
        </is>
      </c>
      <c r="J530" s="166" t="n">
        <v>130</v>
      </c>
      <c r="K530" s="176" t="n"/>
      <c r="L530" s="25" t="n"/>
      <c r="M530" s="26" t="n">
        <v>0.3381642512077295</v>
      </c>
      <c r="N530" s="25" t="n"/>
      <c r="O530" s="27" t="n"/>
    </row>
    <row r="531" ht="15" customHeight="1">
      <c r="A531" s="197" t="n">
        <v>18</v>
      </c>
      <c r="B531" s="198" t="inlineStr">
        <is>
          <t>MP 1</t>
        </is>
      </c>
      <c r="C531" s="184" t="inlineStr">
        <is>
          <t>LVP</t>
        </is>
      </c>
      <c r="D531" s="180" t="inlineStr">
        <is>
          <t>Top</t>
        </is>
      </c>
      <c r="E531" s="180" t="n">
        <v>40</v>
      </c>
      <c r="F531" s="185" t="inlineStr">
        <is>
          <t>Passing</t>
        </is>
      </c>
      <c r="G531" s="185" t="inlineStr">
        <is>
          <t>C2 SVG</t>
        </is>
      </c>
      <c r="H531" s="185" t="n">
        <v>56</v>
      </c>
      <c r="I531" s="185" t="inlineStr">
        <is>
          <t>17.5 X 24</t>
        </is>
      </c>
      <c r="J531" s="185" t="n">
        <v>72</v>
      </c>
      <c r="K531" s="181" t="n"/>
      <c r="L531" s="31" t="n"/>
      <c r="M531" s="32" t="n">
        <v>0.6977821913273751</v>
      </c>
      <c r="N531" s="31" t="n"/>
      <c r="O531" s="33" t="n"/>
    </row>
    <row r="532" ht="15" customHeight="1">
      <c r="A532" s="232" t="n"/>
      <c r="B532" s="232" t="n"/>
      <c r="C532" s="235" t="n"/>
      <c r="D532" s="169" t="inlineStr">
        <is>
          <t>Bottom</t>
        </is>
      </c>
      <c r="E532" s="169" t="n"/>
      <c r="F532" s="180" t="n"/>
      <c r="G532" s="180" t="n"/>
      <c r="H532" s="180" t="n"/>
      <c r="I532" s="180" t="n"/>
      <c r="J532" s="180" t="n"/>
      <c r="K532" s="171" t="n"/>
      <c r="L532" s="14" t="n"/>
      <c r="M532" s="15" t="e">
        <v>#N/A</v>
      </c>
      <c r="N532" s="14" t="n"/>
      <c r="O532" s="16" t="n"/>
    </row>
    <row r="533" ht="15.75" customHeight="1">
      <c r="A533" s="234" t="n"/>
      <c r="B533" s="234" t="n"/>
      <c r="C533" s="175" t="inlineStr">
        <is>
          <t>SCFG</t>
        </is>
      </c>
      <c r="D533" s="166" t="inlineStr">
        <is>
          <t>-</t>
        </is>
      </c>
      <c r="E533" s="166" t="n">
        <v>15</v>
      </c>
      <c r="F533" s="166" t="n"/>
      <c r="G533" s="166" t="inlineStr">
        <is>
          <t xml:space="preserve">SCFG </t>
        </is>
      </c>
      <c r="H533" s="166" t="n">
        <v>75</v>
      </c>
      <c r="I533" s="166" t="inlineStr">
        <is>
          <t>19 X 19</t>
        </is>
      </c>
      <c r="J533" s="166" t="n">
        <v>25</v>
      </c>
      <c r="K533" s="176" t="n"/>
      <c r="L533" s="25" t="n"/>
      <c r="M533" s="26" t="n">
        <v>0.3381642512077295</v>
      </c>
      <c r="N533" s="25" t="n"/>
      <c r="O533" s="27" t="n"/>
    </row>
    <row r="534" ht="15" customHeight="1">
      <c r="A534" s="197" t="n">
        <v>18</v>
      </c>
      <c r="B534" s="198" t="inlineStr">
        <is>
          <t>MP 2</t>
        </is>
      </c>
      <c r="C534" s="184" t="inlineStr">
        <is>
          <t>LVP</t>
        </is>
      </c>
      <c r="D534" s="180" t="inlineStr">
        <is>
          <t>Top</t>
        </is>
      </c>
      <c r="E534" s="180" t="n">
        <v>40</v>
      </c>
      <c r="F534" s="180" t="inlineStr">
        <is>
          <t>Passing</t>
        </is>
      </c>
      <c r="G534" s="180" t="inlineStr">
        <is>
          <t>KWIK 2 LVP</t>
        </is>
      </c>
      <c r="H534" s="180" t="n">
        <v>70</v>
      </c>
      <c r="I534" s="180" t="inlineStr">
        <is>
          <t>23 X 23</t>
        </is>
      </c>
      <c r="J534" s="180" t="n">
        <v>49</v>
      </c>
      <c r="K534" s="181" t="n"/>
      <c r="L534" s="31" t="n"/>
      <c r="M534" s="32" t="n">
        <v>0.6977821913273751</v>
      </c>
      <c r="N534" s="31" t="n"/>
      <c r="O534" s="33" t="n"/>
    </row>
    <row r="535" ht="15" customHeight="1">
      <c r="A535" s="232" t="n"/>
      <c r="B535" s="232" t="n"/>
      <c r="C535" s="235" t="n"/>
      <c r="D535" s="169" t="inlineStr">
        <is>
          <t>Bottom</t>
        </is>
      </c>
      <c r="E535" s="169" t="n"/>
      <c r="F535" s="169" t="n"/>
      <c r="G535" s="169" t="n"/>
      <c r="H535" s="169" t="n"/>
      <c r="I535" s="169" t="n"/>
      <c r="J535" s="169" t="n"/>
      <c r="K535" s="171" t="n"/>
      <c r="L535" s="14" t="n"/>
      <c r="M535" s="15" t="e">
        <v>#N/A</v>
      </c>
      <c r="N535" s="14" t="n"/>
      <c r="O535" s="16" t="n"/>
    </row>
    <row r="536" ht="15.75" customHeight="1">
      <c r="A536" s="234" t="n"/>
      <c r="B536" s="234" t="n"/>
      <c r="C536" s="175" t="inlineStr">
        <is>
          <t>SCFG</t>
        </is>
      </c>
      <c r="D536" s="166" t="inlineStr">
        <is>
          <t>-</t>
        </is>
      </c>
      <c r="E536" s="166" t="n">
        <v>15</v>
      </c>
      <c r="F536" s="166" t="inlineStr">
        <is>
          <t>Single</t>
        </is>
      </c>
      <c r="G536" s="166" t="inlineStr">
        <is>
          <t>KWIK 2 SCFG</t>
        </is>
      </c>
      <c r="H536" s="166" t="n">
        <v>89</v>
      </c>
      <c r="I536" s="166" t="inlineStr">
        <is>
          <t>21.5 X 21.5</t>
        </is>
      </c>
      <c r="J536" s="166" t="n">
        <v>25</v>
      </c>
      <c r="K536" s="176" t="n"/>
      <c r="L536" s="25" t="n"/>
      <c r="M536" s="26" t="n">
        <v>0.3381642512077295</v>
      </c>
      <c r="N536" s="25" t="n"/>
      <c r="O536" s="27" t="n"/>
    </row>
    <row r="537" ht="15" customHeight="1">
      <c r="A537" s="197" t="n">
        <v>18</v>
      </c>
      <c r="B537" s="198" t="inlineStr">
        <is>
          <t>HR 10 HD</t>
        </is>
      </c>
      <c r="C537" s="184" t="inlineStr">
        <is>
          <t>LVP</t>
        </is>
      </c>
      <c r="D537" s="180" t="inlineStr">
        <is>
          <t>Top</t>
        </is>
      </c>
      <c r="E537" s="180" t="n">
        <v>60</v>
      </c>
      <c r="F537" s="180" t="inlineStr">
        <is>
          <t>Single</t>
        </is>
      </c>
      <c r="G537" s="180" t="inlineStr">
        <is>
          <t>MSX 10 HD LVP</t>
        </is>
      </c>
      <c r="H537" s="180" t="inlineStr">
        <is>
          <t>47 X 64</t>
        </is>
      </c>
      <c r="I537" s="180" t="inlineStr">
        <is>
          <t>24 X 24</t>
        </is>
      </c>
      <c r="J537" s="180" t="n">
        <v>80</v>
      </c>
      <c r="K537" s="181" t="n"/>
      <c r="L537" s="31" t="n"/>
      <c r="M537" s="32" t="n">
        <v>1.103988603988604</v>
      </c>
      <c r="N537" s="31" t="n"/>
      <c r="O537" s="33" t="n"/>
    </row>
    <row r="538" ht="15" customHeight="1">
      <c r="A538" s="232" t="n"/>
      <c r="B538" s="232" t="n"/>
      <c r="C538" s="235" t="n"/>
      <c r="D538" s="169" t="inlineStr">
        <is>
          <t>Bottom</t>
        </is>
      </c>
      <c r="E538" s="169" t="n"/>
      <c r="F538" s="169" t="n"/>
      <c r="G538" s="169" t="n"/>
      <c r="H538" s="169" t="n"/>
      <c r="I538" s="169" t="n"/>
      <c r="J538" s="169" t="n"/>
      <c r="K538" s="171" t="n"/>
      <c r="L538" s="14" t="n"/>
      <c r="M538" s="15" t="e">
        <v>#N/A</v>
      </c>
      <c r="N538" s="14" t="n"/>
      <c r="O538" s="16" t="n"/>
    </row>
    <row r="539" ht="15.75" customHeight="1">
      <c r="A539" s="234" t="n"/>
      <c r="B539" s="234" t="n"/>
      <c r="C539" s="175" t="inlineStr">
        <is>
          <t>SCFG</t>
        </is>
      </c>
      <c r="D539" s="166" t="inlineStr">
        <is>
          <t>-</t>
        </is>
      </c>
      <c r="E539" s="166" t="n">
        <v>15</v>
      </c>
      <c r="F539" s="166" t="inlineStr">
        <is>
          <t>Single</t>
        </is>
      </c>
      <c r="G539" s="169" t="inlineStr">
        <is>
          <t>MSX 10 HD SCFG</t>
        </is>
      </c>
      <c r="H539" s="169" t="inlineStr">
        <is>
          <t>63 X 81</t>
        </is>
      </c>
      <c r="I539" s="166" t="inlineStr">
        <is>
          <t>16 X 20</t>
        </is>
      </c>
      <c r="J539" s="166" t="n">
        <v>25</v>
      </c>
      <c r="K539" s="176" t="n"/>
      <c r="L539" s="25" t="n"/>
      <c r="M539" s="26" t="n">
        <v>0.3381642512077295</v>
      </c>
      <c r="N539" s="25" t="n"/>
      <c r="O539" s="27" t="n"/>
    </row>
    <row r="540" ht="15" customHeight="1">
      <c r="A540" s="197" t="n">
        <v>18</v>
      </c>
      <c r="B540" s="198" t="inlineStr">
        <is>
          <t>HR 12 HD</t>
        </is>
      </c>
      <c r="C540" s="184" t="inlineStr">
        <is>
          <t>LVP</t>
        </is>
      </c>
      <c r="D540" s="180" t="inlineStr">
        <is>
          <t>Top</t>
        </is>
      </c>
      <c r="E540" s="180" t="n">
        <v>60</v>
      </c>
      <c r="F540" s="180" t="inlineStr">
        <is>
          <t>Single</t>
        </is>
      </c>
      <c r="G540" s="180" t="inlineStr">
        <is>
          <t>MSX 12 HD LVP</t>
        </is>
      </c>
      <c r="H540" s="180" t="inlineStr">
        <is>
          <t>55 X 100</t>
        </is>
      </c>
      <c r="I540" s="180" t="inlineStr">
        <is>
          <t>22 X 24</t>
        </is>
      </c>
      <c r="J540" s="180" t="n">
        <v>45</v>
      </c>
      <c r="K540" s="181" t="n"/>
      <c r="L540" s="31" t="n"/>
      <c r="M540" s="32" t="n">
        <v>1.103988603988604</v>
      </c>
      <c r="N540" s="31" t="n"/>
      <c r="O540" s="33" t="n"/>
    </row>
    <row r="541" ht="15" customHeight="1">
      <c r="A541" s="232" t="n"/>
      <c r="B541" s="232" t="n"/>
      <c r="C541" s="235" t="n"/>
      <c r="D541" s="169" t="inlineStr">
        <is>
          <t>Bottom</t>
        </is>
      </c>
      <c r="E541" s="169" t="n"/>
      <c r="F541" s="169" t="n"/>
      <c r="G541" s="169" t="n"/>
      <c r="H541" s="169" t="n"/>
      <c r="I541" s="169" t="n"/>
      <c r="J541" s="169" t="n"/>
      <c r="K541" s="171" t="n"/>
      <c r="L541" s="14" t="n"/>
      <c r="M541" s="15" t="e">
        <v>#N/A</v>
      </c>
      <c r="N541" s="14" t="n"/>
      <c r="O541" s="16" t="n"/>
    </row>
    <row r="542" ht="15.75" customHeight="1">
      <c r="A542" s="234" t="n"/>
      <c r="B542" s="234" t="n"/>
      <c r="C542" s="175" t="inlineStr">
        <is>
          <t>SCFG</t>
        </is>
      </c>
      <c r="D542" s="166" t="inlineStr">
        <is>
          <t>-</t>
        </is>
      </c>
      <c r="E542" s="166" t="n">
        <v>15</v>
      </c>
      <c r="F542" s="166" t="inlineStr">
        <is>
          <t>Single</t>
        </is>
      </c>
      <c r="G542" s="169" t="inlineStr">
        <is>
          <t>MSX 12 HD SCFG</t>
        </is>
      </c>
      <c r="H542" s="169" t="inlineStr">
        <is>
          <t>70 X 115</t>
        </is>
      </c>
      <c r="I542" s="166" t="inlineStr">
        <is>
          <t>18 X 21</t>
        </is>
      </c>
      <c r="J542" s="166" t="n">
        <v>20</v>
      </c>
      <c r="K542" s="176" t="n"/>
      <c r="L542" s="25" t="n"/>
      <c r="M542" s="26" t="n">
        <v>0.3381642512077295</v>
      </c>
      <c r="N542" s="25" t="n"/>
      <c r="O542" s="27" t="n"/>
    </row>
    <row r="543" ht="15" customHeight="1">
      <c r="A543" s="197" t="n">
        <v>18</v>
      </c>
      <c r="B543" s="198" t="inlineStr">
        <is>
          <t>HR 14 HD</t>
        </is>
      </c>
      <c r="C543" s="184" t="inlineStr">
        <is>
          <t>LVP</t>
        </is>
      </c>
      <c r="D543" s="180" t="inlineStr">
        <is>
          <t>Top</t>
        </is>
      </c>
      <c r="E543" s="180" t="n">
        <v>60</v>
      </c>
      <c r="F543" s="180" t="inlineStr">
        <is>
          <t>Single</t>
        </is>
      </c>
      <c r="G543" s="180" t="inlineStr">
        <is>
          <t>MSX 14 HD LVP</t>
        </is>
      </c>
      <c r="H543" s="180" t="inlineStr">
        <is>
          <t>62 X 132</t>
        </is>
      </c>
      <c r="I543" s="180" t="inlineStr">
        <is>
          <t>21 X 23</t>
        </is>
      </c>
      <c r="J543" s="180" t="n">
        <v>28</v>
      </c>
      <c r="K543" s="181" t="n"/>
      <c r="L543" s="31" t="n"/>
      <c r="M543" s="32" t="n">
        <v>1.103988603988604</v>
      </c>
      <c r="N543" s="31" t="n"/>
      <c r="O543" s="33" t="n"/>
    </row>
    <row r="544" ht="15" customHeight="1">
      <c r="A544" s="232" t="n"/>
      <c r="B544" s="232" t="n"/>
      <c r="C544" s="235" t="n"/>
      <c r="D544" s="169" t="inlineStr">
        <is>
          <t>Bottom</t>
        </is>
      </c>
      <c r="E544" s="169" t="n"/>
      <c r="F544" s="169" t="n"/>
      <c r="G544" s="169" t="n"/>
      <c r="H544" s="169" t="n"/>
      <c r="I544" s="169" t="n"/>
      <c r="J544" s="169" t="n"/>
      <c r="K544" s="171" t="n"/>
      <c r="L544" s="14" t="n"/>
      <c r="M544" s="15" t="e">
        <v>#N/A</v>
      </c>
      <c r="N544" s="14" t="n"/>
      <c r="O544" s="16" t="n"/>
    </row>
    <row r="545" ht="15.75" customHeight="1">
      <c r="A545" s="234" t="n"/>
      <c r="B545" s="234" t="n"/>
      <c r="C545" s="175" t="inlineStr">
        <is>
          <t>SCFG</t>
        </is>
      </c>
      <c r="D545" s="166" t="inlineStr">
        <is>
          <t>-</t>
        </is>
      </c>
      <c r="E545" s="166" t="n">
        <v>15</v>
      </c>
      <c r="F545" s="166" t="inlineStr">
        <is>
          <t>Single</t>
        </is>
      </c>
      <c r="G545" s="169" t="inlineStr">
        <is>
          <t>MSX 14 HD SCFG</t>
        </is>
      </c>
      <c r="H545" s="169" t="inlineStr">
        <is>
          <t>81 X 150</t>
        </is>
      </c>
      <c r="I545" s="166" t="inlineStr">
        <is>
          <t>21 X 23</t>
        </is>
      </c>
      <c r="J545" s="166" t="n">
        <v>28</v>
      </c>
      <c r="K545" s="176" t="n"/>
      <c r="L545" s="25" t="n"/>
      <c r="M545" s="26" t="n">
        <v>0.3381642512077295</v>
      </c>
      <c r="N545" s="25" t="n"/>
      <c r="O545" s="27" t="n"/>
    </row>
    <row r="546" ht="15" customHeight="1">
      <c r="A546" s="197" t="n">
        <v>18</v>
      </c>
      <c r="B546" s="198" t="inlineStr">
        <is>
          <t>HR 20 HD</t>
        </is>
      </c>
      <c r="C546" s="184" t="inlineStr">
        <is>
          <t>LVP</t>
        </is>
      </c>
      <c r="D546" s="180" t="inlineStr">
        <is>
          <t>Top</t>
        </is>
      </c>
      <c r="E546" s="180" t="n">
        <v>40</v>
      </c>
      <c r="F546" s="180" t="inlineStr">
        <is>
          <t>Single</t>
        </is>
      </c>
      <c r="G546" s="180" t="inlineStr">
        <is>
          <t>MSX 20 HD LVP,
R 120 LVP,
Volga 20 LVP</t>
        </is>
      </c>
      <c r="H546" s="180" t="inlineStr">
        <is>
          <t>67 X 117</t>
        </is>
      </c>
      <c r="I546" s="180" t="inlineStr">
        <is>
          <t>20.5 X 22</t>
        </is>
      </c>
      <c r="J546" s="180" t="n">
        <v>28</v>
      </c>
      <c r="K546" s="181" t="n"/>
      <c r="L546" s="31" t="n"/>
      <c r="M546" s="32" t="n">
        <v>0.6977821913273751</v>
      </c>
      <c r="N546" s="31" t="n"/>
      <c r="O546" s="33" t="n"/>
    </row>
    <row r="547" ht="15" customHeight="1">
      <c r="A547" s="232" t="n"/>
      <c r="B547" s="232" t="n"/>
      <c r="C547" s="235" t="n"/>
      <c r="D547" s="169" t="inlineStr">
        <is>
          <t>Bottom</t>
        </is>
      </c>
      <c r="E547" s="169" t="n">
        <v>40</v>
      </c>
      <c r="F547" s="180" t="inlineStr">
        <is>
          <t>Single</t>
        </is>
      </c>
      <c r="G547" s="180" t="inlineStr">
        <is>
          <t>MSX 20 HD LVP,
R 120 LVP,
Volga 20 LVP</t>
        </is>
      </c>
      <c r="H547" s="180" t="inlineStr">
        <is>
          <t>67 X 117</t>
        </is>
      </c>
      <c r="I547" s="180" t="inlineStr">
        <is>
          <t>20.5 X 22</t>
        </is>
      </c>
      <c r="J547" s="180" t="n">
        <v>28</v>
      </c>
      <c r="K547" s="171" t="n"/>
      <c r="L547" s="14" t="n"/>
      <c r="M547" s="15" t="n">
        <v>0.6977821913273751</v>
      </c>
      <c r="N547" s="14" t="n"/>
      <c r="O547" s="16" t="n"/>
    </row>
    <row r="548" ht="15.75" customHeight="1">
      <c r="A548" s="234" t="n"/>
      <c r="B548" s="234" t="n"/>
      <c r="C548" s="175" t="inlineStr">
        <is>
          <t>SCFG</t>
        </is>
      </c>
      <c r="D548" s="166" t="inlineStr">
        <is>
          <t>-</t>
        </is>
      </c>
      <c r="E548" s="166" t="n">
        <v>15</v>
      </c>
      <c r="F548" s="166" t="inlineStr">
        <is>
          <t>Single</t>
        </is>
      </c>
      <c r="G548" s="169" t="inlineStr">
        <is>
          <t>MSX 20 HD SCFG,
Volga 20 SCFG</t>
        </is>
      </c>
      <c r="H548" s="169" t="inlineStr">
        <is>
          <t>85 X 135</t>
        </is>
      </c>
      <c r="I548" s="166" t="inlineStr">
        <is>
          <t>21 X 24</t>
        </is>
      </c>
      <c r="J548" s="166" t="n">
        <v>20</v>
      </c>
      <c r="K548" s="176" t="n"/>
      <c r="L548" s="25" t="n"/>
      <c r="M548" s="26" t="n">
        <v>0.3381642512077295</v>
      </c>
      <c r="N548" s="25" t="n"/>
      <c r="O548" s="27" t="n"/>
    </row>
    <row r="549" ht="15" customHeight="1">
      <c r="A549" s="197" t="n"/>
      <c r="B549" s="198" t="inlineStr">
        <is>
          <t>R 2</t>
        </is>
      </c>
      <c r="C549" s="184" t="inlineStr">
        <is>
          <t>LVP</t>
        </is>
      </c>
      <c r="D549" s="180" t="inlineStr">
        <is>
          <t>Top</t>
        </is>
      </c>
      <c r="E549" s="180" t="n">
        <v>60</v>
      </c>
      <c r="F549" s="180" t="inlineStr">
        <is>
          <t>Passing</t>
        </is>
      </c>
      <c r="G549" s="180" t="inlineStr">
        <is>
          <t>C4 Sq on fabric (off bal.), 
CKHD 1 LVP,
 kwik 1 Off Bal fabric</t>
        </is>
      </c>
      <c r="H549" s="180" t="inlineStr">
        <is>
          <t>61 X 61</t>
        </is>
      </c>
      <c r="I549" s="180" t="inlineStr">
        <is>
          <t>12 X 20</t>
        </is>
      </c>
      <c r="J549" s="180" t="n">
        <v>35</v>
      </c>
      <c r="K549" s="181" t="n"/>
      <c r="L549" s="31" t="n"/>
      <c r="M549" s="32" t="n">
        <v>1.103988603988604</v>
      </c>
      <c r="N549" s="31" t="n"/>
      <c r="O549" s="33" t="n"/>
    </row>
    <row r="550" ht="15" customHeight="1">
      <c r="A550" s="232" t="n"/>
      <c r="B550" s="232" t="n"/>
      <c r="C550" s="235" t="n"/>
      <c r="D550" s="169" t="inlineStr">
        <is>
          <t>Bottom</t>
        </is>
      </c>
      <c r="E550" s="169" t="n">
        <v>40</v>
      </c>
      <c r="F550" s="180" t="inlineStr">
        <is>
          <t>Single</t>
        </is>
      </c>
      <c r="G550" s="180" t="inlineStr">
        <is>
          <t>C4 Sq on fabric (off bal.), 
CKHD 1 LVP,
 kwik 1 Off Bal fabric</t>
        </is>
      </c>
      <c r="H550" s="180" t="inlineStr">
        <is>
          <t>61 X 61</t>
        </is>
      </c>
      <c r="I550" s="180" t="inlineStr">
        <is>
          <t>12 X 20</t>
        </is>
      </c>
      <c r="J550" s="180" t="n">
        <v>35</v>
      </c>
      <c r="K550" s="171" t="n"/>
      <c r="L550" s="14" t="n"/>
      <c r="M550" s="15" t="n">
        <v>0.6977821913273751</v>
      </c>
      <c r="N550" s="14" t="n"/>
      <c r="O550" s="16" t="n"/>
    </row>
    <row r="551" ht="15.75" customHeight="1">
      <c r="A551" s="234" t="n"/>
      <c r="B551" s="234" t="n"/>
      <c r="C551" s="175" t="inlineStr">
        <is>
          <t>SCFG</t>
        </is>
      </c>
      <c r="D551" s="166" t="inlineStr">
        <is>
          <t>-</t>
        </is>
      </c>
      <c r="E551" s="166" t="n">
        <v>15</v>
      </c>
      <c r="F551" s="166" t="inlineStr">
        <is>
          <t>Single</t>
        </is>
      </c>
      <c r="G551" s="166" t="inlineStr">
        <is>
          <t>RLR</t>
        </is>
      </c>
      <c r="H551" s="166" t="inlineStr">
        <is>
          <t>79.4 X 79.4</t>
        </is>
      </c>
      <c r="I551" s="166" t="inlineStr">
        <is>
          <t>23.5 X 16</t>
        </is>
      </c>
      <c r="J551" s="166" t="n">
        <v>24</v>
      </c>
      <c r="K551" s="176" t="n"/>
      <c r="L551" s="25" t="n"/>
      <c r="M551" s="26" t="n">
        <v>0.3381642512077295</v>
      </c>
      <c r="N551" s="25" t="n"/>
      <c r="O551" s="27" t="n"/>
    </row>
    <row r="552" ht="15" customHeight="1">
      <c r="A552" s="197" t="n"/>
      <c r="B552" s="198" t="inlineStr">
        <is>
          <t>R 3</t>
        </is>
      </c>
      <c r="C552" s="184" t="inlineStr">
        <is>
          <t>LVP</t>
        </is>
      </c>
      <c r="D552" s="180" t="inlineStr">
        <is>
          <t>Top</t>
        </is>
      </c>
      <c r="E552" s="180" t="n">
        <v>60</v>
      </c>
      <c r="F552" s="180" t="inlineStr">
        <is>
          <t>Single</t>
        </is>
      </c>
      <c r="G552" s="180" t="inlineStr">
        <is>
          <t>RLR</t>
        </is>
      </c>
      <c r="H552" s="180" t="inlineStr">
        <is>
          <t>79.4 X 79.4</t>
        </is>
      </c>
      <c r="I552" s="180" t="inlineStr">
        <is>
          <t>22 X 22</t>
        </is>
      </c>
      <c r="J552" s="180" t="n">
        <v>36</v>
      </c>
      <c r="K552" s="181" t="n"/>
      <c r="L552" s="31" t="n"/>
      <c r="M552" s="32" t="n">
        <v>1.103988603988604</v>
      </c>
      <c r="N552" s="31" t="n"/>
      <c r="O552" s="33" t="n"/>
    </row>
    <row r="553" ht="15" customHeight="1">
      <c r="A553" s="232" t="n"/>
      <c r="B553" s="232" t="n"/>
      <c r="C553" s="235" t="n"/>
      <c r="D553" s="169" t="inlineStr">
        <is>
          <t>Bottom</t>
        </is>
      </c>
      <c r="E553" s="169" t="n">
        <v>60</v>
      </c>
      <c r="F553" s="180" t="inlineStr">
        <is>
          <t>Single</t>
        </is>
      </c>
      <c r="G553" s="180" t="inlineStr">
        <is>
          <t>RLR</t>
        </is>
      </c>
      <c r="H553" s="180" t="inlineStr">
        <is>
          <t>79.4 X 79.4</t>
        </is>
      </c>
      <c r="I553" s="180" t="inlineStr">
        <is>
          <t>22 X 22</t>
        </is>
      </c>
      <c r="J553" s="180" t="n">
        <v>36</v>
      </c>
      <c r="K553" s="171" t="n"/>
      <c r="L553" s="14" t="n"/>
      <c r="M553" s="15" t="n">
        <v>1.103988603988604</v>
      </c>
      <c r="N553" s="14" t="n"/>
      <c r="O553" s="16" t="n"/>
    </row>
    <row r="554" ht="15.75" customHeight="1">
      <c r="A554" s="234" t="n"/>
      <c r="B554" s="234" t="n"/>
      <c r="C554" s="175" t="inlineStr">
        <is>
          <t>SCFG</t>
        </is>
      </c>
      <c r="D554" s="166" t="inlineStr">
        <is>
          <t>-</t>
        </is>
      </c>
      <c r="E554" s="166" t="n">
        <v>15</v>
      </c>
      <c r="F554" s="166" t="inlineStr">
        <is>
          <t>Single</t>
        </is>
      </c>
      <c r="G554" s="166" t="inlineStr">
        <is>
          <t>R 3</t>
        </is>
      </c>
      <c r="H554" s="166" t="inlineStr">
        <is>
          <t>100 X 100</t>
        </is>
      </c>
      <c r="I554" s="166" t="inlineStr">
        <is>
          <t>28 X 19</t>
        </is>
      </c>
      <c r="J554" s="166" t="n">
        <v>24</v>
      </c>
      <c r="K554" s="176" t="n"/>
      <c r="L554" s="25" t="n"/>
      <c r="M554" s="26" t="n">
        <v>0.3381642512077295</v>
      </c>
      <c r="N554" s="25" t="n"/>
      <c r="O554" s="27" t="n"/>
    </row>
    <row r="555" ht="15" customHeight="1">
      <c r="A555" s="197" t="n"/>
      <c r="B555" s="198" t="inlineStr">
        <is>
          <t>R 4</t>
        </is>
      </c>
      <c r="C555" s="184" t="inlineStr">
        <is>
          <t>LVP</t>
        </is>
      </c>
      <c r="D555" s="180" t="inlineStr">
        <is>
          <t>Top</t>
        </is>
      </c>
      <c r="E555" s="180" t="n">
        <v>60</v>
      </c>
      <c r="F555" s="180" t="inlineStr">
        <is>
          <t>Single</t>
        </is>
      </c>
      <c r="G555" s="180" t="inlineStr">
        <is>
          <t>Indoflex 4 LVP</t>
        </is>
      </c>
      <c r="H555" s="180" t="inlineStr">
        <is>
          <t>130 X 130</t>
        </is>
      </c>
      <c r="I555" s="180" t="inlineStr">
        <is>
          <t>23 X 23</t>
        </is>
      </c>
      <c r="J555" s="180" t="n">
        <v>16</v>
      </c>
      <c r="K555" s="181" t="n"/>
      <c r="L555" s="31" t="n"/>
      <c r="M555" s="32" t="n">
        <v>1.103988603988604</v>
      </c>
      <c r="N555" s="31" t="n"/>
      <c r="O555" s="33" t="n"/>
    </row>
    <row r="556" ht="15" customHeight="1">
      <c r="A556" s="232" t="n"/>
      <c r="B556" s="232" t="n"/>
      <c r="C556" s="235" t="n"/>
      <c r="D556" s="169" t="inlineStr">
        <is>
          <t>Bottom</t>
        </is>
      </c>
      <c r="E556" s="169" t="n">
        <v>40</v>
      </c>
      <c r="F556" s="180" t="inlineStr">
        <is>
          <t>Single</t>
        </is>
      </c>
      <c r="G556" s="180" t="inlineStr">
        <is>
          <t>Indoflex 4 LVP</t>
        </is>
      </c>
      <c r="H556" s="180" t="inlineStr">
        <is>
          <t>130 X 130</t>
        </is>
      </c>
      <c r="I556" s="180" t="inlineStr">
        <is>
          <t>23 X 23</t>
        </is>
      </c>
      <c r="J556" s="180" t="n">
        <v>16</v>
      </c>
      <c r="K556" s="171" t="n"/>
      <c r="L556" s="14" t="n"/>
      <c r="M556" s="15" t="n">
        <v>0.6977821913273751</v>
      </c>
      <c r="N556" s="14" t="n"/>
      <c r="O556" s="16" t="n"/>
    </row>
    <row r="557" ht="15.75" customHeight="1">
      <c r="A557" s="234" t="n"/>
      <c r="B557" s="234" t="n"/>
      <c r="C557" s="175" t="inlineStr">
        <is>
          <t>SCFG</t>
        </is>
      </c>
      <c r="D557" s="166" t="inlineStr">
        <is>
          <t>-</t>
        </is>
      </c>
      <c r="E557" s="166" t="n">
        <v>15</v>
      </c>
      <c r="F557" s="166" t="inlineStr">
        <is>
          <t>Single</t>
        </is>
      </c>
      <c r="G557" s="166" t="inlineStr">
        <is>
          <t>Indoflex 4 SCFG</t>
        </is>
      </c>
      <c r="H557" s="166" t="inlineStr">
        <is>
          <t>150 X 150</t>
        </is>
      </c>
      <c r="I557" s="166" t="inlineStr">
        <is>
          <t>40 X 27</t>
        </is>
      </c>
      <c r="J557" s="166" t="n">
        <v>24</v>
      </c>
      <c r="K557" s="176" t="n"/>
      <c r="L557" s="25" t="n"/>
      <c r="M557" s="26" t="n">
        <v>0.3381642512077295</v>
      </c>
      <c r="N557" s="25" t="n"/>
      <c r="O557" s="27" t="n"/>
    </row>
    <row r="558" ht="15" customHeight="1">
      <c r="A558" s="197" t="n"/>
      <c r="B558" s="198" t="inlineStr">
        <is>
          <t>R 5</t>
        </is>
      </c>
      <c r="C558" s="184" t="inlineStr">
        <is>
          <t>LVP</t>
        </is>
      </c>
      <c r="D558" s="180" t="inlineStr">
        <is>
          <t>Top</t>
        </is>
      </c>
      <c r="E558" s="180" t="n">
        <v>80</v>
      </c>
      <c r="F558" s="180" t="inlineStr">
        <is>
          <t>Single</t>
        </is>
      </c>
      <c r="G558" s="180" t="inlineStr">
        <is>
          <t>KWIK 5 LVP</t>
        </is>
      </c>
      <c r="H558" s="180" t="inlineStr">
        <is>
          <t>165 X 165</t>
        </is>
      </c>
      <c r="I558" s="180" t="inlineStr">
        <is>
          <t>21 X 21</t>
        </is>
      </c>
      <c r="J558" s="180" t="n">
        <v>9</v>
      </c>
      <c r="K558" s="181" t="n"/>
      <c r="L558" s="31" t="n"/>
      <c r="M558" s="32" t="n">
        <v>1.494824016563147</v>
      </c>
      <c r="N558" s="31" t="n"/>
      <c r="O558" s="33" t="n"/>
    </row>
    <row r="559" ht="15" customHeight="1">
      <c r="A559" s="232" t="n"/>
      <c r="B559" s="232" t="n"/>
      <c r="C559" s="235" t="n"/>
      <c r="D559" s="169" t="inlineStr">
        <is>
          <t>Bottom</t>
        </is>
      </c>
      <c r="E559" s="169" t="n">
        <v>40</v>
      </c>
      <c r="F559" s="180" t="inlineStr">
        <is>
          <t>Single</t>
        </is>
      </c>
      <c r="G559" s="180" t="inlineStr">
        <is>
          <t>KWIK 5 LVP</t>
        </is>
      </c>
      <c r="H559" s="180" t="inlineStr">
        <is>
          <t>165 X 165</t>
        </is>
      </c>
      <c r="I559" s="180" t="inlineStr">
        <is>
          <t>21 X 21</t>
        </is>
      </c>
      <c r="J559" s="180" t="n">
        <v>9</v>
      </c>
      <c r="K559" s="171" t="n"/>
      <c r="L559" s="14" t="n"/>
      <c r="M559" s="15" t="n">
        <v>0.6977821913273751</v>
      </c>
      <c r="N559" s="14" t="n"/>
      <c r="O559" s="16" t="n"/>
    </row>
    <row r="560" ht="15.75" customHeight="1">
      <c r="A560" s="234" t="n"/>
      <c r="B560" s="234" t="n"/>
      <c r="C560" s="175" t="inlineStr">
        <is>
          <t>SCFG</t>
        </is>
      </c>
      <c r="D560" s="166" t="inlineStr">
        <is>
          <t>-</t>
        </is>
      </c>
      <c r="E560" s="166" t="n">
        <v>15</v>
      </c>
      <c r="F560" s="166" t="inlineStr">
        <is>
          <t>Single</t>
        </is>
      </c>
      <c r="G560" s="166" t="inlineStr">
        <is>
          <t>KWIK 5 SCFG</t>
        </is>
      </c>
      <c r="H560" s="166" t="inlineStr">
        <is>
          <t>188 x 188</t>
        </is>
      </c>
      <c r="I560" s="166" t="inlineStr">
        <is>
          <t>24.5 X 24.5</t>
        </is>
      </c>
      <c r="J560" s="166" t="n">
        <v>9</v>
      </c>
      <c r="K560" s="176" t="n"/>
      <c r="L560" s="25" t="n"/>
      <c r="M560" s="26" t="n">
        <v>0.3381642512077295</v>
      </c>
      <c r="N560" s="25" t="n"/>
      <c r="O560" s="27" t="n"/>
    </row>
    <row r="561" ht="15" customHeight="1">
      <c r="A561" s="197" t="n"/>
      <c r="B561" s="198" t="inlineStr">
        <is>
          <t>R 120</t>
        </is>
      </c>
      <c r="C561" s="184" t="inlineStr">
        <is>
          <t>LVP</t>
        </is>
      </c>
      <c r="D561" s="180" t="inlineStr">
        <is>
          <t>Top</t>
        </is>
      </c>
      <c r="E561" s="180" t="n">
        <v>60</v>
      </c>
      <c r="F561" s="180" t="inlineStr">
        <is>
          <t>Single</t>
        </is>
      </c>
      <c r="G561" s="180" t="inlineStr">
        <is>
          <t>MSX 20 HD LVP</t>
        </is>
      </c>
      <c r="H561" s="180" t="inlineStr">
        <is>
          <t>67 X 117</t>
        </is>
      </c>
      <c r="I561" s="180" t="inlineStr">
        <is>
          <t>20.5 X 22</t>
        </is>
      </c>
      <c r="J561" s="180" t="n">
        <v>28</v>
      </c>
      <c r="K561" s="181" t="n"/>
      <c r="L561" s="31" t="n"/>
      <c r="M561" s="32" t="n">
        <v>1.103988603988604</v>
      </c>
      <c r="N561" s="31" t="n"/>
      <c r="O561" s="33" t="n"/>
    </row>
    <row r="562" ht="15" customHeight="1">
      <c r="A562" s="232" t="n"/>
      <c r="B562" s="232" t="n"/>
      <c r="C562" s="235" t="n"/>
      <c r="D562" s="169" t="inlineStr">
        <is>
          <t>Bottom</t>
        </is>
      </c>
      <c r="E562" s="169" t="n">
        <v>40</v>
      </c>
      <c r="F562" s="180" t="inlineStr">
        <is>
          <t>Single</t>
        </is>
      </c>
      <c r="G562" s="180" t="inlineStr">
        <is>
          <t>MSX 20 HD LVP</t>
        </is>
      </c>
      <c r="H562" s="180" t="inlineStr">
        <is>
          <t>67 X 117</t>
        </is>
      </c>
      <c r="I562" s="180" t="inlineStr">
        <is>
          <t>20.5 X 22</t>
        </is>
      </c>
      <c r="J562" s="180" t="n">
        <v>28</v>
      </c>
      <c r="K562" s="171" t="n"/>
      <c r="L562" s="14" t="n"/>
      <c r="M562" s="15" t="n">
        <v>0.6977821913273751</v>
      </c>
      <c r="N562" s="14" t="n"/>
      <c r="O562" s="16" t="n"/>
    </row>
    <row r="563" ht="15.75" customHeight="1">
      <c r="A563" s="234" t="n"/>
      <c r="B563" s="234" t="n"/>
      <c r="C563" s="175" t="inlineStr">
        <is>
          <t>SCFG</t>
        </is>
      </c>
      <c r="D563" s="166" t="inlineStr">
        <is>
          <t>-</t>
        </is>
      </c>
      <c r="E563" s="166" t="n">
        <v>15</v>
      </c>
      <c r="F563" s="166" t="inlineStr">
        <is>
          <t>Single</t>
        </is>
      </c>
      <c r="G563" s="166" t="inlineStr">
        <is>
          <t>MSX 20 HD SCFG</t>
        </is>
      </c>
      <c r="H563" s="166" t="inlineStr">
        <is>
          <t>85 X 135</t>
        </is>
      </c>
      <c r="I563" s="166" t="inlineStr">
        <is>
          <t>21 X 24</t>
        </is>
      </c>
      <c r="J563" s="166" t="n">
        <v>20</v>
      </c>
      <c r="K563" s="176" t="n"/>
      <c r="L563" s="25" t="n"/>
      <c r="M563" s="15" t="n">
        <v>0.3381642512077295</v>
      </c>
      <c r="N563" s="25" t="n"/>
      <c r="O563" s="154" t="n"/>
    </row>
    <row r="564" ht="15" customHeight="1">
      <c r="A564" s="197" t="n"/>
      <c r="B564" s="198" t="inlineStr">
        <is>
          <t>R 122</t>
        </is>
      </c>
      <c r="C564" s="184" t="inlineStr">
        <is>
          <t>LVP</t>
        </is>
      </c>
      <c r="D564" s="180" t="inlineStr">
        <is>
          <t>Top</t>
        </is>
      </c>
      <c r="E564" s="180" t="n">
        <v>60</v>
      </c>
      <c r="F564" s="180" t="inlineStr">
        <is>
          <t>Single</t>
        </is>
      </c>
      <c r="G564" s="180" t="inlineStr">
        <is>
          <t>MSX 22 HD LVP</t>
        </is>
      </c>
      <c r="H564" s="180" t="inlineStr">
        <is>
          <t>70 X 155</t>
        </is>
      </c>
      <c r="I564" s="180" t="inlineStr">
        <is>
          <t>20 X 23</t>
        </is>
      </c>
      <c r="J564" s="180" t="n">
        <v>21</v>
      </c>
      <c r="K564" s="181" t="n"/>
      <c r="L564" s="31" t="n"/>
      <c r="M564" s="32" t="n">
        <v>1.103988603988604</v>
      </c>
      <c r="N564" s="31" t="n"/>
      <c r="O564" s="33" t="n"/>
    </row>
    <row r="565" ht="15" customHeight="1">
      <c r="A565" s="232" t="n"/>
      <c r="B565" s="232" t="n"/>
      <c r="C565" s="235" t="n"/>
      <c r="D565" s="169" t="inlineStr">
        <is>
          <t>Bottom</t>
        </is>
      </c>
      <c r="E565" s="169" t="n">
        <v>40</v>
      </c>
      <c r="F565" s="180" t="inlineStr">
        <is>
          <t>Single</t>
        </is>
      </c>
      <c r="G565" s="180" t="inlineStr">
        <is>
          <t>MSX 22 HD LVP</t>
        </is>
      </c>
      <c r="H565" s="180" t="inlineStr">
        <is>
          <t>70 X 155</t>
        </is>
      </c>
      <c r="I565" s="180" t="inlineStr">
        <is>
          <t>20 X 23</t>
        </is>
      </c>
      <c r="J565" s="180" t="n">
        <v>21</v>
      </c>
      <c r="K565" s="171" t="n"/>
      <c r="L565" s="14" t="n"/>
      <c r="M565" s="15" t="n">
        <v>0.6977821913273751</v>
      </c>
      <c r="N565" s="14" t="n"/>
      <c r="O565" s="16" t="n"/>
    </row>
    <row r="566" ht="15.75" customHeight="1">
      <c r="A566" s="234" t="n"/>
      <c r="B566" s="234" t="n"/>
      <c r="C566" s="175" t="inlineStr">
        <is>
          <t>SCFG</t>
        </is>
      </c>
      <c r="D566" s="166" t="inlineStr">
        <is>
          <t>-</t>
        </is>
      </c>
      <c r="E566" s="166" t="n">
        <v>15</v>
      </c>
      <c r="F566" s="166" t="inlineStr">
        <is>
          <t>Single</t>
        </is>
      </c>
      <c r="G566" s="166" t="inlineStr">
        <is>
          <t>MSX 22 HD SCFG</t>
        </is>
      </c>
      <c r="H566" s="166" t="inlineStr">
        <is>
          <t>90 X 175</t>
        </is>
      </c>
      <c r="I566" s="166" t="inlineStr">
        <is>
          <t>23 X 23</t>
        </is>
      </c>
      <c r="J566" s="166" t="n">
        <v>15</v>
      </c>
      <c r="K566" s="176" t="n"/>
      <c r="L566" s="25" t="n"/>
      <c r="M566" s="26" t="n">
        <v>0.3381642512077295</v>
      </c>
      <c r="N566" s="25" t="n"/>
      <c r="O566" s="27" t="n"/>
    </row>
    <row r="567" ht="15" customHeight="1">
      <c r="A567" s="197" t="n"/>
      <c r="B567" s="198" t="inlineStr">
        <is>
          <t>R 140</t>
        </is>
      </c>
      <c r="C567" s="184" t="inlineStr">
        <is>
          <t>LVP</t>
        </is>
      </c>
      <c r="D567" s="180" t="inlineStr">
        <is>
          <t>Top</t>
        </is>
      </c>
      <c r="E567" s="180" t="n">
        <v>60</v>
      </c>
      <c r="F567" s="180" t="inlineStr">
        <is>
          <t>Single</t>
        </is>
      </c>
      <c r="G567" s="180" t="inlineStr">
        <is>
          <t>MSX 40 TOP LVP</t>
        </is>
      </c>
      <c r="H567" s="180" t="inlineStr">
        <is>
          <t>76 X 168</t>
        </is>
      </c>
      <c r="I567" s="180" t="inlineStr">
        <is>
          <t>21 X 24</t>
        </is>
      </c>
      <c r="J567" s="180" t="n">
        <v>21</v>
      </c>
      <c r="K567" s="181" t="n"/>
      <c r="L567" s="31" t="n"/>
      <c r="M567" s="32" t="n">
        <v>1.103988603988604</v>
      </c>
      <c r="N567" s="31" t="n"/>
      <c r="O567" s="33" t="n"/>
    </row>
    <row r="568" ht="15" customHeight="1">
      <c r="A568" s="232" t="n"/>
      <c r="B568" s="232" t="n"/>
      <c r="C568" s="235" t="n"/>
      <c r="D568" s="169" t="inlineStr">
        <is>
          <t>Bottom</t>
        </is>
      </c>
      <c r="E568" s="169" t="n">
        <v>40</v>
      </c>
      <c r="F568" s="180" t="inlineStr">
        <is>
          <t>Single</t>
        </is>
      </c>
      <c r="G568" s="180" t="inlineStr">
        <is>
          <t>MSX 40 BOT LVP</t>
        </is>
      </c>
      <c r="H568" s="180" t="inlineStr">
        <is>
          <t>88 X 178</t>
        </is>
      </c>
      <c r="I568" s="180" t="inlineStr">
        <is>
          <t>20 X 23</t>
        </is>
      </c>
      <c r="J568" s="180" t="n">
        <v>15</v>
      </c>
      <c r="K568" s="171" t="n"/>
      <c r="L568" s="14" t="n"/>
      <c r="M568" s="15" t="n">
        <v>0.6977821913273751</v>
      </c>
      <c r="N568" s="14" t="n"/>
      <c r="O568" s="16" t="n"/>
    </row>
    <row r="569" ht="15.75" customHeight="1">
      <c r="A569" s="234" t="n"/>
      <c r="B569" s="234" t="n"/>
      <c r="C569" s="175" t="inlineStr">
        <is>
          <t>SCFG</t>
        </is>
      </c>
      <c r="D569" s="166" t="inlineStr">
        <is>
          <t>-</t>
        </is>
      </c>
      <c r="E569" s="166" t="n">
        <v>15</v>
      </c>
      <c r="F569" s="166" t="inlineStr">
        <is>
          <t>Single</t>
        </is>
      </c>
      <c r="G569" s="166" t="inlineStr">
        <is>
          <t>MSX 40 SCFG</t>
        </is>
      </c>
      <c r="H569" s="166" t="inlineStr">
        <is>
          <t>110 X 198</t>
        </is>
      </c>
      <c r="I569" s="166" t="inlineStr">
        <is>
          <t>25.5 X 43</t>
        </is>
      </c>
      <c r="J569" s="166" t="n">
        <v>25</v>
      </c>
      <c r="K569" s="176" t="n"/>
      <c r="L569" s="25" t="n"/>
      <c r="M569" s="26" t="n">
        <v>0.3381642512077295</v>
      </c>
      <c r="N569" s="25" t="n"/>
      <c r="O569" s="27" t="n"/>
    </row>
    <row r="570" ht="15" customHeight="1">
      <c r="A570" s="197" t="n"/>
      <c r="B570" s="198" t="inlineStr">
        <is>
          <t>R 142</t>
        </is>
      </c>
      <c r="C570" s="184" t="inlineStr">
        <is>
          <t>LVP</t>
        </is>
      </c>
      <c r="D570" s="180" t="inlineStr">
        <is>
          <t>Top</t>
        </is>
      </c>
      <c r="E570" s="180" t="n">
        <v>60</v>
      </c>
      <c r="F570" s="180" t="inlineStr">
        <is>
          <t>Single</t>
        </is>
      </c>
      <c r="G570" s="180" t="inlineStr">
        <is>
          <t>MSX 42 TOP LVP</t>
        </is>
      </c>
      <c r="H570" s="180" t="inlineStr">
        <is>
          <t>100 X 230</t>
        </is>
      </c>
      <c r="I570" s="180" t="inlineStr">
        <is>
          <t>19 X 22</t>
        </is>
      </c>
      <c r="J570" s="180" t="n">
        <v>10</v>
      </c>
      <c r="K570" s="181" t="n"/>
      <c r="L570" s="31" t="n"/>
      <c r="M570" s="32" t="n">
        <v>1.103988603988604</v>
      </c>
      <c r="N570" s="31" t="n"/>
      <c r="O570" s="33" t="n"/>
    </row>
    <row r="571" ht="15" customHeight="1">
      <c r="A571" s="232" t="n"/>
      <c r="B571" s="232" t="n"/>
      <c r="C571" s="235" t="n"/>
      <c r="D571" s="169" t="inlineStr">
        <is>
          <t>Bottom</t>
        </is>
      </c>
      <c r="E571" s="169" t="n">
        <v>40</v>
      </c>
      <c r="F571" s="180" t="inlineStr">
        <is>
          <t>Single</t>
        </is>
      </c>
      <c r="G571" s="180" t="inlineStr">
        <is>
          <t>MSX 42 BOT LVP</t>
        </is>
      </c>
      <c r="H571" s="180" t="inlineStr">
        <is>
          <t>108 X 240</t>
        </is>
      </c>
      <c r="I571" s="180" t="inlineStr">
        <is>
          <t>20 X 24</t>
        </is>
      </c>
      <c r="J571" s="180" t="n">
        <v>10</v>
      </c>
      <c r="K571" s="171" t="n"/>
      <c r="L571" s="14" t="n"/>
      <c r="M571" s="15" t="n">
        <v>0.6977821913273751</v>
      </c>
      <c r="N571" s="14" t="n"/>
      <c r="O571" s="16" t="n"/>
    </row>
    <row r="572" ht="15.75" customHeight="1">
      <c r="A572" s="234" t="n"/>
      <c r="B572" s="234" t="n"/>
      <c r="C572" s="175" t="inlineStr">
        <is>
          <t>SCFG</t>
        </is>
      </c>
      <c r="D572" s="166" t="inlineStr">
        <is>
          <t>-</t>
        </is>
      </c>
      <c r="E572" s="166" t="n">
        <v>15</v>
      </c>
      <c r="F572" s="166" t="inlineStr">
        <is>
          <t>Single</t>
        </is>
      </c>
      <c r="G572" s="166" t="inlineStr">
        <is>
          <t>MSX 42 SCFG</t>
        </is>
      </c>
      <c r="H572" s="166" t="inlineStr">
        <is>
          <t>126 X 260</t>
        </is>
      </c>
      <c r="I572" s="166" t="inlineStr">
        <is>
          <t>29 X 55</t>
        </is>
      </c>
      <c r="J572" s="166" t="n">
        <v>25</v>
      </c>
      <c r="K572" s="176" t="n"/>
      <c r="L572" s="25" t="n"/>
      <c r="M572" s="26" t="n">
        <v>0.3381642512077295</v>
      </c>
      <c r="N572" s="25" t="n"/>
      <c r="O572" s="27" t="n"/>
    </row>
    <row r="573" ht="15" customHeight="1">
      <c r="A573" s="197" t="n"/>
      <c r="B573" s="198" t="inlineStr">
        <is>
          <t>R 2</t>
        </is>
      </c>
      <c r="C573" s="184" t="inlineStr">
        <is>
          <t>LVP</t>
        </is>
      </c>
      <c r="D573" s="180" t="inlineStr">
        <is>
          <t>Top</t>
        </is>
      </c>
      <c r="E573" s="180" t="n">
        <v>60</v>
      </c>
      <c r="F573" s="180" t="inlineStr">
        <is>
          <t>Single</t>
        </is>
      </c>
      <c r="G573" s="180" t="inlineStr">
        <is>
          <t>R2 LVP</t>
        </is>
      </c>
      <c r="H573" s="180" t="n">
        <v>67</v>
      </c>
      <c r="I573" s="180" t="inlineStr">
        <is>
          <t>23.5 X 23.5</t>
        </is>
      </c>
      <c r="J573" s="180" t="n">
        <v>36</v>
      </c>
      <c r="K573" s="181" t="n"/>
      <c r="L573" s="31" t="n"/>
      <c r="M573" s="32" t="n">
        <v>1.103988603988604</v>
      </c>
      <c r="N573" s="31" t="n"/>
      <c r="O573" s="33" t="n"/>
    </row>
    <row r="574" ht="15" customHeight="1">
      <c r="A574" s="232" t="n"/>
      <c r="B574" s="232" t="n"/>
      <c r="C574" s="235" t="n"/>
      <c r="D574" s="169" t="inlineStr">
        <is>
          <t>Bottom</t>
        </is>
      </c>
      <c r="E574" s="169" t="n">
        <v>40</v>
      </c>
      <c r="F574" s="180" t="n"/>
      <c r="G574" s="180" t="n"/>
      <c r="H574" s="180" t="n"/>
      <c r="I574" s="180" t="n"/>
      <c r="J574" s="180" t="n"/>
      <c r="K574" s="171" t="n"/>
      <c r="L574" s="14" t="n"/>
      <c r="M574" s="15" t="n">
        <v>0.6977821913273751</v>
      </c>
      <c r="N574" s="14" t="n"/>
      <c r="O574" s="16" t="n"/>
    </row>
    <row r="575" ht="15.75" customHeight="1">
      <c r="A575" s="234" t="n"/>
      <c r="B575" s="234" t="n"/>
      <c r="C575" s="175" t="inlineStr">
        <is>
          <t>SCFG</t>
        </is>
      </c>
      <c r="D575" s="166" t="inlineStr">
        <is>
          <t>-</t>
        </is>
      </c>
      <c r="E575" s="166" t="n">
        <v>15</v>
      </c>
      <c r="F575" s="166" t="n"/>
      <c r="G575" s="166" t="n"/>
      <c r="H575" s="166" t="n"/>
      <c r="I575" s="166" t="n"/>
      <c r="J575" s="166" t="n"/>
      <c r="K575" s="176" t="n"/>
      <c r="L575" s="25" t="n"/>
      <c r="M575" s="26" t="n">
        <v>0.3381642512077295</v>
      </c>
      <c r="N575" s="25" t="n"/>
      <c r="O575" s="27" t="n"/>
    </row>
    <row r="576" ht="15" customHeight="1">
      <c r="A576" s="197" t="n"/>
      <c r="B576" s="198" t="inlineStr">
        <is>
          <t>HK 1</t>
        </is>
      </c>
      <c r="C576" s="184" t="inlineStr">
        <is>
          <t>LVP</t>
        </is>
      </c>
      <c r="D576" s="180" t="inlineStr">
        <is>
          <t>Top</t>
        </is>
      </c>
      <c r="E576" s="180" t="n"/>
      <c r="F576" s="180" t="n"/>
      <c r="G576" s="180" t="n"/>
      <c r="H576" s="180" t="n">
        <v>21</v>
      </c>
      <c r="I576" s="180" t="inlineStr">
        <is>
          <t>10.5 X 16</t>
        </is>
      </c>
      <c r="J576" s="180" t="n">
        <v>96</v>
      </c>
      <c r="K576" s="181" t="n"/>
      <c r="L576" s="31" t="n"/>
      <c r="M576" s="32" t="e">
        <v>#N/A</v>
      </c>
      <c r="N576" s="31" t="n"/>
      <c r="O576" s="33" t="n"/>
    </row>
    <row r="577" ht="15" customHeight="1">
      <c r="A577" s="232" t="n"/>
      <c r="B577" s="232" t="n"/>
      <c r="C577" s="235" t="n"/>
      <c r="D577" s="169" t="inlineStr">
        <is>
          <t>Bottom</t>
        </is>
      </c>
      <c r="E577" s="169" t="n"/>
      <c r="F577" s="180" t="n"/>
      <c r="G577" s="180" t="n"/>
      <c r="H577" s="180" t="n"/>
      <c r="I577" s="180" t="n"/>
      <c r="J577" s="180" t="n"/>
      <c r="K577" s="171" t="n"/>
      <c r="L577" s="14" t="n"/>
      <c r="M577" s="15" t="e">
        <v>#N/A</v>
      </c>
      <c r="N577" s="14" t="n"/>
      <c r="O577" s="16" t="n"/>
    </row>
    <row r="578" ht="15.75" customHeight="1">
      <c r="A578" s="234" t="n"/>
      <c r="B578" s="234" t="n"/>
      <c r="C578" s="175" t="inlineStr">
        <is>
          <t>SCFG</t>
        </is>
      </c>
      <c r="D578" s="166" t="inlineStr">
        <is>
          <t>-</t>
        </is>
      </c>
      <c r="E578" s="166" t="n"/>
      <c r="F578" s="166" t="n"/>
      <c r="G578" s="166" t="n"/>
      <c r="H578" s="166" t="n"/>
      <c r="I578" s="166" t="n"/>
      <c r="J578" s="166" t="n"/>
      <c r="K578" s="176" t="n"/>
      <c r="L578" s="25" t="n"/>
      <c r="M578" s="26" t="e">
        <v>#N/A</v>
      </c>
      <c r="N578" s="25" t="n"/>
      <c r="O578" s="27" t="n"/>
    </row>
    <row r="579" ht="15" customHeight="1">
      <c r="A579" s="222" t="inlineStr">
        <is>
          <t>Premium</t>
        </is>
      </c>
      <c r="B579" s="198" t="inlineStr">
        <is>
          <t>Tiny Round</t>
        </is>
      </c>
      <c r="C579" s="184" t="inlineStr">
        <is>
          <t>LVP</t>
        </is>
      </c>
      <c r="D579" s="180" t="inlineStr">
        <is>
          <t>Top</t>
        </is>
      </c>
      <c r="E579" s="180" t="n">
        <v>20</v>
      </c>
      <c r="F579" s="180" t="inlineStr">
        <is>
          <t>Passing</t>
        </is>
      </c>
      <c r="G579" s="180" t="inlineStr">
        <is>
          <t>Tiny Round LVP</t>
        </is>
      </c>
      <c r="H579" s="180" t="inlineStr">
        <is>
          <t>20 MM</t>
        </is>
      </c>
      <c r="I579" s="180" t="inlineStr">
        <is>
          <t>17 X 17</t>
        </is>
      </c>
      <c r="J579" s="180" t="n">
        <v>378</v>
      </c>
      <c r="K579" s="181" t="n"/>
      <c r="L579" s="31" t="n"/>
      <c r="M579" s="32" t="n">
        <v>0.3697478991596639</v>
      </c>
      <c r="N579" s="31" t="n"/>
      <c r="O579" s="33" t="n"/>
    </row>
    <row r="580" ht="15" customHeight="1">
      <c r="A580" s="232" t="n"/>
      <c r="B580" s="232" t="n"/>
      <c r="C580" s="235" t="n"/>
      <c r="D580" s="169" t="inlineStr">
        <is>
          <t>Bottom</t>
        </is>
      </c>
      <c r="E580" s="169" t="n"/>
      <c r="F580" s="180" t="n"/>
      <c r="G580" s="180" t="n"/>
      <c r="H580" s="180" t="n"/>
      <c r="I580" s="180" t="n"/>
      <c r="J580" s="180" t="n"/>
      <c r="K580" s="171" t="n"/>
      <c r="L580" s="14" t="n"/>
      <c r="M580" s="15" t="e">
        <v>#N/A</v>
      </c>
      <c r="N580" s="14" t="n"/>
      <c r="O580" s="16" t="n"/>
    </row>
    <row r="581" ht="15.75" customHeight="1">
      <c r="A581" s="232" t="n"/>
      <c r="B581" s="234" t="n"/>
      <c r="C581" s="175" t="inlineStr">
        <is>
          <t>SCFG</t>
        </is>
      </c>
      <c r="D581" s="166" t="inlineStr">
        <is>
          <t>-</t>
        </is>
      </c>
      <c r="E581" s="166" t="n">
        <v>15</v>
      </c>
      <c r="F581" s="166" t="inlineStr">
        <is>
          <t>Single</t>
        </is>
      </c>
      <c r="G581" s="166" t="inlineStr">
        <is>
          <t>Tiny Round SCFG</t>
        </is>
      </c>
      <c r="H581" s="166" t="inlineStr">
        <is>
          <t>28 MM</t>
        </is>
      </c>
      <c r="I581" s="166" t="inlineStr">
        <is>
          <t>24.6 X 24.6</t>
        </is>
      </c>
      <c r="J581" s="166" t="n">
        <v>169</v>
      </c>
      <c r="K581" s="176" t="n"/>
      <c r="L581" s="25" t="n"/>
      <c r="M581" s="26" t="n">
        <v>0.3381642512077295</v>
      </c>
      <c r="N581" s="25" t="n"/>
      <c r="O581" s="27" t="n"/>
    </row>
    <row r="582" ht="15" customHeight="1">
      <c r="A582" s="232" t="n"/>
      <c r="B582" s="198" t="inlineStr">
        <is>
          <t>Mini Round</t>
        </is>
      </c>
      <c r="C582" s="184" t="inlineStr">
        <is>
          <t>LVP</t>
        </is>
      </c>
      <c r="D582" s="180" t="inlineStr">
        <is>
          <t>Top</t>
        </is>
      </c>
      <c r="E582" s="180" t="n">
        <v>40</v>
      </c>
      <c r="F582" s="180" t="inlineStr">
        <is>
          <t>Passing</t>
        </is>
      </c>
      <c r="G582" s="180" t="inlineStr">
        <is>
          <t>T 29 LVP</t>
        </is>
      </c>
      <c r="H582" s="180" t="inlineStr">
        <is>
          <t>22 MM</t>
        </is>
      </c>
      <c r="I582" s="180" t="inlineStr">
        <is>
          <t>15.5 X 18.5</t>
        </is>
      </c>
      <c r="J582" s="180" t="n">
        <v>298</v>
      </c>
      <c r="K582" s="181" t="n"/>
      <c r="L582" s="31" t="n"/>
      <c r="M582" s="32" t="n">
        <v>0.6977821913273751</v>
      </c>
      <c r="N582" s="31" t="n"/>
      <c r="O582" s="33" t="n"/>
    </row>
    <row r="583" ht="15" customHeight="1">
      <c r="A583" s="232" t="n"/>
      <c r="B583" s="232" t="n"/>
      <c r="C583" s="235" t="n"/>
      <c r="D583" s="169" t="inlineStr">
        <is>
          <t>Bottom</t>
        </is>
      </c>
      <c r="E583" s="169" t="n"/>
      <c r="F583" s="180" t="n"/>
      <c r="G583" s="180" t="n"/>
      <c r="H583" s="180" t="n"/>
      <c r="I583" s="180" t="n"/>
      <c r="J583" s="180" t="n"/>
      <c r="K583" s="171" t="n"/>
      <c r="L583" s="14" t="n"/>
      <c r="M583" s="15" t="e">
        <v>#N/A</v>
      </c>
      <c r="N583" s="14" t="n"/>
      <c r="O583" s="16" t="n"/>
    </row>
    <row r="584" ht="15.75" customHeight="1">
      <c r="A584" s="232" t="n"/>
      <c r="B584" s="234" t="n"/>
      <c r="C584" s="175" t="inlineStr">
        <is>
          <t>SCFG</t>
        </is>
      </c>
      <c r="D584" s="166" t="inlineStr">
        <is>
          <t>-</t>
        </is>
      </c>
      <c r="E584" s="166" t="n">
        <v>15</v>
      </c>
      <c r="F584" s="166" t="inlineStr">
        <is>
          <t>Single</t>
        </is>
      </c>
      <c r="G584" s="166" t="inlineStr">
        <is>
          <t>T 29 SCFG</t>
        </is>
      </c>
      <c r="H584" s="166" t="inlineStr">
        <is>
          <t>35 MM</t>
        </is>
      </c>
      <c r="I584" s="166" t="inlineStr">
        <is>
          <t>11 X 11</t>
        </is>
      </c>
      <c r="J584" s="166" t="n">
        <v>25</v>
      </c>
      <c r="K584" s="176" t="n"/>
      <c r="L584" s="25" t="n"/>
      <c r="M584" s="26" t="n">
        <v>0.3381642512077295</v>
      </c>
      <c r="N584" s="25" t="n"/>
      <c r="O584" s="27" t="n"/>
    </row>
    <row r="585" ht="15" customHeight="1">
      <c r="A585" s="232" t="n"/>
      <c r="B585" s="198" t="inlineStr">
        <is>
          <t>Small Round</t>
        </is>
      </c>
      <c r="C585" s="184" t="inlineStr">
        <is>
          <t>LVP</t>
        </is>
      </c>
      <c r="D585" s="180" t="inlineStr">
        <is>
          <t>Top</t>
        </is>
      </c>
      <c r="E585" s="180" t="n">
        <v>50</v>
      </c>
      <c r="F585" s="180" t="inlineStr">
        <is>
          <t>Passing</t>
        </is>
      </c>
      <c r="G585" s="180" t="inlineStr">
        <is>
          <t>PRC RSR New,
T 30 LVP,
C 1 (Sq on Fabric + LVP)</t>
        </is>
      </c>
      <c r="H585" s="180" t="inlineStr">
        <is>
          <t>31 MM</t>
        </is>
      </c>
      <c r="I585" s="180" t="inlineStr">
        <is>
          <t>16.5 X 21</t>
        </is>
      </c>
      <c r="J585" s="180" t="n">
        <v>189</v>
      </c>
      <c r="K585" s="181" t="n"/>
      <c r="L585" s="31" t="n"/>
      <c r="M585" s="32" t="n">
        <v>0.9182530795072789</v>
      </c>
      <c r="N585" s="31" t="n"/>
      <c r="O585" s="33" t="n"/>
    </row>
    <row r="586" ht="15" customHeight="1">
      <c r="A586" s="232" t="n"/>
      <c r="B586" s="232" t="n"/>
      <c r="C586" s="235" t="n"/>
      <c r="D586" s="169" t="inlineStr">
        <is>
          <t>Bottom</t>
        </is>
      </c>
      <c r="E586" s="169" t="n"/>
      <c r="F586" s="180" t="n"/>
      <c r="G586" s="180" t="n"/>
      <c r="H586" s="180" t="n"/>
      <c r="I586" s="180" t="n"/>
      <c r="J586" s="180" t="n"/>
      <c r="K586" s="171" t="n"/>
      <c r="L586" s="14" t="n"/>
      <c r="M586" s="15" t="e">
        <v>#N/A</v>
      </c>
      <c r="N586" s="14" t="n"/>
      <c r="O586" s="16" t="n"/>
    </row>
    <row r="587" ht="15.75" customHeight="1">
      <c r="A587" s="232" t="n"/>
      <c r="B587" s="234" t="n"/>
      <c r="C587" s="175" t="inlineStr">
        <is>
          <t>SCFG</t>
        </is>
      </c>
      <c r="D587" s="166" t="inlineStr">
        <is>
          <t>-</t>
        </is>
      </c>
      <c r="E587" s="166" t="n">
        <v>15</v>
      </c>
      <c r="F587" s="166" t="inlineStr">
        <is>
          <t>Single</t>
        </is>
      </c>
      <c r="G587" s="166" t="inlineStr">
        <is>
          <t>PRC RSR New,
T 30 SCFG</t>
        </is>
      </c>
      <c r="H587" s="166" t="inlineStr">
        <is>
          <t>44.5 MM</t>
        </is>
      </c>
      <c r="I587" s="166" t="inlineStr">
        <is>
          <t>23 X 23</t>
        </is>
      </c>
      <c r="J587" s="166" t="n">
        <v>81</v>
      </c>
      <c r="K587" s="181" t="n"/>
      <c r="L587" s="25" t="n"/>
      <c r="M587" s="26" t="n">
        <v>0.3381642512077295</v>
      </c>
      <c r="N587" s="25" t="n"/>
      <c r="O587" s="27" t="n"/>
    </row>
    <row r="588" ht="15" customHeight="1">
      <c r="A588" s="232" t="n"/>
      <c r="B588" s="198" t="inlineStr">
        <is>
          <t>Medium Round</t>
        </is>
      </c>
      <c r="C588" s="184" t="inlineStr">
        <is>
          <t>LVP</t>
        </is>
      </c>
      <c r="D588" s="180" t="inlineStr">
        <is>
          <t>Top</t>
        </is>
      </c>
      <c r="E588" s="180" t="n">
        <v>50</v>
      </c>
      <c r="F588" s="180" t="inlineStr">
        <is>
          <t>Passing</t>
        </is>
      </c>
      <c r="G588" s="180" t="inlineStr">
        <is>
          <t>PRC CX 2 Sq FABRIC,
KWIK 0 Off Bal fabric,
C2 (Off Bal Fabric),
M 10 LVP,
HK 1 LVP</t>
        </is>
      </c>
      <c r="H588" s="180" t="inlineStr">
        <is>
          <t>46 MM</t>
        </is>
      </c>
      <c r="I588" s="180" t="inlineStr">
        <is>
          <t>17 X 27</t>
        </is>
      </c>
      <c r="J588" s="180" t="n">
        <v>96</v>
      </c>
      <c r="K588" s="181" t="n"/>
      <c r="L588" s="31" t="n"/>
      <c r="M588" s="32" t="n">
        <v>0.9182530795072789</v>
      </c>
      <c r="N588" s="31" t="n"/>
      <c r="O588" s="33" t="n"/>
    </row>
    <row r="589" ht="15" customHeight="1">
      <c r="A589" s="232" t="n"/>
      <c r="B589" s="232" t="n"/>
      <c r="C589" s="235" t="n"/>
      <c r="D589" s="169" t="inlineStr">
        <is>
          <t>Bottom</t>
        </is>
      </c>
      <c r="E589" s="169" t="n"/>
      <c r="F589" s="180" t="n"/>
      <c r="G589" s="180" t="n"/>
      <c r="H589" s="180" t="n"/>
      <c r="I589" s="180" t="n"/>
      <c r="J589" s="180" t="n"/>
      <c r="K589" s="171" t="n"/>
      <c r="L589" s="14" t="n"/>
      <c r="M589" s="15" t="e">
        <v>#N/A</v>
      </c>
      <c r="N589" s="14" t="n"/>
      <c r="O589" s="16" t="n"/>
    </row>
    <row r="590" ht="15.75" customHeight="1">
      <c r="A590" s="232" t="n"/>
      <c r="B590" s="234" t="n"/>
      <c r="C590" s="175" t="inlineStr">
        <is>
          <t>SCFG</t>
        </is>
      </c>
      <c r="D590" s="166" t="inlineStr">
        <is>
          <t>-</t>
        </is>
      </c>
      <c r="E590" s="166" t="n">
        <v>15</v>
      </c>
      <c r="F590" s="166" t="inlineStr">
        <is>
          <t>Single</t>
        </is>
      </c>
      <c r="G590" s="166" t="inlineStr">
        <is>
          <t>KWIK 0 SCFG</t>
        </is>
      </c>
      <c r="H590" s="166" t="inlineStr">
        <is>
          <t>60 MM</t>
        </is>
      </c>
      <c r="I590" s="166" t="inlineStr">
        <is>
          <t>25 X 25</t>
        </is>
      </c>
      <c r="J590" s="166" t="n">
        <v>64</v>
      </c>
      <c r="K590" s="176" t="n"/>
      <c r="L590" s="25" t="n"/>
      <c r="M590" s="26" t="n">
        <v>0.3381642512077295</v>
      </c>
      <c r="N590" s="25" t="n"/>
      <c r="O590" s="27" t="n"/>
    </row>
    <row r="591" ht="15" customHeight="1">
      <c r="A591" s="232" t="n"/>
      <c r="B591" s="198" t="inlineStr">
        <is>
          <t>Large Round</t>
        </is>
      </c>
      <c r="C591" s="184" t="inlineStr">
        <is>
          <t>LVP</t>
        </is>
      </c>
      <c r="D591" s="180" t="inlineStr">
        <is>
          <t>Top</t>
        </is>
      </c>
      <c r="E591" s="180" t="n">
        <v>50</v>
      </c>
      <c r="F591" s="180" t="inlineStr">
        <is>
          <t>Passing</t>
        </is>
      </c>
      <c r="G591" s="180" t="inlineStr">
        <is>
          <t>PRC CX 3 Sq FABRIC,
PRC RLR,
 T32 LVP</t>
        </is>
      </c>
      <c r="H591" s="180" t="inlineStr">
        <is>
          <t>67 MM</t>
        </is>
      </c>
      <c r="I591" s="180" t="inlineStr">
        <is>
          <t>11.5 X 20.5</t>
        </is>
      </c>
      <c r="J591" s="180" t="n">
        <v>24</v>
      </c>
      <c r="K591" s="181" t="n"/>
      <c r="L591" s="31" t="n"/>
      <c r="M591" s="32" t="n">
        <v>0.9182530795072789</v>
      </c>
      <c r="N591" s="31" t="n"/>
      <c r="O591" s="33" t="n"/>
    </row>
    <row r="592" ht="15" customHeight="1">
      <c r="A592" s="232" t="n"/>
      <c r="B592" s="232" t="n"/>
      <c r="C592" s="235" t="n"/>
      <c r="D592" s="169" t="inlineStr">
        <is>
          <t>Bottom</t>
        </is>
      </c>
      <c r="E592" s="169" t="n"/>
      <c r="F592" s="180" t="n"/>
      <c r="G592" s="180" t="n"/>
      <c r="H592" s="180" t="n"/>
      <c r="I592" s="180" t="n"/>
      <c r="J592" s="180" t="n"/>
      <c r="K592" s="171" t="n"/>
      <c r="L592" s="14" t="n"/>
      <c r="M592" s="15" t="e">
        <v>#N/A</v>
      </c>
      <c r="N592" s="14" t="n"/>
      <c r="O592" s="16" t="n"/>
    </row>
    <row r="593" ht="15.75" customHeight="1">
      <c r="A593" s="234" t="n"/>
      <c r="B593" s="234" t="n"/>
      <c r="C593" s="175" t="inlineStr">
        <is>
          <t>SCFG</t>
        </is>
      </c>
      <c r="D593" s="166" t="inlineStr">
        <is>
          <t>-</t>
        </is>
      </c>
      <c r="E593" s="166" t="n">
        <v>15</v>
      </c>
      <c r="F593" s="166" t="inlineStr">
        <is>
          <t>Single</t>
        </is>
      </c>
      <c r="G593" s="166" t="inlineStr">
        <is>
          <t>PRC RLR,
 T 32 SCFG</t>
        </is>
      </c>
      <c r="H593" s="166" t="inlineStr">
        <is>
          <t>79.4 MM</t>
        </is>
      </c>
      <c r="I593" s="166" t="inlineStr">
        <is>
          <t>23.6 X 23.6</t>
        </is>
      </c>
      <c r="J593" s="166" t="n">
        <v>36</v>
      </c>
      <c r="K593" s="181" t="n"/>
      <c r="L593" s="25" t="n"/>
      <c r="M593" s="26" t="n">
        <v>0.3381642512077295</v>
      </c>
      <c r="N593" s="25" t="n"/>
      <c r="O593" s="27" t="n"/>
    </row>
    <row r="594" ht="15" customHeight="1">
      <c r="A594" s="223" t="inlineStr">
        <is>
          <t>King Point</t>
        </is>
      </c>
      <c r="B594" s="224" t="inlineStr">
        <is>
          <t>Little Round</t>
        </is>
      </c>
      <c r="C594" s="184" t="inlineStr">
        <is>
          <t>LVP</t>
        </is>
      </c>
      <c r="D594" s="180" t="inlineStr">
        <is>
          <t>Top</t>
        </is>
      </c>
      <c r="E594" s="180" t="n">
        <v>50</v>
      </c>
      <c r="F594" s="180" t="inlineStr">
        <is>
          <t>Passing</t>
        </is>
      </c>
      <c r="G594" s="180" t="inlineStr">
        <is>
          <t>R2 LVP</t>
        </is>
      </c>
      <c r="H594" s="180" t="inlineStr">
        <is>
          <t>40 MM</t>
        </is>
      </c>
      <c r="I594" s="180" t="inlineStr">
        <is>
          <t>14 X 19.5</t>
        </is>
      </c>
      <c r="J594" s="180" t="n">
        <v>95</v>
      </c>
      <c r="K594" s="181" t="n"/>
      <c r="L594" s="31" t="n"/>
      <c r="M594" s="32" t="n">
        <v>0.9182530795072789</v>
      </c>
      <c r="N594" s="31" t="n"/>
      <c r="O594" s="33" t="n"/>
    </row>
    <row r="595" ht="15" customHeight="1">
      <c r="A595" s="243" t="n"/>
      <c r="B595" s="239" t="n"/>
      <c r="C595" s="235" t="n"/>
      <c r="D595" s="169" t="inlineStr">
        <is>
          <t>Bottom</t>
        </is>
      </c>
      <c r="E595" s="169" t="n"/>
      <c r="F595" s="180" t="n"/>
      <c r="G595" s="180" t="n"/>
      <c r="H595" s="180" t="n"/>
      <c r="I595" s="180" t="n"/>
      <c r="J595" s="180" t="n"/>
      <c r="K595" s="171" t="n"/>
      <c r="L595" s="14" t="n"/>
      <c r="M595" s="15" t="e">
        <v>#N/A</v>
      </c>
      <c r="N595" s="14" t="n"/>
      <c r="O595" s="16" t="n"/>
    </row>
    <row r="596" ht="15.75" customHeight="1">
      <c r="A596" s="243" t="n"/>
      <c r="B596" s="242" t="n"/>
      <c r="C596" s="175" t="inlineStr">
        <is>
          <t>SCFG</t>
        </is>
      </c>
      <c r="D596" s="166" t="inlineStr">
        <is>
          <t>-</t>
        </is>
      </c>
      <c r="E596" s="166" t="n">
        <v>15</v>
      </c>
      <c r="F596" s="166" t="inlineStr">
        <is>
          <t>Single</t>
        </is>
      </c>
      <c r="G596" s="166" t="inlineStr">
        <is>
          <t>Little Round (King point) SCFG</t>
        </is>
      </c>
      <c r="H596" s="166" t="inlineStr">
        <is>
          <t>53 MM</t>
        </is>
      </c>
      <c r="I596" s="166" t="inlineStr">
        <is>
          <t>20 X 20</t>
        </is>
      </c>
      <c r="J596" s="166" t="n">
        <v>49</v>
      </c>
      <c r="K596" s="181" t="n"/>
      <c r="L596" s="25" t="n"/>
      <c r="M596" s="26" t="n">
        <v>0.3381642512077295</v>
      </c>
      <c r="N596" s="25" t="n"/>
      <c r="O596" s="27" t="n"/>
    </row>
    <row r="597" ht="15" customHeight="1">
      <c r="A597" s="243" t="n"/>
      <c r="B597" s="224" t="inlineStr">
        <is>
          <t>Medium Round</t>
        </is>
      </c>
      <c r="C597" s="184" t="inlineStr">
        <is>
          <t>LVP</t>
        </is>
      </c>
      <c r="D597" s="180" t="inlineStr">
        <is>
          <t>Top</t>
        </is>
      </c>
      <c r="E597" s="180" t="n">
        <v>50</v>
      </c>
      <c r="F597" s="180" t="inlineStr">
        <is>
          <t>Passing</t>
        </is>
      </c>
      <c r="G597" s="180" t="inlineStr">
        <is>
          <t>PRC CX 2 Sq FABRIC,
KWIK 0 Off Bal fabric,
C2 (Off Bal Fabric),
M 10 LVP,
HK 1 LVP</t>
        </is>
      </c>
      <c r="H597" s="180" t="inlineStr">
        <is>
          <t>46 MM</t>
        </is>
      </c>
      <c r="I597" s="180" t="inlineStr">
        <is>
          <t>17 X 27</t>
        </is>
      </c>
      <c r="J597" s="180" t="n">
        <v>96</v>
      </c>
      <c r="K597" s="181" t="n"/>
      <c r="L597" s="31" t="n"/>
      <c r="M597" s="32" t="n">
        <v>0.9182530795072789</v>
      </c>
      <c r="N597" s="31" t="n"/>
      <c r="O597" s="33" t="n"/>
    </row>
    <row r="598" ht="15" customHeight="1">
      <c r="A598" s="243" t="n"/>
      <c r="B598" s="239" t="n"/>
      <c r="C598" s="235" t="n"/>
      <c r="D598" s="169" t="inlineStr">
        <is>
          <t>Bottom</t>
        </is>
      </c>
      <c r="E598" s="169" t="n"/>
      <c r="F598" s="180" t="n"/>
      <c r="G598" s="180" t="n"/>
      <c r="H598" s="180" t="n"/>
      <c r="I598" s="180" t="n"/>
      <c r="J598" s="180" t="n"/>
      <c r="K598" s="171" t="n"/>
      <c r="L598" s="14" t="n"/>
      <c r="M598" s="15" t="e">
        <v>#N/A</v>
      </c>
      <c r="N598" s="14" t="n"/>
      <c r="O598" s="16" t="n"/>
    </row>
    <row r="599" ht="15.75" customHeight="1">
      <c r="A599" s="243" t="n"/>
      <c r="B599" s="242" t="n"/>
      <c r="C599" s="175" t="inlineStr">
        <is>
          <t>SCFG</t>
        </is>
      </c>
      <c r="D599" s="166" t="inlineStr">
        <is>
          <t>-</t>
        </is>
      </c>
      <c r="E599" s="166" t="n">
        <v>15</v>
      </c>
      <c r="F599" s="166" t="inlineStr">
        <is>
          <t>Single</t>
        </is>
      </c>
      <c r="G599" s="166" t="inlineStr">
        <is>
          <t>KWIK 0 SCFG</t>
        </is>
      </c>
      <c r="H599" s="166" t="inlineStr">
        <is>
          <t>60 MM</t>
        </is>
      </c>
      <c r="I599" s="166" t="inlineStr">
        <is>
          <t>25 X 25</t>
        </is>
      </c>
      <c r="J599" s="166" t="n">
        <v>64</v>
      </c>
      <c r="K599" s="176" t="n"/>
      <c r="L599" s="25" t="n"/>
      <c r="M599" s="26" t="n">
        <v>0.3381642512077295</v>
      </c>
      <c r="N599" s="25" t="n"/>
      <c r="O599" s="27" t="n"/>
    </row>
    <row r="600" ht="15" customHeight="1">
      <c r="A600" s="243" t="n"/>
      <c r="B600" s="224" t="inlineStr">
        <is>
          <t>Large Round</t>
        </is>
      </c>
      <c r="C600" s="184" t="inlineStr">
        <is>
          <t>LVP</t>
        </is>
      </c>
      <c r="D600" s="180" t="inlineStr">
        <is>
          <t>Top</t>
        </is>
      </c>
      <c r="E600" s="180" t="n">
        <v>50</v>
      </c>
      <c r="F600" s="180" t="inlineStr">
        <is>
          <t>Passing</t>
        </is>
      </c>
      <c r="G600" s="180" t="inlineStr">
        <is>
          <t>PRC CX 3 Sq FABRIC,
PRC RLR,
 T32 LVP</t>
        </is>
      </c>
      <c r="H600" s="180" t="inlineStr">
        <is>
          <t>67 MM</t>
        </is>
      </c>
      <c r="I600" s="180" t="inlineStr">
        <is>
          <t>11.5 X 20.5</t>
        </is>
      </c>
      <c r="J600" s="180" t="n">
        <v>24</v>
      </c>
      <c r="K600" s="181" t="n"/>
      <c r="L600" s="31" t="n"/>
      <c r="M600" s="32" t="n">
        <v>0.9182530795072789</v>
      </c>
      <c r="N600" s="31" t="n"/>
      <c r="O600" s="33" t="n"/>
    </row>
    <row r="601" ht="15" customHeight="1">
      <c r="A601" s="243" t="n"/>
      <c r="B601" s="239" t="n"/>
      <c r="C601" s="235" t="n"/>
      <c r="D601" s="169" t="inlineStr">
        <is>
          <t>Bottom</t>
        </is>
      </c>
      <c r="E601" s="169" t="n"/>
      <c r="F601" s="180" t="n"/>
      <c r="G601" s="180" t="n"/>
      <c r="H601" s="180" t="n"/>
      <c r="I601" s="180" t="n"/>
      <c r="J601" s="180" t="n"/>
      <c r="K601" s="171" t="n"/>
      <c r="L601" s="14" t="n"/>
      <c r="M601" s="15" t="e">
        <v>#N/A</v>
      </c>
      <c r="N601" s="14" t="n"/>
      <c r="O601" s="16" t="n"/>
    </row>
    <row r="602" ht="15.75" customHeight="1">
      <c r="A602" s="243" t="n"/>
      <c r="B602" s="242" t="n"/>
      <c r="C602" s="175" t="inlineStr">
        <is>
          <t>SCFG</t>
        </is>
      </c>
      <c r="D602" s="166" t="inlineStr">
        <is>
          <t>-</t>
        </is>
      </c>
      <c r="E602" s="166" t="n">
        <v>15</v>
      </c>
      <c r="F602" s="166" t="inlineStr">
        <is>
          <t>Single</t>
        </is>
      </c>
      <c r="G602" s="166" t="inlineStr">
        <is>
          <t>PRC RLR,
 T 32 SCFG</t>
        </is>
      </c>
      <c r="H602" s="166" t="inlineStr">
        <is>
          <t>79.4 MM</t>
        </is>
      </c>
      <c r="I602" s="166" t="inlineStr">
        <is>
          <t>23.6 X 23.6</t>
        </is>
      </c>
      <c r="J602" s="166" t="n">
        <v>36</v>
      </c>
      <c r="K602" s="181" t="n"/>
      <c r="L602" s="25" t="n"/>
      <c r="M602" s="26" t="n">
        <v>0.3381642512077295</v>
      </c>
      <c r="N602" s="25" t="n"/>
      <c r="O602" s="27" t="n"/>
    </row>
    <row r="603" ht="15" customHeight="1">
      <c r="A603" s="243" t="n"/>
      <c r="B603" s="224" t="inlineStr">
        <is>
          <t>Maxi Round</t>
        </is>
      </c>
      <c r="C603" s="184" t="inlineStr">
        <is>
          <t>LVP</t>
        </is>
      </c>
      <c r="D603" s="180" t="inlineStr">
        <is>
          <t>Top</t>
        </is>
      </c>
      <c r="E603" s="180" t="n">
        <v>60</v>
      </c>
      <c r="F603" s="180" t="inlineStr">
        <is>
          <t>Single</t>
        </is>
      </c>
      <c r="G603" s="180" t="inlineStr">
        <is>
          <t>S 2 SCFG</t>
        </is>
      </c>
      <c r="H603" s="180" t="inlineStr">
        <is>
          <t>86 MM</t>
        </is>
      </c>
      <c r="I603" s="180" t="inlineStr">
        <is>
          <t>23.5 X 23.5</t>
        </is>
      </c>
      <c r="J603" s="180" t="n">
        <v>36</v>
      </c>
      <c r="K603" s="181" t="n"/>
      <c r="L603" s="31" t="n"/>
      <c r="M603" s="32" t="n">
        <v>1.103988603988604</v>
      </c>
      <c r="N603" s="31" t="n"/>
      <c r="O603" s="33" t="n"/>
    </row>
    <row r="604" ht="15" customHeight="1">
      <c r="A604" s="243" t="n"/>
      <c r="B604" s="239" t="n"/>
      <c r="C604" s="235" t="n"/>
      <c r="D604" s="169" t="inlineStr">
        <is>
          <t>Bottom</t>
        </is>
      </c>
      <c r="E604" s="169" t="n"/>
      <c r="F604" s="180" t="n"/>
      <c r="G604" s="180" t="n"/>
      <c r="H604" s="180" t="n"/>
      <c r="I604" s="180" t="n"/>
      <c r="J604" s="180" t="n"/>
      <c r="K604" s="171" t="n"/>
      <c r="L604" s="14" t="n"/>
      <c r="M604" s="15" t="e">
        <v>#N/A</v>
      </c>
      <c r="N604" s="14" t="n"/>
      <c r="O604" s="16" t="n"/>
    </row>
    <row r="605" ht="15.75" customHeight="1">
      <c r="A605" s="244" t="n"/>
      <c r="B605" s="242" t="n"/>
      <c r="C605" s="175" t="inlineStr">
        <is>
          <t>SCFG</t>
        </is>
      </c>
      <c r="D605" s="166" t="inlineStr">
        <is>
          <t>-</t>
        </is>
      </c>
      <c r="E605" s="166" t="n">
        <v>15</v>
      </c>
      <c r="F605" s="166" t="inlineStr">
        <is>
          <t>Single</t>
        </is>
      </c>
      <c r="G605" s="166" t="inlineStr">
        <is>
          <t>R 3 SCFG</t>
        </is>
      </c>
      <c r="H605" s="166" t="inlineStr">
        <is>
          <t>100 MM</t>
        </is>
      </c>
      <c r="I605" s="166" t="inlineStr">
        <is>
          <t>33 X 33</t>
        </is>
      </c>
      <c r="J605" s="166" t="n">
        <v>49</v>
      </c>
      <c r="K605" s="181" t="n"/>
      <c r="L605" s="25" t="n"/>
      <c r="M605" s="26" t="n">
        <v>0.3381642512077295</v>
      </c>
      <c r="N605" s="25" t="n"/>
      <c r="O605" s="27" t="n"/>
    </row>
    <row r="606" ht="15" customHeight="1">
      <c r="A606" s="197" t="n">
        <v>1</v>
      </c>
      <c r="B606" s="198" t="inlineStr">
        <is>
          <t>Bull HC 22</t>
        </is>
      </c>
      <c r="C606" s="184" t="inlineStr">
        <is>
          <t>NG</t>
        </is>
      </c>
      <c r="D606" s="180" t="inlineStr">
        <is>
          <t>Top</t>
        </is>
      </c>
      <c r="E606" s="180" t="n">
        <v>50</v>
      </c>
      <c r="F606" s="180" t="inlineStr">
        <is>
          <t>Single</t>
        </is>
      </c>
      <c r="G606" s="180" t="n"/>
      <c r="H606" s="180" t="inlineStr">
        <is>
          <t>54 X 122</t>
        </is>
      </c>
      <c r="I606" s="180" t="inlineStr">
        <is>
          <t>21 X 26.5</t>
        </is>
      </c>
      <c r="J606" s="180" t="n">
        <v>40</v>
      </c>
      <c r="K606" s="181" t="n"/>
      <c r="L606" s="31" t="n"/>
      <c r="M606" s="32" t="n">
        <v>0.9182530795072789</v>
      </c>
      <c r="N606" s="31" t="n"/>
      <c r="O606" s="33" t="n"/>
    </row>
    <row r="607" ht="15" customHeight="1">
      <c r="A607" s="232" t="n"/>
      <c r="B607" s="232" t="n"/>
      <c r="C607" s="235" t="n"/>
      <c r="D607" s="169" t="inlineStr">
        <is>
          <t>Bottom</t>
        </is>
      </c>
      <c r="E607" s="180" t="n">
        <v>50</v>
      </c>
      <c r="F607" s="180" t="inlineStr">
        <is>
          <t>Single</t>
        </is>
      </c>
      <c r="G607" s="180" t="n"/>
      <c r="H607" s="180" t="inlineStr">
        <is>
          <t>54 X 122</t>
        </is>
      </c>
      <c r="I607" s="180" t="inlineStr">
        <is>
          <t>21 X 26.5</t>
        </is>
      </c>
      <c r="J607" s="180" t="n">
        <v>40</v>
      </c>
      <c r="K607" s="171" t="n"/>
      <c r="L607" s="14" t="n"/>
      <c r="M607" s="15" t="n">
        <v>0.9182530795072789</v>
      </c>
      <c r="N607" s="14" t="n"/>
      <c r="O607" s="16" t="n"/>
    </row>
    <row r="608" ht="15.75" customHeight="1">
      <c r="A608" s="234" t="n"/>
      <c r="B608" s="234" t="n"/>
      <c r="C608" s="175" t="inlineStr">
        <is>
          <t>HCC 0.80</t>
        </is>
      </c>
      <c r="D608" s="166" t="inlineStr">
        <is>
          <t>-</t>
        </is>
      </c>
      <c r="E608" s="166" t="n">
        <v>30</v>
      </c>
      <c r="F608" s="166" t="inlineStr">
        <is>
          <t>Single</t>
        </is>
      </c>
      <c r="G608" s="166" t="n"/>
      <c r="H608" s="166" t="inlineStr">
        <is>
          <t>73 X 140</t>
        </is>
      </c>
      <c r="I608" s="166" t="inlineStr">
        <is>
          <t>25.6 X 44.1</t>
        </is>
      </c>
      <c r="J608" s="166" t="n">
        <v>49</v>
      </c>
      <c r="K608" s="176" t="n"/>
      <c r="L608" s="25" t="n"/>
      <c r="M608" s="26" t="n">
        <v>0.65</v>
      </c>
      <c r="N608" s="25" t="n"/>
      <c r="O608" s="27" t="n"/>
    </row>
    <row r="609" ht="15" customHeight="1">
      <c r="A609" s="197" t="n">
        <v>2</v>
      </c>
      <c r="B609" s="198" t="inlineStr">
        <is>
          <t>Bull HC 24</t>
        </is>
      </c>
      <c r="C609" s="184" t="inlineStr">
        <is>
          <t>NG</t>
        </is>
      </c>
      <c r="D609" s="180" t="inlineStr">
        <is>
          <t>Top</t>
        </is>
      </c>
      <c r="E609" s="180" t="n">
        <v>50</v>
      </c>
      <c r="F609" s="180" t="inlineStr">
        <is>
          <t>Single</t>
        </is>
      </c>
      <c r="G609" s="180" t="n"/>
      <c r="H609" s="180" t="inlineStr">
        <is>
          <t>54 X 176</t>
        </is>
      </c>
      <c r="I609" s="180" t="inlineStr">
        <is>
          <t>21 X 22</t>
        </is>
      </c>
      <c r="J609" s="180" t="n">
        <v>24</v>
      </c>
      <c r="K609" s="181" t="n"/>
      <c r="L609" s="31" t="n"/>
      <c r="M609" s="32" t="n">
        <v>0.9182530795072789</v>
      </c>
      <c r="N609" s="31" t="n"/>
      <c r="O609" s="33" t="n"/>
    </row>
    <row r="610" ht="15" customHeight="1">
      <c r="A610" s="232" t="n"/>
      <c r="B610" s="232" t="n"/>
      <c r="C610" s="235" t="n"/>
      <c r="D610" s="169" t="inlineStr">
        <is>
          <t>Bottom</t>
        </is>
      </c>
      <c r="E610" s="180" t="n">
        <v>50</v>
      </c>
      <c r="F610" s="180" t="inlineStr">
        <is>
          <t>Single</t>
        </is>
      </c>
      <c r="G610" s="180" t="n"/>
      <c r="H610" s="180" t="inlineStr">
        <is>
          <t>54 X 176</t>
        </is>
      </c>
      <c r="I610" s="180" t="inlineStr">
        <is>
          <t>21 X 22</t>
        </is>
      </c>
      <c r="J610" s="180" t="n">
        <v>24</v>
      </c>
      <c r="K610" s="171" t="n"/>
      <c r="L610" s="14" t="n"/>
      <c r="M610" s="15" t="n">
        <v>0.9182530795072789</v>
      </c>
      <c r="N610" s="14" t="n"/>
      <c r="O610" s="16" t="n"/>
    </row>
    <row r="611" ht="15.75" customHeight="1">
      <c r="A611" s="234" t="n"/>
      <c r="B611" s="234" t="n"/>
      <c r="C611" s="175" t="inlineStr">
        <is>
          <t>HCC 0.80</t>
        </is>
      </c>
      <c r="D611" s="166" t="inlineStr">
        <is>
          <t>-</t>
        </is>
      </c>
      <c r="E611" s="166" t="n">
        <v>30</v>
      </c>
      <c r="F611" s="166" t="inlineStr">
        <is>
          <t>Single</t>
        </is>
      </c>
      <c r="G611" s="166" t="n"/>
      <c r="H611" s="166" t="inlineStr">
        <is>
          <t>73 X 194</t>
        </is>
      </c>
      <c r="I611" s="166" t="inlineStr">
        <is>
          <t>25.6 X 59</t>
        </is>
      </c>
      <c r="J611" s="166" t="n">
        <v>49</v>
      </c>
      <c r="K611" s="176" t="n"/>
      <c r="L611" s="25" t="n"/>
      <c r="M611" s="26" t="n">
        <v>0.65</v>
      </c>
      <c r="N611" s="25" t="n"/>
      <c r="O611" s="27" t="n"/>
    </row>
    <row r="612" ht="15" customHeight="1">
      <c r="A612" s="197" t="n">
        <v>3</v>
      </c>
      <c r="B612" s="198" t="inlineStr">
        <is>
          <t>Bull HC 33</t>
        </is>
      </c>
      <c r="C612" s="184" t="inlineStr">
        <is>
          <t>NG</t>
        </is>
      </c>
      <c r="D612" s="180" t="inlineStr">
        <is>
          <t>Top</t>
        </is>
      </c>
      <c r="E612" s="180" t="n">
        <v>80</v>
      </c>
      <c r="F612" s="180" t="inlineStr">
        <is>
          <t>Single</t>
        </is>
      </c>
      <c r="G612" s="180" t="n"/>
      <c r="H612" s="180" t="inlineStr">
        <is>
          <t>82 X 111</t>
        </is>
      </c>
      <c r="I612" s="180" t="inlineStr">
        <is>
          <t>22.5 X 24.5</t>
        </is>
      </c>
      <c r="J612" s="180" t="n">
        <v>30</v>
      </c>
      <c r="K612" s="181" t="n"/>
      <c r="L612" s="31" t="n"/>
      <c r="M612" s="32" t="n">
        <v>1.494824016563147</v>
      </c>
      <c r="N612" s="31" t="n"/>
      <c r="O612" s="33" t="n"/>
    </row>
    <row r="613" ht="15" customHeight="1">
      <c r="A613" s="232" t="n"/>
      <c r="B613" s="232" t="n"/>
      <c r="C613" s="235" t="n"/>
      <c r="D613" s="169" t="inlineStr">
        <is>
          <t>Bottom</t>
        </is>
      </c>
      <c r="E613" s="180" t="n">
        <v>50</v>
      </c>
      <c r="F613" s="180" t="inlineStr">
        <is>
          <t>Single</t>
        </is>
      </c>
      <c r="G613" s="180" t="n"/>
      <c r="H613" s="180" t="inlineStr">
        <is>
          <t>82 X 111</t>
        </is>
      </c>
      <c r="I613" s="180" t="inlineStr">
        <is>
          <t>22.5 X 24.5</t>
        </is>
      </c>
      <c r="J613" s="180" t="n">
        <v>30</v>
      </c>
      <c r="K613" s="171" t="n"/>
      <c r="L613" s="14" t="n"/>
      <c r="M613" s="15" t="n">
        <v>0.9182530795072789</v>
      </c>
      <c r="N613" s="14" t="n"/>
      <c r="O613" s="16" t="n"/>
    </row>
    <row r="614" ht="15.75" customHeight="1">
      <c r="A614" s="234" t="n"/>
      <c r="B614" s="234" t="n"/>
      <c r="C614" s="175" t="inlineStr">
        <is>
          <t>HCC 0.80</t>
        </is>
      </c>
      <c r="D614" s="166" t="inlineStr">
        <is>
          <t>-</t>
        </is>
      </c>
      <c r="E614" s="166" t="n">
        <v>30</v>
      </c>
      <c r="F614" s="166" t="inlineStr">
        <is>
          <t>Single</t>
        </is>
      </c>
      <c r="G614" s="166" t="n"/>
      <c r="H614" s="166" t="inlineStr">
        <is>
          <t>102 X 130</t>
        </is>
      </c>
      <c r="I614" s="166" t="inlineStr">
        <is>
          <t>33.6 X 41.3</t>
        </is>
      </c>
      <c r="J614" s="166" t="n">
        <v>49</v>
      </c>
      <c r="K614" s="176" t="n"/>
      <c r="L614" s="25" t="n"/>
      <c r="M614" s="26" t="n">
        <v>0.65</v>
      </c>
      <c r="N614" s="25" t="n"/>
      <c r="O614" s="27" t="n"/>
    </row>
    <row r="615" ht="15" customHeight="1">
      <c r="A615" s="197" t="n">
        <v>4</v>
      </c>
      <c r="B615" s="198" t="inlineStr">
        <is>
          <t>Bull HC 35</t>
        </is>
      </c>
      <c r="C615" s="184" t="inlineStr">
        <is>
          <t>NG</t>
        </is>
      </c>
      <c r="D615" s="180" t="inlineStr">
        <is>
          <t>Top</t>
        </is>
      </c>
      <c r="E615" s="180" t="n">
        <v>80</v>
      </c>
      <c r="F615" s="180" t="inlineStr">
        <is>
          <t>Single</t>
        </is>
      </c>
      <c r="G615" s="180" t="n"/>
      <c r="H615" s="180" t="inlineStr">
        <is>
          <t>108 X 138</t>
        </is>
      </c>
      <c r="I615" s="180" t="inlineStr">
        <is>
          <t>24 X 24</t>
        </is>
      </c>
      <c r="J615" s="180" t="n">
        <v>20</v>
      </c>
      <c r="K615" s="181" t="n"/>
      <c r="L615" s="31" t="n"/>
      <c r="M615" s="32" t="n">
        <v>1.494824016563147</v>
      </c>
      <c r="N615" s="31" t="n"/>
      <c r="O615" s="33" t="n"/>
    </row>
    <row r="616" ht="15" customHeight="1">
      <c r="A616" s="232" t="n"/>
      <c r="B616" s="232" t="n"/>
      <c r="C616" s="235" t="n"/>
      <c r="D616" s="169" t="inlineStr">
        <is>
          <t>Bottom</t>
        </is>
      </c>
      <c r="E616" s="180" t="n">
        <v>50</v>
      </c>
      <c r="F616" s="180" t="inlineStr">
        <is>
          <t>Single</t>
        </is>
      </c>
      <c r="G616" s="180" t="n"/>
      <c r="H616" s="180" t="inlineStr">
        <is>
          <t>108 X 138</t>
        </is>
      </c>
      <c r="I616" s="180" t="inlineStr">
        <is>
          <t>24 X 24</t>
        </is>
      </c>
      <c r="J616" s="180" t="n">
        <v>20</v>
      </c>
      <c r="K616" s="171" t="n"/>
      <c r="L616" s="14" t="n"/>
      <c r="M616" s="15" t="n">
        <v>0.9182530795072789</v>
      </c>
      <c r="N616" s="14" t="n"/>
      <c r="O616" s="16" t="n"/>
    </row>
    <row r="617" ht="15.75" customHeight="1">
      <c r="A617" s="234" t="n"/>
      <c r="B617" s="234" t="n"/>
      <c r="C617" s="175" t="inlineStr">
        <is>
          <t>HCC 0.80</t>
        </is>
      </c>
      <c r="D617" s="166" t="inlineStr">
        <is>
          <t>-</t>
        </is>
      </c>
      <c r="E617" s="166" t="n">
        <v>30</v>
      </c>
      <c r="F617" s="166" t="inlineStr">
        <is>
          <t>Single</t>
        </is>
      </c>
      <c r="G617" s="166" t="n"/>
      <c r="H617" s="166" t="inlineStr">
        <is>
          <t>127 X 159</t>
        </is>
      </c>
      <c r="I617" s="166" t="inlineStr">
        <is>
          <t>40.5 X 49.3</t>
        </is>
      </c>
      <c r="J617" s="166" t="n">
        <v>49</v>
      </c>
      <c r="K617" s="176" t="n"/>
      <c r="L617" s="25" t="n"/>
      <c r="M617" s="26" t="n">
        <v>0.65</v>
      </c>
      <c r="N617" s="25" t="n"/>
      <c r="O617" s="27" t="n"/>
    </row>
    <row r="618" ht="15" customHeight="1">
      <c r="A618" s="197" t="n">
        <v>5</v>
      </c>
      <c r="B618" s="198" t="inlineStr">
        <is>
          <t>Bull HC 37</t>
        </is>
      </c>
      <c r="C618" s="184" t="inlineStr">
        <is>
          <t>NG</t>
        </is>
      </c>
      <c r="D618" s="180" t="inlineStr">
        <is>
          <t>Top</t>
        </is>
      </c>
      <c r="E618" s="180" t="n">
        <v>100</v>
      </c>
      <c r="F618" s="180" t="inlineStr">
        <is>
          <t>Single</t>
        </is>
      </c>
      <c r="G618" s="180" t="n"/>
      <c r="H618" s="180" t="inlineStr">
        <is>
          <t>108 X 157</t>
        </is>
      </c>
      <c r="I618" s="180" t="inlineStr">
        <is>
          <t>24 X 27</t>
        </is>
      </c>
      <c r="J618" s="180" t="n">
        <v>20</v>
      </c>
      <c r="K618" s="181" t="n"/>
      <c r="L618" s="31" t="n"/>
      <c r="M618" s="32" t="n">
        <v>1.906191369606004</v>
      </c>
      <c r="N618" s="31" t="n"/>
      <c r="O618" s="33" t="n"/>
    </row>
    <row r="619" ht="15" customHeight="1">
      <c r="A619" s="232" t="n"/>
      <c r="B619" s="232" t="n"/>
      <c r="C619" s="235" t="n"/>
      <c r="D619" s="169" t="inlineStr">
        <is>
          <t>Bottom</t>
        </is>
      </c>
      <c r="E619" s="180" t="n">
        <v>50</v>
      </c>
      <c r="F619" s="180" t="inlineStr">
        <is>
          <t>Single</t>
        </is>
      </c>
      <c r="G619" s="180" t="n"/>
      <c r="H619" s="180" t="inlineStr">
        <is>
          <t>108 X 157</t>
        </is>
      </c>
      <c r="I619" s="180" t="inlineStr">
        <is>
          <t>24 X 27</t>
        </is>
      </c>
      <c r="J619" s="180" t="n">
        <v>20</v>
      </c>
      <c r="K619" s="171" t="n"/>
      <c r="L619" s="14" t="n"/>
      <c r="M619" s="15" t="n">
        <v>0.9182530795072789</v>
      </c>
      <c r="N619" s="14" t="n"/>
      <c r="O619" s="16" t="n"/>
    </row>
    <row r="620" ht="15.75" customHeight="1">
      <c r="A620" s="234" t="n"/>
      <c r="B620" s="234" t="n"/>
      <c r="C620" s="175" t="inlineStr">
        <is>
          <t>HCC 0.80</t>
        </is>
      </c>
      <c r="D620" s="166" t="inlineStr">
        <is>
          <t>-</t>
        </is>
      </c>
      <c r="E620" s="166" t="n">
        <v>30</v>
      </c>
      <c r="F620" s="166" t="inlineStr">
        <is>
          <t>Single</t>
        </is>
      </c>
      <c r="G620" s="166" t="n"/>
      <c r="H620" s="166" t="inlineStr">
        <is>
          <t>127 X 178</t>
        </is>
      </c>
      <c r="I620" s="166" t="inlineStr">
        <is>
          <t>40.5 X 54.6</t>
        </is>
      </c>
      <c r="J620" s="166" t="n">
        <v>49</v>
      </c>
      <c r="K620" s="176" t="n"/>
      <c r="L620" s="25" t="n"/>
      <c r="M620" s="26" t="n">
        <v>0.65</v>
      </c>
      <c r="N620" s="25" t="n"/>
      <c r="O620" s="27" t="n"/>
    </row>
    <row r="621" ht="15" customHeight="1">
      <c r="A621" s="197" t="n">
        <v>6</v>
      </c>
      <c r="B621" s="198" t="inlineStr">
        <is>
          <t>Bull HC 40</t>
        </is>
      </c>
      <c r="C621" s="184" t="inlineStr">
        <is>
          <t>NG</t>
        </is>
      </c>
      <c r="D621" s="180" t="inlineStr">
        <is>
          <t>Top</t>
        </is>
      </c>
      <c r="E621" s="180" t="n">
        <v>80</v>
      </c>
      <c r="F621" s="180" t="inlineStr">
        <is>
          <t>Single</t>
        </is>
      </c>
      <c r="G621" s="180" t="n"/>
      <c r="H621" s="180" t="inlineStr">
        <is>
          <t>84 X 179</t>
        </is>
      </c>
      <c r="I621" s="180" t="inlineStr">
        <is>
          <t>23 X 23</t>
        </is>
      </c>
      <c r="J621" s="180" t="n">
        <v>18</v>
      </c>
      <c r="K621" s="181" t="n"/>
      <c r="L621" s="31" t="n"/>
      <c r="M621" s="32" t="n">
        <v>1.494824016563147</v>
      </c>
      <c r="N621" s="31" t="n"/>
      <c r="O621" s="33" t="n"/>
    </row>
    <row r="622" ht="15" customHeight="1">
      <c r="A622" s="232" t="n"/>
      <c r="B622" s="232" t="n"/>
      <c r="C622" s="235" t="n"/>
      <c r="D622" s="169" t="inlineStr">
        <is>
          <t>Bottom</t>
        </is>
      </c>
      <c r="E622" s="180" t="n">
        <v>50</v>
      </c>
      <c r="F622" s="180" t="inlineStr">
        <is>
          <t>Single</t>
        </is>
      </c>
      <c r="G622" s="180" t="n"/>
      <c r="H622" s="180" t="inlineStr">
        <is>
          <t>84 X 179</t>
        </is>
      </c>
      <c r="I622" s="180" t="inlineStr">
        <is>
          <t>23 X 23</t>
        </is>
      </c>
      <c r="J622" s="180" t="n">
        <v>18</v>
      </c>
      <c r="K622" s="171" t="n"/>
      <c r="L622" s="14" t="n"/>
      <c r="M622" s="15" t="n">
        <v>0.9182530795072789</v>
      </c>
      <c r="N622" s="14" t="n"/>
      <c r="O622" s="16" t="n"/>
    </row>
    <row r="623" ht="15.75" customHeight="1">
      <c r="A623" s="234" t="n"/>
      <c r="B623" s="234" t="n"/>
      <c r="C623" s="175" t="inlineStr">
        <is>
          <t>HCC 0.80</t>
        </is>
      </c>
      <c r="D623" s="166" t="inlineStr">
        <is>
          <t>-</t>
        </is>
      </c>
      <c r="E623" s="166" t="n">
        <v>30</v>
      </c>
      <c r="F623" s="166" t="inlineStr">
        <is>
          <t>Single</t>
        </is>
      </c>
      <c r="G623" s="166" t="n"/>
      <c r="H623" s="166" t="inlineStr">
        <is>
          <t>103 X 200</t>
        </is>
      </c>
      <c r="I623" s="166" t="inlineStr">
        <is>
          <t>33.9 X 60.6</t>
        </is>
      </c>
      <c r="J623" s="166" t="n">
        <v>49</v>
      </c>
      <c r="K623" s="176" t="n"/>
      <c r="L623" s="25" t="n"/>
      <c r="M623" s="26" t="n">
        <v>0.65</v>
      </c>
      <c r="N623" s="25" t="n"/>
      <c r="O623" s="27" t="n"/>
    </row>
    <row r="624" ht="15" customHeight="1">
      <c r="A624" s="197" t="n">
        <v>7</v>
      </c>
      <c r="B624" s="198" t="inlineStr">
        <is>
          <t>Bull HC 42</t>
        </is>
      </c>
      <c r="C624" s="184" t="inlineStr">
        <is>
          <t>NG</t>
        </is>
      </c>
      <c r="D624" s="180" t="inlineStr">
        <is>
          <t>Top</t>
        </is>
      </c>
      <c r="E624" s="180" t="n">
        <v>80</v>
      </c>
      <c r="F624" s="180" t="inlineStr">
        <is>
          <t>Single</t>
        </is>
      </c>
      <c r="G624" s="180" t="n"/>
      <c r="H624" s="180" t="inlineStr">
        <is>
          <t>112 X 229</t>
        </is>
      </c>
      <c r="I624" s="180" t="inlineStr">
        <is>
          <t>24.5 X 29</t>
        </is>
      </c>
      <c r="J624" s="180" t="n">
        <v>15</v>
      </c>
      <c r="K624" s="181" t="n"/>
      <c r="L624" s="31" t="n"/>
      <c r="M624" s="32" t="n">
        <v>1.494824016563147</v>
      </c>
      <c r="N624" s="31" t="n"/>
      <c r="O624" s="33" t="n"/>
    </row>
    <row r="625" ht="15" customHeight="1">
      <c r="A625" s="232" t="n"/>
      <c r="B625" s="232" t="n"/>
      <c r="C625" s="235" t="n"/>
      <c r="D625" s="169" t="inlineStr">
        <is>
          <t>Bottom</t>
        </is>
      </c>
      <c r="E625" s="180" t="n">
        <v>50</v>
      </c>
      <c r="F625" s="180" t="inlineStr">
        <is>
          <t>Single</t>
        </is>
      </c>
      <c r="G625" s="180" t="n"/>
      <c r="H625" s="180" t="inlineStr">
        <is>
          <t>112 X 229</t>
        </is>
      </c>
      <c r="I625" s="180" t="inlineStr">
        <is>
          <t>24.5 X 29</t>
        </is>
      </c>
      <c r="J625" s="180" t="n">
        <v>15</v>
      </c>
      <c r="K625" s="171" t="n"/>
      <c r="L625" s="14" t="n"/>
      <c r="M625" s="15" t="n">
        <v>0.9182530795072789</v>
      </c>
      <c r="N625" s="14" t="n"/>
      <c r="O625" s="16" t="n"/>
    </row>
    <row r="626" ht="15.75" customHeight="1">
      <c r="A626" s="234" t="n"/>
      <c r="B626" s="234" t="n"/>
      <c r="C626" s="175" t="inlineStr">
        <is>
          <t>HCC 0.80</t>
        </is>
      </c>
      <c r="D626" s="166" t="inlineStr">
        <is>
          <t>-</t>
        </is>
      </c>
      <c r="E626" s="166" t="n">
        <v>30</v>
      </c>
      <c r="F626" s="166" t="inlineStr">
        <is>
          <t>Single</t>
        </is>
      </c>
      <c r="G626" s="166" t="n"/>
      <c r="H626" s="166" t="inlineStr">
        <is>
          <t>133 X 254</t>
        </is>
      </c>
      <c r="I626" s="166" t="inlineStr">
        <is>
          <t>42.2 X 75.5</t>
        </is>
      </c>
      <c r="J626" s="166" t="n">
        <v>49</v>
      </c>
      <c r="K626" s="176" t="n"/>
      <c r="L626" s="25" t="n"/>
      <c r="M626" s="26" t="n">
        <v>0.65</v>
      </c>
      <c r="N626" s="25" t="n"/>
      <c r="O626" s="27" t="n"/>
    </row>
    <row r="627" ht="15" customHeight="1">
      <c r="A627" s="197" t="n">
        <v>8</v>
      </c>
      <c r="B627" s="198" t="inlineStr">
        <is>
          <t>Bull HC 44</t>
        </is>
      </c>
      <c r="C627" s="184" t="inlineStr">
        <is>
          <t>NG</t>
        </is>
      </c>
      <c r="D627" s="180" t="inlineStr">
        <is>
          <t>Top</t>
        </is>
      </c>
      <c r="E627" s="180" t="n">
        <v>100</v>
      </c>
      <c r="F627" s="180" t="inlineStr">
        <is>
          <t>Single</t>
        </is>
      </c>
      <c r="G627" s="180" t="n"/>
      <c r="H627" s="180" t="inlineStr">
        <is>
          <t>105 X 305</t>
        </is>
      </c>
      <c r="I627" s="180" t="inlineStr">
        <is>
          <t>23 X 25</t>
        </is>
      </c>
      <c r="J627" s="180" t="n">
        <v>10</v>
      </c>
      <c r="K627" s="181" t="n"/>
      <c r="L627" s="31" t="n"/>
      <c r="M627" s="32" t="n">
        <v>1.906191369606004</v>
      </c>
      <c r="N627" s="31" t="n"/>
      <c r="O627" s="33" t="n"/>
    </row>
    <row r="628" ht="15" customHeight="1">
      <c r="A628" s="232" t="n"/>
      <c r="B628" s="232" t="n"/>
      <c r="C628" s="235" t="n"/>
      <c r="D628" s="169" t="inlineStr">
        <is>
          <t>Bottom</t>
        </is>
      </c>
      <c r="E628" s="180" t="n">
        <v>50</v>
      </c>
      <c r="F628" s="180" t="inlineStr">
        <is>
          <t>Single</t>
        </is>
      </c>
      <c r="G628" s="180" t="n"/>
      <c r="H628" s="180" t="inlineStr">
        <is>
          <t>105 X 305</t>
        </is>
      </c>
      <c r="I628" s="180" t="inlineStr">
        <is>
          <t>23 X 25</t>
        </is>
      </c>
      <c r="J628" s="180" t="n">
        <v>10</v>
      </c>
      <c r="K628" s="171" t="n"/>
      <c r="L628" s="14" t="n"/>
      <c r="M628" s="15" t="n">
        <v>0.9182530795072789</v>
      </c>
      <c r="N628" s="14" t="n"/>
      <c r="O628" s="16" t="n"/>
    </row>
    <row r="629" ht="15.75" customHeight="1">
      <c r="A629" s="234" t="n"/>
      <c r="B629" s="234" t="n"/>
      <c r="C629" s="175" t="inlineStr">
        <is>
          <t>HCC 0.80</t>
        </is>
      </c>
      <c r="D629" s="166" t="inlineStr">
        <is>
          <t>-</t>
        </is>
      </c>
      <c r="E629" s="166" t="n">
        <v>30</v>
      </c>
      <c r="F629" s="166" t="inlineStr">
        <is>
          <t>Single</t>
        </is>
      </c>
      <c r="G629" s="166" t="n"/>
      <c r="H629" s="166" t="inlineStr">
        <is>
          <t>127 X 330</t>
        </is>
      </c>
      <c r="I629" s="166" t="inlineStr">
        <is>
          <t>40.5 X 96.5</t>
        </is>
      </c>
      <c r="J629" s="166" t="n">
        <v>49</v>
      </c>
      <c r="K629" s="176" t="n"/>
      <c r="L629" s="25" t="n"/>
      <c r="M629" s="26" t="n">
        <v>0.65</v>
      </c>
      <c r="N629" s="25" t="n"/>
      <c r="O629" s="27" t="n"/>
    </row>
    <row r="630" ht="15" customHeight="1">
      <c r="A630" s="197" t="n">
        <v>9</v>
      </c>
      <c r="B630" s="198" t="inlineStr">
        <is>
          <t>Bull HC 45</t>
        </is>
      </c>
      <c r="C630" s="184" t="inlineStr">
        <is>
          <t>CRPL</t>
        </is>
      </c>
      <c r="D630" s="180" t="inlineStr">
        <is>
          <t>Top</t>
        </is>
      </c>
      <c r="E630" s="180" t="n">
        <v>100</v>
      </c>
      <c r="F630" s="180" t="inlineStr">
        <is>
          <t>Single</t>
        </is>
      </c>
      <c r="G630" s="180" t="n"/>
      <c r="H630" s="180" t="inlineStr">
        <is>
          <t>163 X 210</t>
        </is>
      </c>
      <c r="I630" s="180" t="inlineStr">
        <is>
          <t>14 X 18</t>
        </is>
      </c>
      <c r="J630" s="180" t="n">
        <v>4</v>
      </c>
      <c r="K630" s="181" t="n"/>
      <c r="L630" s="31" t="n"/>
      <c r="M630" s="32" t="n">
        <v>1.906191369606004</v>
      </c>
      <c r="N630" s="31" t="n"/>
      <c r="O630" s="33" t="n"/>
    </row>
    <row r="631" ht="15" customHeight="1">
      <c r="A631" s="232" t="n"/>
      <c r="B631" s="232" t="n"/>
      <c r="C631" s="235" t="n"/>
      <c r="D631" s="169" t="inlineStr">
        <is>
          <t>Bottom</t>
        </is>
      </c>
      <c r="E631" s="180" t="n">
        <v>70</v>
      </c>
      <c r="F631" s="180" t="inlineStr">
        <is>
          <t>Single</t>
        </is>
      </c>
      <c r="G631" s="180" t="n"/>
      <c r="H631" s="180" t="inlineStr">
        <is>
          <t>163 X 210</t>
        </is>
      </c>
      <c r="I631" s="180" t="inlineStr">
        <is>
          <t>14 X 18</t>
        </is>
      </c>
      <c r="J631" s="180" t="n">
        <v>4</v>
      </c>
      <c r="K631" s="171" t="n"/>
      <c r="L631" s="14" t="n"/>
      <c r="M631" s="15" t="n">
        <v>1.269736842105263</v>
      </c>
      <c r="N631" s="14" t="n"/>
      <c r="O631" s="16" t="n"/>
    </row>
    <row r="632" ht="15.75" customHeight="1">
      <c r="A632" s="234" t="n"/>
      <c r="B632" s="234" t="n"/>
      <c r="C632" s="175" t="inlineStr">
        <is>
          <t>HCC 1.52</t>
        </is>
      </c>
      <c r="D632" s="166" t="inlineStr">
        <is>
          <t>-</t>
        </is>
      </c>
      <c r="E632" s="166" t="n">
        <v>60</v>
      </c>
      <c r="F632" s="166" t="inlineStr">
        <is>
          <t>Single</t>
        </is>
      </c>
      <c r="G632" s="166" t="n"/>
      <c r="H632" s="166" t="inlineStr">
        <is>
          <t>191 X 241</t>
        </is>
      </c>
      <c r="I632" s="166" t="inlineStr">
        <is>
          <t>20 X 25</t>
        </is>
      </c>
      <c r="J632" s="166" t="n">
        <v>6</v>
      </c>
      <c r="K632" s="176" t="n"/>
      <c r="L632" s="25" t="n"/>
      <c r="M632" s="26" t="n">
        <v>1.3</v>
      </c>
      <c r="N632" s="25" t="n"/>
      <c r="O632" s="27" t="n"/>
    </row>
    <row r="633" ht="15" customHeight="1">
      <c r="A633" s="197" t="n">
        <v>10</v>
      </c>
      <c r="B633" s="198" t="inlineStr">
        <is>
          <t>Bull HC 46</t>
        </is>
      </c>
      <c r="C633" s="184" t="inlineStr">
        <is>
          <t>CRPL</t>
        </is>
      </c>
      <c r="D633" s="180" t="inlineStr">
        <is>
          <t>Top</t>
        </is>
      </c>
      <c r="E633" s="180" t="n">
        <v>100</v>
      </c>
      <c r="F633" s="180" t="inlineStr">
        <is>
          <t>Single</t>
        </is>
      </c>
      <c r="G633" s="180" t="n"/>
      <c r="H633" s="180" t="inlineStr">
        <is>
          <t>129 X 407</t>
        </is>
      </c>
      <c r="I633" s="180" t="inlineStr">
        <is>
          <t>16.5 X 22.5</t>
        </is>
      </c>
      <c r="J633" s="180" t="n">
        <v>4</v>
      </c>
      <c r="K633" s="181" t="n"/>
      <c r="L633" s="31" t="n"/>
      <c r="M633" s="32" t="n">
        <v>1.906191369606004</v>
      </c>
      <c r="N633" s="31" t="n"/>
      <c r="O633" s="33" t="n"/>
    </row>
    <row r="634" ht="15" customHeight="1">
      <c r="A634" s="232" t="n"/>
      <c r="B634" s="232" t="n"/>
      <c r="C634" s="235" t="n"/>
      <c r="D634" s="169" t="inlineStr">
        <is>
          <t>Bottom</t>
        </is>
      </c>
      <c r="E634" s="180" t="n">
        <v>70</v>
      </c>
      <c r="F634" s="180" t="inlineStr">
        <is>
          <t>Single</t>
        </is>
      </c>
      <c r="G634" s="180" t="n"/>
      <c r="H634" s="180" t="inlineStr">
        <is>
          <t>129 X 407</t>
        </is>
      </c>
      <c r="I634" s="180" t="inlineStr">
        <is>
          <t>16.5 X 22.5</t>
        </is>
      </c>
      <c r="J634" s="180" t="n">
        <v>4</v>
      </c>
      <c r="K634" s="171" t="n"/>
      <c r="L634" s="14" t="n"/>
      <c r="M634" s="15" t="n">
        <v>1.269736842105263</v>
      </c>
      <c r="N634" s="14" t="n"/>
      <c r="O634" s="16" t="n"/>
    </row>
    <row r="635" ht="15.75" customHeight="1">
      <c r="A635" s="234" t="n"/>
      <c r="B635" s="234" t="n"/>
      <c r="C635" s="175" t="inlineStr">
        <is>
          <t>HCC 1.52</t>
        </is>
      </c>
      <c r="D635" s="166" t="inlineStr">
        <is>
          <t>-</t>
        </is>
      </c>
      <c r="E635" s="166" t="n">
        <v>60</v>
      </c>
      <c r="F635" s="166" t="inlineStr">
        <is>
          <t>Single</t>
        </is>
      </c>
      <c r="G635" s="166" t="n"/>
      <c r="H635" s="166" t="inlineStr">
        <is>
          <t>156 X 438</t>
        </is>
      </c>
      <c r="I635" s="166" t="inlineStr">
        <is>
          <t>18 X 21</t>
        </is>
      </c>
      <c r="J635" s="166" t="n">
        <v>3</v>
      </c>
      <c r="K635" s="176" t="n"/>
      <c r="L635" s="25" t="n"/>
      <c r="M635" s="26" t="n">
        <v>1.3</v>
      </c>
      <c r="N635" s="25" t="n"/>
      <c r="O635" s="27" t="n"/>
    </row>
    <row r="636" ht="15" customHeight="1">
      <c r="A636" s="197" t="n">
        <v>11</v>
      </c>
      <c r="B636" s="198" t="inlineStr">
        <is>
          <t>Bull HC 55</t>
        </is>
      </c>
      <c r="C636" s="184" t="inlineStr">
        <is>
          <t>CRPL</t>
        </is>
      </c>
      <c r="D636" s="180" t="inlineStr">
        <is>
          <t>Top</t>
        </is>
      </c>
      <c r="E636" s="180" t="n">
        <v>100</v>
      </c>
      <c r="F636" s="180" t="inlineStr">
        <is>
          <t>Single</t>
        </is>
      </c>
      <c r="G636" s="180" t="n"/>
      <c r="H636" s="180" t="inlineStr">
        <is>
          <t>230 X 312</t>
        </is>
      </c>
      <c r="I636" s="180" t="inlineStr">
        <is>
          <t>13 X 19</t>
        </is>
      </c>
      <c r="J636" s="180" t="n">
        <v>2</v>
      </c>
      <c r="K636" s="181" t="n"/>
      <c r="L636" s="31" t="n"/>
      <c r="M636" s="32" t="n">
        <v>1.906191369606004</v>
      </c>
      <c r="N636" s="31" t="n"/>
      <c r="O636" s="33" t="n"/>
    </row>
    <row r="637" ht="15" customHeight="1">
      <c r="A637" s="232" t="n"/>
      <c r="B637" s="232" t="n"/>
      <c r="C637" s="235" t="n"/>
      <c r="D637" s="169" t="inlineStr">
        <is>
          <t>Bottom</t>
        </is>
      </c>
      <c r="E637" s="180" t="n">
        <v>70</v>
      </c>
      <c r="F637" s="180" t="inlineStr">
        <is>
          <t>Single</t>
        </is>
      </c>
      <c r="G637" s="180" t="n"/>
      <c r="H637" s="180" t="inlineStr">
        <is>
          <t>230 X 312</t>
        </is>
      </c>
      <c r="I637" s="180" t="inlineStr">
        <is>
          <t>13 X 19</t>
        </is>
      </c>
      <c r="J637" s="180" t="n">
        <v>2</v>
      </c>
      <c r="K637" s="171" t="n"/>
      <c r="L637" s="14" t="n"/>
      <c r="M637" s="15" t="n">
        <v>1.269736842105263</v>
      </c>
      <c r="N637" s="14" t="n"/>
      <c r="O637" s="16" t="n"/>
    </row>
    <row r="638" ht="15.75" customHeight="1">
      <c r="A638" s="234" t="n"/>
      <c r="B638" s="234" t="n"/>
      <c r="C638" s="175" t="inlineStr">
        <is>
          <t>HCC 1.52</t>
        </is>
      </c>
      <c r="D638" s="166" t="inlineStr">
        <is>
          <t>-</t>
        </is>
      </c>
      <c r="E638" s="166" t="n">
        <v>60</v>
      </c>
      <c r="F638" s="166" t="inlineStr">
        <is>
          <t>Single</t>
        </is>
      </c>
      <c r="G638" s="166" t="n"/>
      <c r="H638" s="166" t="inlineStr">
        <is>
          <t>254 X 343</t>
        </is>
      </c>
      <c r="I638" s="166" t="inlineStr">
        <is>
          <t>22 X 27</t>
        </is>
      </c>
      <c r="J638" s="166" t="n">
        <v>4</v>
      </c>
      <c r="K638" s="176" t="n"/>
      <c r="L638" s="25" t="n"/>
      <c r="M638" s="26" t="n">
        <v>1.3</v>
      </c>
      <c r="N638" s="25" t="n"/>
      <c r="O638" s="27" t="n"/>
    </row>
    <row r="639" ht="15" customHeight="1">
      <c r="A639" s="197" t="n">
        <v>11</v>
      </c>
      <c r="B639" s="198" t="inlineStr">
        <is>
          <t>Bull HC 46 STS</t>
        </is>
      </c>
      <c r="C639" s="184" t="inlineStr">
        <is>
          <t>CRPL</t>
        </is>
      </c>
      <c r="D639" s="180" t="inlineStr">
        <is>
          <t>Top</t>
        </is>
      </c>
      <c r="E639" s="180" t="n">
        <v>100</v>
      </c>
      <c r="F639" s="180" t="inlineStr">
        <is>
          <t>Single</t>
        </is>
      </c>
      <c r="G639" s="180" t="n"/>
      <c r="H639" s="180" t="inlineStr">
        <is>
          <t>129 X 407</t>
        </is>
      </c>
      <c r="I639" s="180" t="inlineStr">
        <is>
          <t>16.5 X 22.5</t>
        </is>
      </c>
      <c r="J639" s="180" t="n">
        <v>4</v>
      </c>
      <c r="K639" s="181" t="n"/>
      <c r="L639" s="31" t="n"/>
      <c r="M639" s="32" t="n">
        <v>1.906191369606004</v>
      </c>
      <c r="N639" s="31" t="n"/>
      <c r="O639" s="33" t="n"/>
    </row>
    <row r="640" ht="15" customHeight="1">
      <c r="A640" s="232" t="n"/>
      <c r="B640" s="232" t="n"/>
      <c r="C640" s="235" t="n"/>
      <c r="D640" s="169" t="inlineStr">
        <is>
          <t>Bottom</t>
        </is>
      </c>
      <c r="E640" s="180" t="n">
        <v>70</v>
      </c>
      <c r="F640" s="180" t="inlineStr">
        <is>
          <t>Single</t>
        </is>
      </c>
      <c r="G640" s="180" t="n"/>
      <c r="H640" s="180" t="inlineStr">
        <is>
          <t>129 X 407</t>
        </is>
      </c>
      <c r="I640" s="180" t="inlineStr">
        <is>
          <t>16.5 X 22.5</t>
        </is>
      </c>
      <c r="J640" s="180" t="n">
        <v>4</v>
      </c>
      <c r="K640" s="171" t="n"/>
      <c r="L640" s="14" t="n"/>
      <c r="M640" s="15" t="n">
        <v>1.269736842105263</v>
      </c>
      <c r="N640" s="14" t="n"/>
      <c r="O640" s="16" t="n"/>
    </row>
    <row r="641" ht="15.75" customHeight="1">
      <c r="A641" s="234" t="n"/>
      <c r="B641" s="234" t="n"/>
      <c r="C641" s="175" t="inlineStr">
        <is>
          <t>HCC 1.52</t>
        </is>
      </c>
      <c r="D641" s="166" t="inlineStr">
        <is>
          <t>-</t>
        </is>
      </c>
      <c r="E641" s="166" t="n">
        <v>60</v>
      </c>
      <c r="F641" s="166" t="inlineStr">
        <is>
          <t>Single</t>
        </is>
      </c>
      <c r="G641" s="166" t="n"/>
      <c r="H641" s="166" t="inlineStr">
        <is>
          <t>156 X 438</t>
        </is>
      </c>
      <c r="I641" s="166" t="inlineStr">
        <is>
          <t>18 X 21</t>
        </is>
      </c>
      <c r="J641" s="166" t="n">
        <v>3</v>
      </c>
      <c r="K641" s="176" t="n"/>
      <c r="L641" s="25" t="n"/>
      <c r="M641" s="26" t="n">
        <v>1.3</v>
      </c>
      <c r="N641" s="25" t="n"/>
      <c r="O641" s="27" t="n"/>
    </row>
    <row r="642" ht="15" customHeight="1">
      <c r="A642" s="197" t="n">
        <v>12</v>
      </c>
      <c r="B642" s="198" t="inlineStr">
        <is>
          <t>Bull HC 50 STS</t>
        </is>
      </c>
      <c r="C642" s="184" t="inlineStr">
        <is>
          <t>CRPL</t>
        </is>
      </c>
      <c r="D642" s="180" t="inlineStr">
        <is>
          <t>Top</t>
        </is>
      </c>
      <c r="E642" s="180" t="n">
        <v>100</v>
      </c>
      <c r="F642" s="180" t="inlineStr">
        <is>
          <t>Single</t>
        </is>
      </c>
      <c r="G642" s="180" t="n"/>
      <c r="H642" s="180" t="inlineStr">
        <is>
          <t>189 X 557</t>
        </is>
      </c>
      <c r="I642" s="180" t="inlineStr">
        <is>
          <t>16 X 23</t>
        </is>
      </c>
      <c r="J642" s="180" t="n">
        <v>2</v>
      </c>
      <c r="K642" s="181" t="n"/>
      <c r="L642" s="31" t="n"/>
      <c r="M642" s="32" t="n">
        <v>1.906191369606004</v>
      </c>
      <c r="N642" s="31" t="n"/>
      <c r="O642" s="33" t="n"/>
    </row>
    <row r="643" ht="15" customHeight="1">
      <c r="A643" s="232" t="n"/>
      <c r="B643" s="232" t="n"/>
      <c r="C643" s="235" t="n"/>
      <c r="D643" s="169" t="inlineStr">
        <is>
          <t>Bottom</t>
        </is>
      </c>
      <c r="E643" s="180" t="n">
        <v>70</v>
      </c>
      <c r="F643" s="180" t="inlineStr">
        <is>
          <t>Single</t>
        </is>
      </c>
      <c r="G643" s="180" t="n"/>
      <c r="H643" s="180" t="inlineStr">
        <is>
          <t>189 X 557</t>
        </is>
      </c>
      <c r="I643" s="180" t="inlineStr">
        <is>
          <t>16 X 23</t>
        </is>
      </c>
      <c r="J643" s="180" t="n">
        <v>2</v>
      </c>
      <c r="K643" s="171" t="n"/>
      <c r="L643" s="14" t="n"/>
      <c r="M643" s="15" t="n">
        <v>1.269736842105263</v>
      </c>
      <c r="N643" s="14" t="n"/>
      <c r="O643" s="16" t="n"/>
    </row>
    <row r="644" ht="15.75" customHeight="1">
      <c r="A644" s="234" t="n"/>
      <c r="B644" s="234" t="n"/>
      <c r="C644" s="175" t="inlineStr">
        <is>
          <t>HCC 1.52</t>
        </is>
      </c>
      <c r="D644" s="166" t="inlineStr">
        <is>
          <t>-</t>
        </is>
      </c>
      <c r="E644" s="166" t="n">
        <v>60</v>
      </c>
      <c r="F644" s="166" t="inlineStr">
        <is>
          <t>Single</t>
        </is>
      </c>
      <c r="G644" s="166" t="n"/>
      <c r="H644" s="166" t="inlineStr">
        <is>
          <t>216 X 584</t>
        </is>
      </c>
      <c r="I644" s="166" t="inlineStr">
        <is>
          <t>19 X 24</t>
        </is>
      </c>
      <c r="J644" s="166" t="n">
        <v>2</v>
      </c>
      <c r="K644" s="176" t="n"/>
      <c r="L644" s="25" t="n"/>
      <c r="M644" s="26" t="n">
        <v>1.3</v>
      </c>
      <c r="N644" s="25" t="n"/>
      <c r="O644" s="27" t="n"/>
    </row>
    <row r="645" ht="15" customHeight="1">
      <c r="A645" s="197" t="n">
        <v>13</v>
      </c>
      <c r="B645" s="198" t="inlineStr">
        <is>
          <t>Bull HC 55 STS</t>
        </is>
      </c>
      <c r="C645" s="184" t="inlineStr">
        <is>
          <t>CRPL</t>
        </is>
      </c>
      <c r="D645" s="180" t="inlineStr">
        <is>
          <t>Top</t>
        </is>
      </c>
      <c r="E645" s="180" t="n">
        <v>100</v>
      </c>
      <c r="F645" s="180" t="inlineStr">
        <is>
          <t>Single</t>
        </is>
      </c>
      <c r="G645" s="180" t="n"/>
      <c r="H645" s="180" t="inlineStr">
        <is>
          <t>230 X 312</t>
        </is>
      </c>
      <c r="I645" s="180" t="inlineStr">
        <is>
          <t>13 X 19</t>
        </is>
      </c>
      <c r="J645" s="180" t="n">
        <v>2</v>
      </c>
      <c r="K645" s="181" t="n"/>
      <c r="L645" s="31" t="n"/>
      <c r="M645" s="32" t="n">
        <v>1.906191369606004</v>
      </c>
      <c r="N645" s="31" t="n"/>
      <c r="O645" s="33" t="n"/>
    </row>
    <row r="646" ht="15" customHeight="1">
      <c r="A646" s="232" t="n"/>
      <c r="B646" s="232" t="n"/>
      <c r="C646" s="235" t="n"/>
      <c r="D646" s="169" t="inlineStr">
        <is>
          <t>Bottom</t>
        </is>
      </c>
      <c r="E646" s="180" t="n">
        <v>70</v>
      </c>
      <c r="F646" s="180" t="inlineStr">
        <is>
          <t>Single</t>
        </is>
      </c>
      <c r="G646" s="180" t="n"/>
      <c r="H646" s="180" t="inlineStr">
        <is>
          <t>230 X 312</t>
        </is>
      </c>
      <c r="I646" s="180" t="inlineStr">
        <is>
          <t>13 X 19</t>
        </is>
      </c>
      <c r="J646" s="180" t="n">
        <v>2</v>
      </c>
      <c r="K646" s="171" t="n"/>
      <c r="L646" s="14" t="n"/>
      <c r="M646" s="15" t="n">
        <v>1.269736842105263</v>
      </c>
      <c r="N646" s="14" t="n"/>
      <c r="O646" s="16" t="n"/>
    </row>
    <row r="647" ht="15.75" customHeight="1">
      <c r="A647" s="234" t="n"/>
      <c r="B647" s="234" t="n"/>
      <c r="C647" s="175" t="inlineStr">
        <is>
          <t>HCC 1.52</t>
        </is>
      </c>
      <c r="D647" s="166" t="inlineStr">
        <is>
          <t>-</t>
        </is>
      </c>
      <c r="E647" s="166" t="n">
        <v>60</v>
      </c>
      <c r="F647" s="166" t="inlineStr">
        <is>
          <t>Single</t>
        </is>
      </c>
      <c r="G647" s="166" t="n"/>
      <c r="H647" s="166" t="inlineStr">
        <is>
          <t>254 X 343</t>
        </is>
      </c>
      <c r="I647" s="166" t="inlineStr">
        <is>
          <t>22 X 27</t>
        </is>
      </c>
      <c r="J647" s="166" t="n">
        <v>4</v>
      </c>
      <c r="K647" s="176" t="n"/>
      <c r="L647" s="25" t="n"/>
      <c r="M647" s="26" t="n">
        <v>1.3</v>
      </c>
      <c r="N647" s="25" t="n"/>
      <c r="O647" s="27" t="n"/>
    </row>
    <row r="648" ht="15" customHeight="1">
      <c r="A648" s="197" t="n">
        <v>1</v>
      </c>
      <c r="B648" s="198" t="inlineStr">
        <is>
          <t>Bull DC 10</t>
        </is>
      </c>
      <c r="C648" s="184" t="inlineStr">
        <is>
          <t>NG</t>
        </is>
      </c>
      <c r="D648" s="180" t="inlineStr">
        <is>
          <t>Top</t>
        </is>
      </c>
      <c r="E648" s="180" t="n">
        <v>30</v>
      </c>
      <c r="F648" s="180" t="inlineStr">
        <is>
          <t>Single</t>
        </is>
      </c>
      <c r="G648" s="180" t="n"/>
      <c r="H648" s="180" t="inlineStr">
        <is>
          <t>57.5 X 42</t>
        </is>
      </c>
      <c r="I648" s="180" t="inlineStr">
        <is>
          <t>17.5 X 23</t>
        </is>
      </c>
      <c r="J648" s="180" t="n">
        <v>81</v>
      </c>
      <c r="K648" s="227" t="n"/>
      <c r="L648" s="31" t="n"/>
      <c r="M648" s="32" t="n">
        <v>0.5277777777777778</v>
      </c>
      <c r="N648" s="31" t="n"/>
      <c r="O648" s="33" t="n"/>
    </row>
    <row r="649" ht="15" customHeight="1">
      <c r="A649" s="232" t="n"/>
      <c r="B649" s="232" t="n"/>
      <c r="C649" s="235" t="n"/>
      <c r="D649" s="169" t="inlineStr">
        <is>
          <t>Bottom</t>
        </is>
      </c>
      <c r="E649" s="180" t="n">
        <v>30</v>
      </c>
      <c r="F649" s="180" t="inlineStr">
        <is>
          <t>Single</t>
        </is>
      </c>
      <c r="G649" s="180" t="n"/>
      <c r="H649" s="180" t="inlineStr">
        <is>
          <t>57.5 X 42</t>
        </is>
      </c>
      <c r="I649" s="180" t="inlineStr">
        <is>
          <t>17.5 X 23</t>
        </is>
      </c>
      <c r="J649" s="180" t="n">
        <v>81</v>
      </c>
      <c r="K649" s="228" t="n"/>
      <c r="L649" s="14" t="n"/>
      <c r="M649" s="15" t="n">
        <v>0.5277777777777778</v>
      </c>
      <c r="N649" s="14" t="n"/>
      <c r="O649" s="16" t="n"/>
    </row>
    <row r="650" ht="15.75" customHeight="1">
      <c r="A650" s="234" t="n"/>
      <c r="B650" s="234" t="n"/>
      <c r="C650" s="229" t="inlineStr">
        <is>
          <t>KSCFG A-28</t>
        </is>
      </c>
      <c r="D650" s="166" t="inlineStr">
        <is>
          <t>-</t>
        </is>
      </c>
      <c r="E650" s="166" t="n">
        <v>15</v>
      </c>
      <c r="F650" s="166" t="inlineStr">
        <is>
          <t>Single</t>
        </is>
      </c>
      <c r="G650" s="166" t="n"/>
      <c r="H650" s="166" t="inlineStr">
        <is>
          <t>57 X 73</t>
        </is>
      </c>
      <c r="I650" s="166" t="inlineStr">
        <is>
          <t>20 X 21</t>
        </is>
      </c>
      <c r="J650" s="166" t="n">
        <v>49</v>
      </c>
      <c r="K650" s="230" t="n"/>
      <c r="L650" s="25" t="n"/>
      <c r="M650" s="26" t="n">
        <v>0.3381642512077295</v>
      </c>
      <c r="N650" s="25" t="n"/>
      <c r="O650" s="27" t="n"/>
    </row>
    <row r="651" ht="15" customHeight="1">
      <c r="A651" s="197" t="n">
        <v>2</v>
      </c>
      <c r="B651" s="198" t="inlineStr">
        <is>
          <t>Bull DC 12</t>
        </is>
      </c>
      <c r="C651" s="184" t="inlineStr">
        <is>
          <t>NG</t>
        </is>
      </c>
      <c r="D651" s="180" t="inlineStr">
        <is>
          <t>Top</t>
        </is>
      </c>
      <c r="E651" s="180" t="n">
        <v>30</v>
      </c>
      <c r="F651" s="180" t="inlineStr">
        <is>
          <t>Single</t>
        </is>
      </c>
      <c r="G651" s="180" t="n"/>
      <c r="H651" s="180" t="inlineStr">
        <is>
          <t>94 X 52</t>
        </is>
      </c>
      <c r="I651" s="180" t="inlineStr">
        <is>
          <t>14.5 X 20.5</t>
        </is>
      </c>
      <c r="J651" s="180" t="n">
        <v>30</v>
      </c>
      <c r="K651" s="227" t="n"/>
      <c r="L651" s="31" t="n"/>
      <c r="M651" s="32" t="n">
        <v>0.5277777777777778</v>
      </c>
      <c r="N651" s="31" t="n"/>
      <c r="O651" s="33" t="n"/>
    </row>
    <row r="652" ht="15" customHeight="1">
      <c r="A652" s="232" t="n"/>
      <c r="B652" s="232" t="n"/>
      <c r="C652" s="235" t="n"/>
      <c r="D652" s="169" t="inlineStr">
        <is>
          <t>Bottom</t>
        </is>
      </c>
      <c r="E652" s="180" t="n">
        <v>30</v>
      </c>
      <c r="F652" s="180" t="inlineStr">
        <is>
          <t>Single</t>
        </is>
      </c>
      <c r="G652" s="180" t="n"/>
      <c r="H652" s="180" t="inlineStr">
        <is>
          <t>94 X 52</t>
        </is>
      </c>
      <c r="I652" s="180" t="inlineStr">
        <is>
          <t>14.5 X 20.5</t>
        </is>
      </c>
      <c r="J652" s="180" t="n">
        <v>30</v>
      </c>
      <c r="K652" s="228" t="n"/>
      <c r="L652" s="14" t="n"/>
      <c r="M652" s="15" t="n">
        <v>0.5277777777777778</v>
      </c>
      <c r="N652" s="14" t="n"/>
      <c r="O652" s="16" t="n"/>
    </row>
    <row r="653" ht="15.75" customHeight="1">
      <c r="A653" s="234" t="n"/>
      <c r="B653" s="234" t="n"/>
      <c r="C653" s="229" t="inlineStr">
        <is>
          <t>KSCFG A-28</t>
        </is>
      </c>
      <c r="D653" s="166" t="inlineStr">
        <is>
          <t>-</t>
        </is>
      </c>
      <c r="E653" s="166" t="n">
        <v>15</v>
      </c>
      <c r="F653" s="166" t="inlineStr">
        <is>
          <t>Single</t>
        </is>
      </c>
      <c r="G653" s="166" t="n"/>
      <c r="H653" s="166" t="inlineStr">
        <is>
          <t>70 X 109</t>
        </is>
      </c>
      <c r="I653" s="166" t="inlineStr">
        <is>
          <t>20 X 21</t>
        </is>
      </c>
      <c r="J653" s="166" t="n">
        <v>24</v>
      </c>
      <c r="K653" s="230" t="n"/>
      <c r="L653" s="25" t="n"/>
      <c r="M653" s="26" t="n">
        <v>0.3381642512077295</v>
      </c>
      <c r="N653" s="25" t="n"/>
      <c r="O653" s="27" t="n"/>
    </row>
    <row r="654" ht="15" customHeight="1">
      <c r="A654" s="197" t="n">
        <v>3</v>
      </c>
      <c r="B654" s="198" t="inlineStr">
        <is>
          <t>Bull DC 14</t>
        </is>
      </c>
      <c r="C654" s="184" t="inlineStr">
        <is>
          <t>NG</t>
        </is>
      </c>
      <c r="D654" s="180" t="inlineStr">
        <is>
          <t>Top</t>
        </is>
      </c>
      <c r="E654" s="180" t="n">
        <v>30</v>
      </c>
      <c r="F654" s="180" t="inlineStr">
        <is>
          <t>Single</t>
        </is>
      </c>
      <c r="G654" s="180" t="n"/>
      <c r="H654" s="180" t="inlineStr">
        <is>
          <t>120 X 65</t>
        </is>
      </c>
      <c r="I654" s="180" t="inlineStr">
        <is>
          <t>17.5 X 20.5</t>
        </is>
      </c>
      <c r="J654" s="180" t="n">
        <v>24</v>
      </c>
      <c r="K654" s="227" t="n"/>
      <c r="L654" s="31" t="n"/>
      <c r="M654" s="32" t="n">
        <v>0.5277777777777778</v>
      </c>
      <c r="N654" s="31" t="n"/>
      <c r="O654" s="33" t="n"/>
    </row>
    <row r="655" ht="15" customHeight="1">
      <c r="A655" s="232" t="n"/>
      <c r="B655" s="232" t="n"/>
      <c r="C655" s="235" t="n"/>
      <c r="D655" s="169" t="inlineStr">
        <is>
          <t>Bottom</t>
        </is>
      </c>
      <c r="E655" s="180" t="n">
        <v>30</v>
      </c>
      <c r="F655" s="180" t="inlineStr">
        <is>
          <t>Single</t>
        </is>
      </c>
      <c r="G655" s="180" t="n"/>
      <c r="H655" s="180" t="inlineStr">
        <is>
          <t>120 X 65</t>
        </is>
      </c>
      <c r="I655" s="180" t="inlineStr">
        <is>
          <t>17.5 X 20.5</t>
        </is>
      </c>
      <c r="J655" s="180" t="n">
        <v>24</v>
      </c>
      <c r="K655" s="228" t="n"/>
      <c r="L655" s="14" t="n"/>
      <c r="M655" s="15" t="n">
        <v>0.5277777777777778</v>
      </c>
      <c r="N655" s="14" t="n"/>
      <c r="O655" s="16" t="n"/>
    </row>
    <row r="656" ht="15.75" customHeight="1">
      <c r="A656" s="234" t="n"/>
      <c r="B656" s="234" t="n"/>
      <c r="C656" s="229" t="inlineStr">
        <is>
          <t>KSCFG A-28</t>
        </is>
      </c>
      <c r="D656" s="166" t="inlineStr">
        <is>
          <t>-</t>
        </is>
      </c>
      <c r="E656" s="166" t="n">
        <v>15</v>
      </c>
      <c r="F656" s="166" t="inlineStr">
        <is>
          <t>Single</t>
        </is>
      </c>
      <c r="G656" s="166" t="n"/>
      <c r="H656" s="166" t="inlineStr">
        <is>
          <t>84 X 138</t>
        </is>
      </c>
      <c r="I656" s="166" t="inlineStr">
        <is>
          <t>25 X 25</t>
        </is>
      </c>
      <c r="J656" s="166" t="n">
        <v>24</v>
      </c>
      <c r="K656" s="230" t="n"/>
      <c r="L656" s="25" t="n"/>
      <c r="M656" s="26" t="n">
        <v>0.3381642512077295</v>
      </c>
      <c r="N656" s="25" t="n"/>
      <c r="O656" s="27" t="n"/>
    </row>
    <row r="657" ht="15" customHeight="1">
      <c r="A657" s="197" t="n">
        <v>4</v>
      </c>
      <c r="B657" s="198" t="inlineStr">
        <is>
          <t>Bull DC 20</t>
        </is>
      </c>
      <c r="C657" s="184" t="inlineStr">
        <is>
          <t>NG</t>
        </is>
      </c>
      <c r="D657" s="180" t="inlineStr">
        <is>
          <t>Top</t>
        </is>
      </c>
      <c r="E657" s="180" t="n">
        <v>50</v>
      </c>
      <c r="F657" s="180" t="inlineStr">
        <is>
          <t>Single</t>
        </is>
      </c>
      <c r="G657" s="180" t="n"/>
      <c r="H657" s="180" t="inlineStr">
        <is>
          <t>99.5 X 55.5</t>
        </is>
      </c>
      <c r="I657" s="180" t="inlineStr">
        <is>
          <t>15 X 21.5</t>
        </is>
      </c>
      <c r="J657" s="180" t="n">
        <v>30</v>
      </c>
      <c r="K657" s="227" t="n"/>
      <c r="L657" s="31" t="n"/>
      <c r="M657" s="32" t="n">
        <v>0.9182530795072789</v>
      </c>
      <c r="N657" s="31" t="n"/>
      <c r="O657" s="33" t="n"/>
    </row>
    <row r="658" ht="15" customHeight="1">
      <c r="A658" s="232" t="n"/>
      <c r="B658" s="232" t="n"/>
      <c r="C658" s="235" t="n"/>
      <c r="D658" s="169" t="inlineStr">
        <is>
          <t>Bottom</t>
        </is>
      </c>
      <c r="E658" s="180" t="n">
        <v>30</v>
      </c>
      <c r="F658" s="180" t="inlineStr">
        <is>
          <t>Single</t>
        </is>
      </c>
      <c r="G658" s="180" t="n"/>
      <c r="H658" s="180" t="inlineStr">
        <is>
          <t>99.5 X 55.5</t>
        </is>
      </c>
      <c r="I658" s="180" t="inlineStr">
        <is>
          <t>15 X 21.5</t>
        </is>
      </c>
      <c r="J658" s="180" t="n">
        <v>30</v>
      </c>
      <c r="K658" s="228" t="n"/>
      <c r="L658" s="14" t="n"/>
      <c r="M658" s="15" t="n">
        <v>0.5277777777777778</v>
      </c>
      <c r="N658" s="14" t="n"/>
      <c r="O658" s="16" t="n"/>
    </row>
    <row r="659" ht="15.75" customHeight="1">
      <c r="A659" s="234" t="n"/>
      <c r="B659" s="234" t="n"/>
      <c r="C659" s="229" t="inlineStr">
        <is>
          <t>KSCFG A-28</t>
        </is>
      </c>
      <c r="D659" s="166" t="inlineStr">
        <is>
          <t>-</t>
        </is>
      </c>
      <c r="E659" s="166" t="n">
        <v>15</v>
      </c>
      <c r="F659" s="166" t="inlineStr">
        <is>
          <t>Single</t>
        </is>
      </c>
      <c r="G659" s="166" t="n"/>
      <c r="H659" s="166" t="inlineStr">
        <is>
          <t>74 X 120</t>
        </is>
      </c>
      <c r="I659" s="166" t="inlineStr">
        <is>
          <t>22 X 22</t>
        </is>
      </c>
      <c r="J659" s="166" t="n">
        <v>24</v>
      </c>
      <c r="K659" s="230" t="n"/>
      <c r="L659" s="25" t="n"/>
      <c r="M659" s="26" t="n">
        <v>0.3381642512077295</v>
      </c>
      <c r="N659" s="25" t="n"/>
      <c r="O659" s="27" t="n"/>
    </row>
    <row r="660" ht="15" customHeight="1">
      <c r="A660" s="197" t="n">
        <v>5</v>
      </c>
      <c r="B660" s="198" t="inlineStr">
        <is>
          <t>Bull DC 22</t>
        </is>
      </c>
      <c r="C660" s="184" t="inlineStr">
        <is>
          <t>NG</t>
        </is>
      </c>
      <c r="D660" s="180" t="inlineStr">
        <is>
          <t>Top</t>
        </is>
      </c>
      <c r="E660" s="180" t="n">
        <v>50</v>
      </c>
      <c r="F660" s="180" t="inlineStr">
        <is>
          <t>Single</t>
        </is>
      </c>
      <c r="G660" s="180" t="n"/>
      <c r="H660" s="180" t="inlineStr">
        <is>
          <t>54 X 122</t>
        </is>
      </c>
      <c r="I660" s="180" t="inlineStr">
        <is>
          <t>21 X 26.5</t>
        </is>
      </c>
      <c r="J660" s="180" t="n">
        <v>40</v>
      </c>
      <c r="K660" s="227" t="n"/>
      <c r="L660" s="31" t="n"/>
      <c r="M660" s="32" t="n">
        <v>0.9182530795072789</v>
      </c>
      <c r="N660" s="31" t="n"/>
      <c r="O660" s="33" t="n"/>
    </row>
    <row r="661" ht="15" customHeight="1">
      <c r="A661" s="232" t="n"/>
      <c r="B661" s="232" t="n"/>
      <c r="C661" s="235" t="n"/>
      <c r="D661" s="169" t="inlineStr">
        <is>
          <t>Bottom</t>
        </is>
      </c>
      <c r="E661" s="180" t="n">
        <v>50</v>
      </c>
      <c r="F661" s="180" t="inlineStr">
        <is>
          <t>Single</t>
        </is>
      </c>
      <c r="G661" s="180" t="n"/>
      <c r="H661" s="180" t="inlineStr">
        <is>
          <t>54 X 122</t>
        </is>
      </c>
      <c r="I661" s="180" t="inlineStr">
        <is>
          <t>21 X 26.5</t>
        </is>
      </c>
      <c r="J661" s="180" t="n">
        <v>40</v>
      </c>
      <c r="K661" s="228" t="n"/>
      <c r="L661" s="14" t="n"/>
      <c r="M661" s="15" t="n">
        <v>0.9182530795072789</v>
      </c>
      <c r="N661" s="14" t="n"/>
      <c r="O661" s="16" t="n"/>
    </row>
    <row r="662" ht="15.75" customHeight="1">
      <c r="A662" s="234" t="n"/>
      <c r="B662" s="234" t="n"/>
      <c r="C662" s="229" t="inlineStr">
        <is>
          <t>KSCFG A-28</t>
        </is>
      </c>
      <c r="D662" s="166" t="inlineStr">
        <is>
          <t>-</t>
        </is>
      </c>
      <c r="E662" s="166" t="n">
        <v>15</v>
      </c>
      <c r="F662" s="166" t="inlineStr">
        <is>
          <t>Single</t>
        </is>
      </c>
      <c r="G662" s="166" t="n"/>
      <c r="H662" s="166" t="inlineStr">
        <is>
          <t>73 X 140</t>
        </is>
      </c>
      <c r="I662" s="166" t="inlineStr">
        <is>
          <t>25.6 X 44.1</t>
        </is>
      </c>
      <c r="J662" s="166" t="n">
        <v>49</v>
      </c>
      <c r="K662" s="230" t="n"/>
      <c r="L662" s="25" t="n"/>
      <c r="M662" s="26" t="n">
        <v>0.3381642512077295</v>
      </c>
      <c r="N662" s="25" t="n"/>
      <c r="O662" s="27" t="n"/>
    </row>
    <row r="663" ht="15" customHeight="1">
      <c r="A663" s="197" t="n">
        <v>6</v>
      </c>
      <c r="B663" s="198" t="inlineStr">
        <is>
          <t>Bull DC 24</t>
        </is>
      </c>
      <c r="C663" s="184" t="inlineStr">
        <is>
          <t>NG</t>
        </is>
      </c>
      <c r="D663" s="180" t="inlineStr">
        <is>
          <t>Top</t>
        </is>
      </c>
      <c r="E663" s="180" t="n">
        <v>50</v>
      </c>
      <c r="F663" s="180" t="inlineStr">
        <is>
          <t>Single</t>
        </is>
      </c>
      <c r="G663" s="180" t="n"/>
      <c r="H663" s="180" t="inlineStr">
        <is>
          <t>54 X 176</t>
        </is>
      </c>
      <c r="I663" s="180" t="inlineStr">
        <is>
          <t>21 X 22</t>
        </is>
      </c>
      <c r="J663" s="180" t="n">
        <v>24</v>
      </c>
      <c r="K663" s="227" t="n"/>
      <c r="L663" s="31" t="n"/>
      <c r="M663" s="32" t="n">
        <v>0.9182530795072789</v>
      </c>
      <c r="N663" s="31" t="n"/>
      <c r="O663" s="33" t="n"/>
    </row>
    <row r="664" ht="15" customHeight="1">
      <c r="A664" s="232" t="n"/>
      <c r="B664" s="232" t="n"/>
      <c r="C664" s="235" t="n"/>
      <c r="D664" s="169" t="inlineStr">
        <is>
          <t>Bottom</t>
        </is>
      </c>
      <c r="E664" s="180" t="n">
        <v>50</v>
      </c>
      <c r="F664" s="180" t="inlineStr">
        <is>
          <t>Single</t>
        </is>
      </c>
      <c r="G664" s="180" t="n"/>
      <c r="H664" s="180" t="inlineStr">
        <is>
          <t>54 X 176</t>
        </is>
      </c>
      <c r="I664" s="180" t="inlineStr">
        <is>
          <t>21 X 22</t>
        </is>
      </c>
      <c r="J664" s="180" t="n">
        <v>24</v>
      </c>
      <c r="K664" s="228" t="n"/>
      <c r="L664" s="14" t="n"/>
      <c r="M664" s="15" t="n">
        <v>0.9182530795072789</v>
      </c>
      <c r="N664" s="14" t="n"/>
      <c r="O664" s="16" t="n"/>
    </row>
    <row r="665" ht="15.75" customHeight="1">
      <c r="A665" s="234" t="n"/>
      <c r="B665" s="234" t="n"/>
      <c r="C665" s="229" t="inlineStr">
        <is>
          <t>KSCFG A-28</t>
        </is>
      </c>
      <c r="D665" s="166" t="inlineStr">
        <is>
          <t>-</t>
        </is>
      </c>
      <c r="E665" s="166" t="n">
        <v>15</v>
      </c>
      <c r="F665" s="166" t="inlineStr">
        <is>
          <t>Single</t>
        </is>
      </c>
      <c r="G665" s="166" t="n"/>
      <c r="H665" s="166" t="inlineStr">
        <is>
          <t>73 X 194</t>
        </is>
      </c>
      <c r="I665" s="166" t="inlineStr">
        <is>
          <t>25.6 X 59</t>
        </is>
      </c>
      <c r="J665" s="166" t="n">
        <v>49</v>
      </c>
      <c r="K665" s="230" t="n"/>
      <c r="L665" s="25" t="n"/>
      <c r="M665" s="26" t="n">
        <v>0.3381642512077295</v>
      </c>
      <c r="N665" s="25" t="n"/>
      <c r="O665" s="27" t="n"/>
    </row>
    <row r="666" ht="15" customHeight="1">
      <c r="A666" s="197" t="n">
        <v>3</v>
      </c>
      <c r="B666" s="198" t="inlineStr">
        <is>
          <t>Bull DC 33</t>
        </is>
      </c>
      <c r="C666" s="184" t="inlineStr">
        <is>
          <t>NG</t>
        </is>
      </c>
      <c r="D666" s="180" t="inlineStr">
        <is>
          <t>Top</t>
        </is>
      </c>
      <c r="E666" s="180" t="n">
        <v>80</v>
      </c>
      <c r="F666" s="180" t="inlineStr">
        <is>
          <t>Single</t>
        </is>
      </c>
      <c r="G666" s="180" t="n"/>
      <c r="H666" s="180" t="inlineStr">
        <is>
          <t>82 X 111</t>
        </is>
      </c>
      <c r="I666" s="180" t="inlineStr">
        <is>
          <t>22.5 X 24.5</t>
        </is>
      </c>
      <c r="J666" s="180" t="n">
        <v>30</v>
      </c>
      <c r="K666" s="227" t="n"/>
      <c r="L666" s="31" t="n"/>
      <c r="M666" s="32" t="n">
        <v>1.494824016563147</v>
      </c>
      <c r="N666" s="31" t="n"/>
      <c r="O666" s="33" t="n"/>
    </row>
    <row r="667" ht="15" customHeight="1">
      <c r="A667" s="232" t="n"/>
      <c r="B667" s="232" t="n"/>
      <c r="C667" s="235" t="n"/>
      <c r="D667" s="169" t="inlineStr">
        <is>
          <t>Bottom</t>
        </is>
      </c>
      <c r="E667" s="180" t="n">
        <v>50</v>
      </c>
      <c r="F667" s="180" t="inlineStr">
        <is>
          <t>Single</t>
        </is>
      </c>
      <c r="G667" s="180" t="n"/>
      <c r="H667" s="180" t="inlineStr">
        <is>
          <t>82 X 111</t>
        </is>
      </c>
      <c r="I667" s="180" t="inlineStr">
        <is>
          <t>22.5 X 24.5</t>
        </is>
      </c>
      <c r="J667" s="180" t="n">
        <v>30</v>
      </c>
      <c r="K667" s="228" t="n"/>
      <c r="L667" s="14" t="n"/>
      <c r="M667" s="15" t="n">
        <v>0.9182530795072789</v>
      </c>
      <c r="N667" s="14" t="n"/>
      <c r="O667" s="16" t="n"/>
    </row>
    <row r="668" ht="15.75" customHeight="1">
      <c r="A668" s="234" t="n"/>
      <c r="B668" s="234" t="n"/>
      <c r="C668" s="229" t="inlineStr">
        <is>
          <t>KSCFG A-28</t>
        </is>
      </c>
      <c r="D668" s="166" t="inlineStr">
        <is>
          <t>-</t>
        </is>
      </c>
      <c r="E668" s="166" t="n">
        <v>15</v>
      </c>
      <c r="F668" s="166" t="inlineStr">
        <is>
          <t>Single</t>
        </is>
      </c>
      <c r="G668" s="166" t="n"/>
      <c r="H668" s="166" t="inlineStr">
        <is>
          <t>102 X 130</t>
        </is>
      </c>
      <c r="I668" s="166" t="inlineStr">
        <is>
          <t>33.6 X 41.3</t>
        </is>
      </c>
      <c r="J668" s="166" t="n">
        <v>49</v>
      </c>
      <c r="K668" s="230" t="n"/>
      <c r="L668" s="25" t="n"/>
      <c r="M668" s="26" t="n">
        <v>0.3381642512077295</v>
      </c>
      <c r="N668" s="25" t="n"/>
      <c r="O668" s="27" t="n"/>
    </row>
    <row r="669" ht="15" customHeight="1">
      <c r="A669" s="197" t="n">
        <v>4</v>
      </c>
      <c r="B669" s="198" t="inlineStr">
        <is>
          <t>Bull DC 35</t>
        </is>
      </c>
      <c r="C669" s="184" t="inlineStr">
        <is>
          <t>NG</t>
        </is>
      </c>
      <c r="D669" s="180" t="inlineStr">
        <is>
          <t>Top</t>
        </is>
      </c>
      <c r="E669" s="180" t="n">
        <v>80</v>
      </c>
      <c r="F669" s="180" t="inlineStr">
        <is>
          <t>Single</t>
        </is>
      </c>
      <c r="G669" s="180" t="n"/>
      <c r="H669" s="180" t="inlineStr">
        <is>
          <t>108 X 138</t>
        </is>
      </c>
      <c r="I669" s="180" t="inlineStr">
        <is>
          <t>24 X 24</t>
        </is>
      </c>
      <c r="J669" s="180" t="n">
        <v>20</v>
      </c>
      <c r="K669" s="181" t="n"/>
      <c r="L669" s="31" t="n"/>
      <c r="M669" s="32" t="n">
        <v>1.494824016563147</v>
      </c>
      <c r="N669" s="31" t="n"/>
      <c r="O669" s="33" t="n"/>
    </row>
    <row r="670" ht="15" customHeight="1">
      <c r="A670" s="232" t="n"/>
      <c r="B670" s="232" t="n"/>
      <c r="C670" s="235" t="n"/>
      <c r="D670" s="169" t="inlineStr">
        <is>
          <t>Bottom</t>
        </is>
      </c>
      <c r="E670" s="180" t="n">
        <v>50</v>
      </c>
      <c r="F670" s="180" t="inlineStr">
        <is>
          <t>Single</t>
        </is>
      </c>
      <c r="G670" s="180" t="n"/>
      <c r="H670" s="180" t="inlineStr">
        <is>
          <t>108 X 138</t>
        </is>
      </c>
      <c r="I670" s="180" t="inlineStr">
        <is>
          <t>24 X 24</t>
        </is>
      </c>
      <c r="J670" s="180" t="n">
        <v>20</v>
      </c>
      <c r="K670" s="171" t="n"/>
      <c r="L670" s="14" t="n"/>
      <c r="M670" s="15" t="n">
        <v>0.9182530795072789</v>
      </c>
      <c r="N670" s="14" t="n"/>
      <c r="O670" s="16" t="n"/>
    </row>
    <row r="671" ht="15.75" customHeight="1">
      <c r="A671" s="234" t="n"/>
      <c r="B671" s="234" t="n"/>
      <c r="C671" s="229" t="inlineStr">
        <is>
          <t>KSCFG A-28</t>
        </is>
      </c>
      <c r="D671" s="166" t="inlineStr">
        <is>
          <t>-</t>
        </is>
      </c>
      <c r="E671" s="166" t="n">
        <v>15</v>
      </c>
      <c r="F671" s="166" t="inlineStr">
        <is>
          <t>Single</t>
        </is>
      </c>
      <c r="G671" s="166" t="n"/>
      <c r="H671" s="166" t="inlineStr">
        <is>
          <t>127 X 159</t>
        </is>
      </c>
      <c r="I671" s="166" t="inlineStr">
        <is>
          <t>40.5 X 49.3</t>
        </is>
      </c>
      <c r="J671" s="166" t="n">
        <v>49</v>
      </c>
      <c r="K671" s="176" t="n"/>
      <c r="L671" s="25" t="n"/>
      <c r="M671" s="26" t="n">
        <v>0.3381642512077295</v>
      </c>
      <c r="N671" s="25" t="n"/>
      <c r="O671" s="27" t="n"/>
    </row>
    <row r="672" ht="15" customHeight="1">
      <c r="A672" s="197" t="n">
        <v>5</v>
      </c>
      <c r="B672" s="198" t="inlineStr">
        <is>
          <t>Bull DC 37</t>
        </is>
      </c>
      <c r="C672" s="184" t="inlineStr">
        <is>
          <t>NG</t>
        </is>
      </c>
      <c r="D672" s="180" t="inlineStr">
        <is>
          <t>Top</t>
        </is>
      </c>
      <c r="E672" s="180" t="n">
        <v>100</v>
      </c>
      <c r="F672" s="180" t="inlineStr">
        <is>
          <t>Single</t>
        </is>
      </c>
      <c r="G672" s="180" t="n"/>
      <c r="H672" s="180" t="inlineStr">
        <is>
          <t>108 X 157</t>
        </is>
      </c>
      <c r="I672" s="180" t="inlineStr">
        <is>
          <t>24 X 27</t>
        </is>
      </c>
      <c r="J672" s="180" t="n">
        <v>20</v>
      </c>
      <c r="K672" s="227" t="n"/>
      <c r="L672" s="31" t="n"/>
      <c r="M672" s="32" t="n">
        <v>1.906191369606004</v>
      </c>
      <c r="N672" s="31" t="n"/>
      <c r="O672" s="33" t="n"/>
    </row>
    <row r="673" ht="15" customHeight="1">
      <c r="A673" s="232" t="n"/>
      <c r="B673" s="232" t="n"/>
      <c r="C673" s="235" t="n"/>
      <c r="D673" s="169" t="inlineStr">
        <is>
          <t>Bottom</t>
        </is>
      </c>
      <c r="E673" s="180" t="n">
        <v>50</v>
      </c>
      <c r="F673" s="180" t="inlineStr">
        <is>
          <t>Single</t>
        </is>
      </c>
      <c r="G673" s="180" t="n"/>
      <c r="H673" s="180" t="inlineStr">
        <is>
          <t>108 X 157</t>
        </is>
      </c>
      <c r="I673" s="180" t="inlineStr">
        <is>
          <t>24 X 27</t>
        </is>
      </c>
      <c r="J673" s="180" t="n">
        <v>20</v>
      </c>
      <c r="K673" s="228" t="n"/>
      <c r="L673" s="14" t="n"/>
      <c r="M673" s="15" t="n">
        <v>0.9182530795072789</v>
      </c>
      <c r="N673" s="14" t="n"/>
      <c r="O673" s="16" t="n"/>
    </row>
    <row r="674" ht="15.75" customHeight="1">
      <c r="A674" s="234" t="n"/>
      <c r="B674" s="234" t="n"/>
      <c r="C674" s="229" t="inlineStr">
        <is>
          <t>KSCFG A-28</t>
        </is>
      </c>
      <c r="D674" s="166" t="inlineStr">
        <is>
          <t>-</t>
        </is>
      </c>
      <c r="E674" s="166" t="n">
        <v>15</v>
      </c>
      <c r="F674" s="166" t="inlineStr">
        <is>
          <t>Single</t>
        </is>
      </c>
      <c r="G674" s="166" t="n"/>
      <c r="H674" s="166" t="inlineStr">
        <is>
          <t>127 X 178</t>
        </is>
      </c>
      <c r="I674" s="166" t="inlineStr">
        <is>
          <t>40.5 X 54.6</t>
        </is>
      </c>
      <c r="J674" s="166" t="n">
        <v>49</v>
      </c>
      <c r="K674" s="230" t="n"/>
      <c r="L674" s="25" t="n"/>
      <c r="M674" s="26" t="n">
        <v>0.3381642512077295</v>
      </c>
      <c r="N674" s="25" t="n"/>
      <c r="O674" s="27" t="n"/>
    </row>
    <row r="675" ht="15" customHeight="1">
      <c r="A675" s="197" t="n">
        <v>6</v>
      </c>
      <c r="B675" s="198" t="inlineStr">
        <is>
          <t>Bull DC 40</t>
        </is>
      </c>
      <c r="C675" s="184" t="inlineStr">
        <is>
          <t>NG</t>
        </is>
      </c>
      <c r="D675" s="180" t="inlineStr">
        <is>
          <t>Top</t>
        </is>
      </c>
      <c r="E675" s="180" t="n">
        <v>80</v>
      </c>
      <c r="F675" s="180" t="inlineStr">
        <is>
          <t>Single</t>
        </is>
      </c>
      <c r="G675" s="180" t="n"/>
      <c r="H675" s="180" t="inlineStr">
        <is>
          <t>84 X 179</t>
        </is>
      </c>
      <c r="I675" s="180" t="inlineStr">
        <is>
          <t>23 X 23</t>
        </is>
      </c>
      <c r="J675" s="180" t="n">
        <v>18</v>
      </c>
      <c r="K675" s="227" t="n"/>
      <c r="L675" s="31" t="n"/>
      <c r="M675" s="32" t="n">
        <v>1.494824016563147</v>
      </c>
      <c r="N675" s="31" t="n"/>
      <c r="O675" s="33" t="n"/>
    </row>
    <row r="676" ht="15" customHeight="1">
      <c r="A676" s="232" t="n"/>
      <c r="B676" s="232" t="n"/>
      <c r="C676" s="235" t="n"/>
      <c r="D676" s="169" t="inlineStr">
        <is>
          <t>Bottom</t>
        </is>
      </c>
      <c r="E676" s="180" t="n">
        <v>50</v>
      </c>
      <c r="F676" s="180" t="inlineStr">
        <is>
          <t>Single</t>
        </is>
      </c>
      <c r="G676" s="180" t="n"/>
      <c r="H676" s="180" t="inlineStr">
        <is>
          <t>84 X 179</t>
        </is>
      </c>
      <c r="I676" s="180" t="inlineStr">
        <is>
          <t>23 X 23</t>
        </is>
      </c>
      <c r="J676" s="180" t="n">
        <v>18</v>
      </c>
      <c r="K676" s="228" t="n"/>
      <c r="L676" s="14" t="n"/>
      <c r="M676" s="15" t="n">
        <v>0.9182530795072789</v>
      </c>
      <c r="N676" s="14" t="n"/>
      <c r="O676" s="16" t="n"/>
    </row>
    <row r="677" ht="15.75" customHeight="1">
      <c r="A677" s="234" t="n"/>
      <c r="B677" s="234" t="n"/>
      <c r="C677" s="229" t="inlineStr">
        <is>
          <t>KSCFG A-28</t>
        </is>
      </c>
      <c r="D677" s="166" t="inlineStr">
        <is>
          <t>-</t>
        </is>
      </c>
      <c r="E677" s="166" t="n">
        <v>15</v>
      </c>
      <c r="F677" s="166" t="inlineStr">
        <is>
          <t>Single</t>
        </is>
      </c>
      <c r="G677" s="166" t="n"/>
      <c r="H677" s="166" t="inlineStr">
        <is>
          <t>103 X 200</t>
        </is>
      </c>
      <c r="I677" s="166" t="inlineStr">
        <is>
          <t>33.9 X 60.6</t>
        </is>
      </c>
      <c r="J677" s="166" t="n">
        <v>49</v>
      </c>
      <c r="K677" s="230" t="n"/>
      <c r="L677" s="25" t="n"/>
      <c r="M677" s="26" t="n">
        <v>0.3381642512077295</v>
      </c>
      <c r="N677" s="25" t="n"/>
      <c r="O677" s="27" t="n"/>
    </row>
    <row r="678" ht="15" customHeight="1">
      <c r="A678" s="197" t="n">
        <v>7</v>
      </c>
      <c r="B678" s="198" t="inlineStr">
        <is>
          <t>Bull DC 42</t>
        </is>
      </c>
      <c r="C678" s="184" t="inlineStr">
        <is>
          <t>NG</t>
        </is>
      </c>
      <c r="D678" s="180" t="inlineStr">
        <is>
          <t>Top</t>
        </is>
      </c>
      <c r="E678" s="180" t="n">
        <v>80</v>
      </c>
      <c r="F678" s="180" t="inlineStr">
        <is>
          <t>Single</t>
        </is>
      </c>
      <c r="G678" s="180" t="n"/>
      <c r="H678" s="180" t="inlineStr">
        <is>
          <t>112 X 229</t>
        </is>
      </c>
      <c r="I678" s="180" t="inlineStr">
        <is>
          <t>24.5 X 29</t>
        </is>
      </c>
      <c r="J678" s="180" t="n">
        <v>15</v>
      </c>
      <c r="K678" s="181" t="n"/>
      <c r="L678" s="31" t="n"/>
      <c r="M678" s="32" t="n">
        <v>1.494824016563147</v>
      </c>
      <c r="N678" s="31" t="n"/>
      <c r="O678" s="33" t="n"/>
    </row>
    <row r="679" ht="15" customHeight="1">
      <c r="A679" s="232" t="n"/>
      <c r="B679" s="232" t="n"/>
      <c r="C679" s="235" t="n"/>
      <c r="D679" s="169" t="inlineStr">
        <is>
          <t>Bottom</t>
        </is>
      </c>
      <c r="E679" s="180" t="n">
        <v>50</v>
      </c>
      <c r="F679" s="180" t="inlineStr">
        <is>
          <t>Single</t>
        </is>
      </c>
      <c r="G679" s="180" t="n"/>
      <c r="H679" s="180" t="inlineStr">
        <is>
          <t>112 X 229</t>
        </is>
      </c>
      <c r="I679" s="180" t="inlineStr">
        <is>
          <t>24.5 X 29</t>
        </is>
      </c>
      <c r="J679" s="180" t="n">
        <v>15</v>
      </c>
      <c r="K679" s="171" t="n"/>
      <c r="L679" s="14" t="n"/>
      <c r="M679" s="15" t="n">
        <v>0.9182530795072789</v>
      </c>
      <c r="N679" s="14" t="n"/>
      <c r="O679" s="16" t="n"/>
    </row>
    <row r="680" ht="15.75" customHeight="1">
      <c r="A680" s="234" t="n"/>
      <c r="B680" s="234" t="n"/>
      <c r="C680" s="229" t="inlineStr">
        <is>
          <t>KSCFG A-28</t>
        </is>
      </c>
      <c r="D680" s="166" t="inlineStr">
        <is>
          <t>-</t>
        </is>
      </c>
      <c r="E680" s="166" t="n">
        <v>15</v>
      </c>
      <c r="F680" s="166" t="inlineStr">
        <is>
          <t>Single</t>
        </is>
      </c>
      <c r="G680" s="166" t="n"/>
      <c r="H680" s="166" t="inlineStr">
        <is>
          <t>133 X 254</t>
        </is>
      </c>
      <c r="I680" s="166" t="inlineStr">
        <is>
          <t>42.2 X 75.5</t>
        </is>
      </c>
      <c r="J680" s="166" t="n">
        <v>49</v>
      </c>
      <c r="K680" s="176" t="n"/>
      <c r="L680" s="25" t="n"/>
      <c r="M680" s="26" t="n">
        <v>0.3381642512077295</v>
      </c>
      <c r="N680" s="25" t="n"/>
      <c r="O680" s="27" t="n"/>
    </row>
    <row r="681" ht="15" customHeight="1">
      <c r="A681" s="197" t="n">
        <v>8</v>
      </c>
      <c r="B681" s="198" t="inlineStr">
        <is>
          <t>Bull DC 44</t>
        </is>
      </c>
      <c r="C681" s="184" t="inlineStr">
        <is>
          <t>NG</t>
        </is>
      </c>
      <c r="D681" s="180" t="inlineStr">
        <is>
          <t>Top</t>
        </is>
      </c>
      <c r="E681" s="180" t="n">
        <v>100</v>
      </c>
      <c r="F681" s="180" t="inlineStr">
        <is>
          <t>Single</t>
        </is>
      </c>
      <c r="G681" s="180" t="n"/>
      <c r="H681" s="180" t="inlineStr">
        <is>
          <t>105 X 305</t>
        </is>
      </c>
      <c r="I681" s="180" t="inlineStr">
        <is>
          <t>23 X 25</t>
        </is>
      </c>
      <c r="J681" s="180" t="n">
        <v>10</v>
      </c>
      <c r="K681" s="227" t="n"/>
      <c r="L681" s="31" t="n"/>
      <c r="M681" s="32" t="n">
        <v>1.906191369606004</v>
      </c>
      <c r="N681" s="31" t="n"/>
      <c r="O681" s="33" t="n"/>
    </row>
    <row r="682" ht="15" customHeight="1">
      <c r="A682" s="232" t="n"/>
      <c r="B682" s="232" t="n"/>
      <c r="C682" s="235" t="n"/>
      <c r="D682" s="169" t="inlineStr">
        <is>
          <t>Bottom</t>
        </is>
      </c>
      <c r="E682" s="180" t="n">
        <v>50</v>
      </c>
      <c r="F682" s="180" t="inlineStr">
        <is>
          <t>Single</t>
        </is>
      </c>
      <c r="G682" s="180" t="n"/>
      <c r="H682" s="180" t="inlineStr">
        <is>
          <t>105 X 305</t>
        </is>
      </c>
      <c r="I682" s="180" t="inlineStr">
        <is>
          <t>23 X 25</t>
        </is>
      </c>
      <c r="J682" s="180" t="n">
        <v>10</v>
      </c>
      <c r="K682" s="228" t="n"/>
      <c r="L682" s="14" t="n"/>
      <c r="M682" s="15" t="n">
        <v>0.9182530795072789</v>
      </c>
      <c r="N682" s="14" t="n"/>
      <c r="O682" s="16" t="n"/>
    </row>
    <row r="683" ht="15.75" customHeight="1">
      <c r="A683" s="234" t="n"/>
      <c r="B683" s="234" t="n"/>
      <c r="C683" s="229" t="inlineStr">
        <is>
          <t>KSCFG A-28</t>
        </is>
      </c>
      <c r="D683" s="166" t="inlineStr">
        <is>
          <t>-</t>
        </is>
      </c>
      <c r="E683" s="166" t="n">
        <v>15</v>
      </c>
      <c r="F683" s="166" t="inlineStr">
        <is>
          <t>Single</t>
        </is>
      </c>
      <c r="G683" s="166" t="n"/>
      <c r="H683" s="166" t="inlineStr">
        <is>
          <t>127 X 330</t>
        </is>
      </c>
      <c r="I683" s="166" t="inlineStr">
        <is>
          <t>40.5 X 96.5</t>
        </is>
      </c>
      <c r="J683" s="166" t="n">
        <v>49</v>
      </c>
      <c r="K683" s="230" t="n"/>
      <c r="L683" s="25" t="n"/>
      <c r="M683" s="26" t="n">
        <v>0.3381642512077295</v>
      </c>
      <c r="N683" s="25" t="n"/>
      <c r="O683" s="27" t="n"/>
    </row>
    <row r="684" ht="15" customHeight="1">
      <c r="A684" s="197" t="n">
        <v>9</v>
      </c>
      <c r="B684" s="198" t="inlineStr">
        <is>
          <t>Bull DC 45</t>
        </is>
      </c>
      <c r="C684" s="179" t="inlineStr">
        <is>
          <t>CRPL</t>
        </is>
      </c>
      <c r="D684" s="180" t="inlineStr">
        <is>
          <t>Top</t>
        </is>
      </c>
      <c r="E684" s="180" t="n">
        <v>100</v>
      </c>
      <c r="F684" s="180" t="inlineStr">
        <is>
          <t>Single</t>
        </is>
      </c>
      <c r="G684" s="180" t="n"/>
      <c r="H684" s="180" t="inlineStr">
        <is>
          <t>163 X 210</t>
        </is>
      </c>
      <c r="I684" s="180" t="inlineStr">
        <is>
          <t>14 X 18</t>
        </is>
      </c>
      <c r="J684" s="180" t="n">
        <v>4</v>
      </c>
      <c r="K684" s="227" t="n"/>
      <c r="L684" s="31" t="n"/>
      <c r="M684" s="32" t="n">
        <v>1.906191369606004</v>
      </c>
      <c r="N684" s="31" t="n"/>
      <c r="O684" s="33" t="n"/>
    </row>
    <row r="685" ht="15" customHeight="1">
      <c r="A685" s="232" t="n"/>
      <c r="B685" s="232" t="n"/>
      <c r="C685" s="235" t="n"/>
      <c r="D685" s="169" t="inlineStr">
        <is>
          <t>Bottom</t>
        </is>
      </c>
      <c r="E685" s="180" t="n">
        <v>70</v>
      </c>
      <c r="F685" s="180" t="inlineStr">
        <is>
          <t>Single</t>
        </is>
      </c>
      <c r="G685" s="180" t="n"/>
      <c r="H685" s="180" t="inlineStr">
        <is>
          <t>163 X 210</t>
        </is>
      </c>
      <c r="I685" s="180" t="inlineStr">
        <is>
          <t>14 X 18</t>
        </is>
      </c>
      <c r="J685" s="180" t="n">
        <v>4</v>
      </c>
      <c r="K685" s="228" t="n"/>
      <c r="L685" s="14" t="n"/>
      <c r="M685" s="15" t="n">
        <v>1.269736842105263</v>
      </c>
      <c r="N685" s="14" t="n"/>
      <c r="O685" s="16" t="n"/>
    </row>
    <row r="686" ht="15.75" customHeight="1">
      <c r="A686" s="234" t="n"/>
      <c r="B686" s="234" t="n"/>
      <c r="C686" s="231" t="inlineStr">
        <is>
          <t>SCFG Red/Gray</t>
        </is>
      </c>
      <c r="D686" s="166" t="inlineStr">
        <is>
          <t>-</t>
        </is>
      </c>
      <c r="E686" s="166" t="n">
        <v>15</v>
      </c>
      <c r="F686" s="166" t="inlineStr">
        <is>
          <t>Single</t>
        </is>
      </c>
      <c r="G686" s="166" t="n"/>
      <c r="H686" s="166" t="inlineStr">
        <is>
          <t>191 X 241</t>
        </is>
      </c>
      <c r="I686" s="166" t="inlineStr">
        <is>
          <t>17 X 21</t>
        </is>
      </c>
      <c r="J686" s="166" t="n">
        <v>4</v>
      </c>
      <c r="K686" s="230" t="n"/>
      <c r="L686" s="25" t="n"/>
      <c r="M686" s="26" t="n">
        <v>0.3381642512077295</v>
      </c>
      <c r="N686" s="25" t="n"/>
      <c r="O686" s="27" t="n"/>
    </row>
    <row r="687" ht="15" customHeight="1">
      <c r="A687" s="197" t="n">
        <v>9</v>
      </c>
      <c r="B687" s="198" t="inlineStr">
        <is>
          <t>Bull DC 46</t>
        </is>
      </c>
      <c r="C687" s="179" t="inlineStr">
        <is>
          <t>CRPL</t>
        </is>
      </c>
      <c r="D687" s="180" t="inlineStr">
        <is>
          <t>Top</t>
        </is>
      </c>
      <c r="E687" s="180" t="n">
        <v>100</v>
      </c>
      <c r="F687" s="180" t="inlineStr">
        <is>
          <t>Single</t>
        </is>
      </c>
      <c r="G687" s="180" t="n"/>
      <c r="H687" s="180" t="inlineStr">
        <is>
          <t>129 X 407</t>
        </is>
      </c>
      <c r="I687" s="180" t="inlineStr">
        <is>
          <t>16.5 X 22.5</t>
        </is>
      </c>
      <c r="J687" s="180" t="n">
        <v>4</v>
      </c>
      <c r="K687" s="181" t="n"/>
      <c r="L687" s="31" t="n"/>
      <c r="M687" s="32" t="n">
        <v>1.906191369606004</v>
      </c>
      <c r="N687" s="31" t="n"/>
      <c r="O687" s="33" t="n"/>
    </row>
    <row r="688" ht="15" customHeight="1">
      <c r="A688" s="232" t="n"/>
      <c r="B688" s="232" t="n"/>
      <c r="C688" s="235" t="n"/>
      <c r="D688" s="169" t="inlineStr">
        <is>
          <t>Bottom</t>
        </is>
      </c>
      <c r="E688" s="180" t="n">
        <v>70</v>
      </c>
      <c r="F688" s="180" t="inlineStr">
        <is>
          <t>Single</t>
        </is>
      </c>
      <c r="G688" s="180" t="n"/>
      <c r="H688" s="180" t="inlineStr">
        <is>
          <t>129 X 407</t>
        </is>
      </c>
      <c r="I688" s="180" t="inlineStr">
        <is>
          <t>16.5 X 22.5</t>
        </is>
      </c>
      <c r="J688" s="180" t="n">
        <v>4</v>
      </c>
      <c r="K688" s="171" t="n"/>
      <c r="L688" s="14" t="n"/>
      <c r="M688" s="15" t="n">
        <v>1.269736842105263</v>
      </c>
      <c r="N688" s="14" t="n"/>
      <c r="O688" s="16" t="n"/>
    </row>
    <row r="689" ht="15.75" customHeight="1">
      <c r="A689" s="234" t="n"/>
      <c r="B689" s="234" t="n"/>
      <c r="C689" s="231" t="inlineStr">
        <is>
          <t>SCFG Red/Gray</t>
        </is>
      </c>
      <c r="D689" s="166" t="inlineStr">
        <is>
          <t>-</t>
        </is>
      </c>
      <c r="E689" s="166" t="n">
        <v>15</v>
      </c>
      <c r="F689" s="166" t="inlineStr">
        <is>
          <t>Single</t>
        </is>
      </c>
      <c r="G689" s="166" t="n"/>
      <c r="H689" s="166" t="inlineStr">
        <is>
          <t>156 X 438</t>
        </is>
      </c>
      <c r="I689" s="166" t="inlineStr">
        <is>
          <t>18 X 21</t>
        </is>
      </c>
      <c r="J689" s="166" t="n">
        <v>3</v>
      </c>
      <c r="K689" s="176" t="n"/>
      <c r="L689" s="25" t="n"/>
      <c r="M689" s="26" t="n">
        <v>0.3381642512077295</v>
      </c>
      <c r="N689" s="25" t="n"/>
      <c r="O689" s="27" t="n"/>
    </row>
    <row r="690" ht="15" customHeight="1">
      <c r="A690" s="197" t="n">
        <v>10</v>
      </c>
      <c r="B690" s="198" t="inlineStr">
        <is>
          <t>Bull DC 50</t>
        </is>
      </c>
      <c r="C690" s="179" t="inlineStr">
        <is>
          <t>CRPL</t>
        </is>
      </c>
      <c r="D690" s="180" t="inlineStr">
        <is>
          <t>Top</t>
        </is>
      </c>
      <c r="E690" s="180" t="n">
        <v>100</v>
      </c>
      <c r="F690" s="180" t="inlineStr">
        <is>
          <t>Single</t>
        </is>
      </c>
      <c r="G690" s="180" t="n"/>
      <c r="H690" s="180" t="inlineStr">
        <is>
          <t>189 X 557</t>
        </is>
      </c>
      <c r="I690" s="180" t="inlineStr">
        <is>
          <t>16 X 23</t>
        </is>
      </c>
      <c r="J690" s="180" t="n">
        <v>2</v>
      </c>
      <c r="K690" s="181" t="n"/>
      <c r="L690" s="31" t="n"/>
      <c r="M690" s="32" t="n">
        <v>1.906191369606004</v>
      </c>
      <c r="N690" s="31" t="n"/>
      <c r="O690" s="33" t="n"/>
    </row>
    <row r="691" ht="15" customHeight="1">
      <c r="A691" s="232" t="n"/>
      <c r="B691" s="232" t="n"/>
      <c r="C691" s="235" t="n"/>
      <c r="D691" s="169" t="inlineStr">
        <is>
          <t>Bottom</t>
        </is>
      </c>
      <c r="E691" s="180" t="n">
        <v>70</v>
      </c>
      <c r="F691" s="180" t="inlineStr">
        <is>
          <t>Single</t>
        </is>
      </c>
      <c r="G691" s="180" t="n"/>
      <c r="H691" s="180" t="inlineStr">
        <is>
          <t>189 X 557</t>
        </is>
      </c>
      <c r="I691" s="180" t="inlineStr">
        <is>
          <t>16 X 23</t>
        </is>
      </c>
      <c r="J691" s="180" t="n">
        <v>2</v>
      </c>
      <c r="K691" s="171" t="n"/>
      <c r="L691" s="14" t="n"/>
      <c r="M691" s="15" t="n">
        <v>1.269736842105263</v>
      </c>
      <c r="N691" s="14" t="n"/>
      <c r="O691" s="16" t="n"/>
    </row>
    <row r="692" ht="15.75" customHeight="1">
      <c r="A692" s="234" t="n"/>
      <c r="B692" s="234" t="n"/>
      <c r="C692" s="231" t="inlineStr">
        <is>
          <t>SCFG Red/Gray</t>
        </is>
      </c>
      <c r="D692" s="166" t="inlineStr">
        <is>
          <t>-</t>
        </is>
      </c>
      <c r="E692" s="166" t="n">
        <v>15</v>
      </c>
      <c r="F692" s="166" t="inlineStr">
        <is>
          <t>Single</t>
        </is>
      </c>
      <c r="G692" s="166" t="n"/>
      <c r="H692" s="166" t="inlineStr">
        <is>
          <t>216 X 584</t>
        </is>
      </c>
      <c r="I692" s="166" t="inlineStr">
        <is>
          <t>19 X 24</t>
        </is>
      </c>
      <c r="J692" s="166" t="n">
        <v>2</v>
      </c>
      <c r="K692" s="176" t="n"/>
      <c r="L692" s="25" t="n"/>
      <c r="M692" s="26" t="n">
        <v>0.3381642512077295</v>
      </c>
      <c r="N692" s="25" t="n"/>
      <c r="O692" s="27" t="n"/>
    </row>
    <row r="693" ht="15" customHeight="1">
      <c r="A693" s="197" t="n">
        <v>11</v>
      </c>
      <c r="B693" s="198" t="inlineStr">
        <is>
          <t>Bull DC 52</t>
        </is>
      </c>
      <c r="C693" s="179" t="inlineStr">
        <is>
          <t>CRPL</t>
        </is>
      </c>
      <c r="D693" s="180" t="inlineStr">
        <is>
          <t>Top</t>
        </is>
      </c>
      <c r="E693" s="180" t="n">
        <v>100</v>
      </c>
      <c r="F693" s="180" t="inlineStr">
        <is>
          <t>Single</t>
        </is>
      </c>
      <c r="G693" s="180" t="n"/>
      <c r="H693" s="180" t="inlineStr">
        <is>
          <t>242 X 575</t>
        </is>
      </c>
      <c r="I693" s="180" t="inlineStr">
        <is>
          <t>20 X 23</t>
        </is>
      </c>
      <c r="J693" s="180" t="n">
        <v>2</v>
      </c>
      <c r="K693" s="181" t="n"/>
      <c r="L693" s="31" t="n"/>
      <c r="M693" s="32" t="n">
        <v>1.906191369606004</v>
      </c>
      <c r="N693" s="31" t="n"/>
      <c r="O693" s="33" t="n"/>
    </row>
    <row r="694" ht="15" customHeight="1">
      <c r="A694" s="232" t="n"/>
      <c r="B694" s="232" t="n"/>
      <c r="C694" s="235" t="n"/>
      <c r="D694" s="169" t="inlineStr">
        <is>
          <t>Bottom</t>
        </is>
      </c>
      <c r="E694" s="180" t="n">
        <v>70</v>
      </c>
      <c r="F694" s="180" t="inlineStr">
        <is>
          <t>Single</t>
        </is>
      </c>
      <c r="G694" s="180" t="n"/>
      <c r="H694" s="180" t="inlineStr">
        <is>
          <t>242 X 575</t>
        </is>
      </c>
      <c r="I694" s="180" t="inlineStr">
        <is>
          <t>20 X 23</t>
        </is>
      </c>
      <c r="J694" s="180" t="n">
        <v>2</v>
      </c>
      <c r="K694" s="171" t="n"/>
      <c r="L694" s="14" t="n"/>
      <c r="M694" s="15" t="n">
        <v>1.269736842105263</v>
      </c>
      <c r="N694" s="14" t="n"/>
      <c r="O694" s="16" t="n"/>
    </row>
    <row r="695" ht="15.75" customHeight="1">
      <c r="A695" s="234" t="n"/>
      <c r="B695" s="234" t="n"/>
      <c r="C695" s="231" t="inlineStr">
        <is>
          <t>SCFG Red/Gray</t>
        </is>
      </c>
      <c r="D695" s="166" t="inlineStr">
        <is>
          <t>-</t>
        </is>
      </c>
      <c r="E695" s="166" t="n">
        <v>15</v>
      </c>
      <c r="F695" s="166" t="inlineStr">
        <is>
          <t>Single</t>
        </is>
      </c>
      <c r="G695" s="166" t="n"/>
      <c r="H695" s="166" t="inlineStr">
        <is>
          <t>267 X 597</t>
        </is>
      </c>
      <c r="I695" s="166" t="inlineStr">
        <is>
          <t>23 X 24</t>
        </is>
      </c>
      <c r="J695" s="166" t="n">
        <v>2</v>
      </c>
      <c r="K695" s="176" t="n"/>
      <c r="L695" s="25" t="n"/>
      <c r="M695" s="26" t="n">
        <v>0.3381642512077295</v>
      </c>
      <c r="N695" s="25" t="n"/>
      <c r="O695" s="27" t="n"/>
    </row>
    <row r="696" ht="15" customHeight="1">
      <c r="A696" s="211" t="n">
        <v>1</v>
      </c>
      <c r="B696" s="212" t="inlineStr">
        <is>
          <t>Bull DC 80 Tractor</t>
        </is>
      </c>
      <c r="C696" s="179" t="inlineStr">
        <is>
          <t>CRPL</t>
        </is>
      </c>
      <c r="D696" s="180" t="inlineStr">
        <is>
          <t>Top</t>
        </is>
      </c>
      <c r="E696" s="180" t="n">
        <v>100</v>
      </c>
      <c r="F696" s="180" t="inlineStr">
        <is>
          <t>Single</t>
        </is>
      </c>
      <c r="G696" s="180" t="n"/>
      <c r="H696" s="180" t="inlineStr">
        <is>
          <t>117 X 172</t>
        </is>
      </c>
      <c r="I696" s="180" t="inlineStr">
        <is>
          <t>16 X 22</t>
        </is>
      </c>
      <c r="J696" s="180" t="n">
        <v>9</v>
      </c>
      <c r="K696" s="227" t="n"/>
      <c r="L696" s="31" t="n"/>
      <c r="M696" s="32" t="n">
        <v>1.906191369606004</v>
      </c>
      <c r="N696" s="31" t="n"/>
      <c r="O696" s="33" t="n"/>
    </row>
    <row r="697" ht="15" customHeight="1">
      <c r="A697" s="232" t="n"/>
      <c r="B697" s="232" t="n"/>
      <c r="C697" s="235" t="n"/>
      <c r="D697" s="169" t="inlineStr">
        <is>
          <t>Bottom</t>
        </is>
      </c>
      <c r="E697" s="180" t="n">
        <v>70</v>
      </c>
      <c r="F697" s="180" t="inlineStr">
        <is>
          <t>Single</t>
        </is>
      </c>
      <c r="G697" s="180" t="n"/>
      <c r="H697" s="180" t="inlineStr">
        <is>
          <t>117 X 172</t>
        </is>
      </c>
      <c r="I697" s="180" t="inlineStr">
        <is>
          <t>16 X 22</t>
        </is>
      </c>
      <c r="J697" s="180" t="n">
        <v>9</v>
      </c>
      <c r="K697" s="228" t="n"/>
      <c r="L697" s="14" t="n"/>
      <c r="M697" s="15" t="n">
        <v>1.269736842105263</v>
      </c>
      <c r="N697" s="14" t="n"/>
      <c r="O697" s="16" t="n"/>
    </row>
    <row r="698" ht="15.75" customHeight="1">
      <c r="A698" s="234" t="n"/>
      <c r="B698" s="234" t="n"/>
      <c r="C698" s="231" t="inlineStr">
        <is>
          <t>SCFG Red/Gray</t>
        </is>
      </c>
      <c r="D698" s="166" t="inlineStr">
        <is>
          <t>-</t>
        </is>
      </c>
      <c r="E698" s="166" t="n">
        <v>15</v>
      </c>
      <c r="F698" s="166" t="inlineStr">
        <is>
          <t>Single</t>
        </is>
      </c>
      <c r="G698" s="166" t="n"/>
      <c r="H698" s="166" t="inlineStr">
        <is>
          <t>146 X 203</t>
        </is>
      </c>
      <c r="I698" s="166" t="inlineStr">
        <is>
          <t>26 X 26</t>
        </is>
      </c>
      <c r="J698" s="166" t="n">
        <v>12</v>
      </c>
      <c r="K698" s="230" t="n"/>
      <c r="L698" s="25" t="n"/>
      <c r="M698" s="26" t="n">
        <v>0.3381642512077295</v>
      </c>
      <c r="N698" s="25" t="n"/>
      <c r="O698" s="27" t="n"/>
    </row>
    <row r="699" ht="15" customHeight="1">
      <c r="A699" s="197" t="n">
        <v>2</v>
      </c>
      <c r="B699" s="198" t="inlineStr">
        <is>
          <t>Bull DC 82 Tractor</t>
        </is>
      </c>
      <c r="C699" s="184" t="inlineStr">
        <is>
          <t>CRPL</t>
        </is>
      </c>
      <c r="D699" s="180" t="inlineStr">
        <is>
          <t>Top</t>
        </is>
      </c>
      <c r="E699" s="180" t="n">
        <v>100</v>
      </c>
      <c r="F699" s="180" t="inlineStr">
        <is>
          <t>Single</t>
        </is>
      </c>
      <c r="G699" s="180" t="n"/>
      <c r="H699" s="180" t="inlineStr">
        <is>
          <t>159 X 220</t>
        </is>
      </c>
      <c r="I699" s="180" t="inlineStr">
        <is>
          <t>18.5 X 20.5</t>
        </is>
      </c>
      <c r="J699" s="180" t="n">
        <v>6</v>
      </c>
      <c r="K699" s="227" t="n"/>
      <c r="L699" s="31" t="n"/>
      <c r="M699" s="32" t="n">
        <v>1.906191369606004</v>
      </c>
      <c r="N699" s="31" t="n"/>
      <c r="O699" s="33" t="n"/>
    </row>
    <row r="700" ht="15" customHeight="1">
      <c r="A700" s="232" t="n"/>
      <c r="B700" s="232" t="n"/>
      <c r="C700" s="235" t="n"/>
      <c r="D700" s="169" t="inlineStr">
        <is>
          <t>Bottom</t>
        </is>
      </c>
      <c r="E700" s="180" t="n">
        <v>70</v>
      </c>
      <c r="F700" s="180" t="inlineStr">
        <is>
          <t>Single</t>
        </is>
      </c>
      <c r="G700" s="180" t="n"/>
      <c r="H700" s="180" t="inlineStr">
        <is>
          <t>159 X 220</t>
        </is>
      </c>
      <c r="I700" s="180" t="inlineStr">
        <is>
          <t>18.5 X 20.5</t>
        </is>
      </c>
      <c r="J700" s="180" t="n">
        <v>6</v>
      </c>
      <c r="K700" s="228" t="n"/>
      <c r="L700" s="14" t="n"/>
      <c r="M700" s="15" t="n">
        <v>1.269736842105263</v>
      </c>
      <c r="N700" s="14" t="n"/>
      <c r="O700" s="16" t="n"/>
    </row>
    <row r="701" ht="15.75" customHeight="1">
      <c r="A701" s="234" t="n"/>
      <c r="B701" s="234" t="n"/>
      <c r="C701" s="231" t="inlineStr">
        <is>
          <t>SCFG Red/Gray</t>
        </is>
      </c>
      <c r="D701" s="166" t="inlineStr">
        <is>
          <t>-</t>
        </is>
      </c>
      <c r="E701" s="166" t="n">
        <v>15</v>
      </c>
      <c r="F701" s="166" t="inlineStr">
        <is>
          <t>Single</t>
        </is>
      </c>
      <c r="G701" s="166" t="n"/>
      <c r="H701" s="166" t="inlineStr">
        <is>
          <t>187 X 251</t>
        </is>
      </c>
      <c r="I701" s="166" t="inlineStr">
        <is>
          <t>16.5 X 21.5</t>
        </is>
      </c>
      <c r="J701" s="166" t="n">
        <v>4</v>
      </c>
      <c r="K701" s="230" t="n"/>
      <c r="L701" s="25" t="n"/>
      <c r="M701" s="26" t="n">
        <v>0.3381642512077295</v>
      </c>
      <c r="N701" s="25" t="n"/>
      <c r="O701" s="27" t="n"/>
    </row>
    <row r="702" ht="15" customHeight="1">
      <c r="A702" s="197" t="n">
        <v>3</v>
      </c>
      <c r="B702" s="198" t="inlineStr">
        <is>
          <t>Bull DC 84 Tractor</t>
        </is>
      </c>
      <c r="C702" s="184" t="inlineStr">
        <is>
          <t>CRPL</t>
        </is>
      </c>
      <c r="D702" s="180" t="inlineStr">
        <is>
          <t>Top</t>
        </is>
      </c>
      <c r="E702" s="180" t="n">
        <v>100</v>
      </c>
      <c r="F702" s="180" t="inlineStr">
        <is>
          <t>Single</t>
        </is>
      </c>
      <c r="G702" s="180" t="n"/>
      <c r="H702" s="180" t="inlineStr">
        <is>
          <t>183 X 266</t>
        </is>
      </c>
      <c r="I702" s="180" t="inlineStr">
        <is>
          <t>16 X 22</t>
        </is>
      </c>
      <c r="J702" s="180" t="n">
        <v>4</v>
      </c>
      <c r="K702" s="227" t="n"/>
      <c r="L702" s="31" t="n"/>
      <c r="M702" s="32" t="n">
        <v>1.906191369606004</v>
      </c>
      <c r="N702" s="31" t="n"/>
      <c r="O702" s="33" t="n"/>
    </row>
    <row r="703" ht="15" customHeight="1">
      <c r="A703" s="232" t="n"/>
      <c r="B703" s="232" t="n"/>
      <c r="C703" s="235" t="n"/>
      <c r="D703" s="169" t="inlineStr">
        <is>
          <t>Bottom</t>
        </is>
      </c>
      <c r="E703" s="180" t="n">
        <v>70</v>
      </c>
      <c r="F703" s="180" t="inlineStr">
        <is>
          <t>Single</t>
        </is>
      </c>
      <c r="G703" s="180" t="n"/>
      <c r="H703" s="180" t="inlineStr">
        <is>
          <t>183 X 266</t>
        </is>
      </c>
      <c r="I703" s="180" t="inlineStr">
        <is>
          <t>16 X 22</t>
        </is>
      </c>
      <c r="J703" s="180" t="n">
        <v>4</v>
      </c>
      <c r="K703" s="228" t="n"/>
      <c r="L703" s="14" t="n"/>
      <c r="M703" s="15" t="n">
        <v>1.269736842105263</v>
      </c>
      <c r="N703" s="14" t="n"/>
      <c r="O703" s="16" t="n"/>
    </row>
    <row r="704" ht="15.75" customHeight="1">
      <c r="A704" s="234" t="n"/>
      <c r="B704" s="234" t="n"/>
      <c r="C704" s="231" t="inlineStr">
        <is>
          <t>SCFG Red/Gray</t>
        </is>
      </c>
      <c r="D704" s="166" t="inlineStr">
        <is>
          <t>-</t>
        </is>
      </c>
      <c r="E704" s="166" t="n">
        <v>15</v>
      </c>
      <c r="F704" s="166" t="inlineStr">
        <is>
          <t>Single</t>
        </is>
      </c>
      <c r="G704" s="166" t="n"/>
      <c r="H704" s="166" t="inlineStr">
        <is>
          <t>210 X 292</t>
        </is>
      </c>
      <c r="I704" s="166" t="inlineStr">
        <is>
          <t>18 X 25</t>
        </is>
      </c>
      <c r="J704" s="166" t="n">
        <v>4</v>
      </c>
      <c r="K704" s="230" t="n"/>
      <c r="L704" s="25" t="n"/>
      <c r="M704" s="26" t="n">
        <v>0.3381642512077295</v>
      </c>
      <c r="N704" s="25" t="n"/>
      <c r="O704" s="27" t="n"/>
    </row>
    <row r="705" ht="15" customHeight="1">
      <c r="A705" s="197" t="n">
        <v>4</v>
      </c>
      <c r="B705" s="198" t="inlineStr">
        <is>
          <t>Bull DC 86 Tractor</t>
        </is>
      </c>
      <c r="C705" s="184" t="inlineStr">
        <is>
          <t>CRPL</t>
        </is>
      </c>
      <c r="D705" s="180" t="inlineStr">
        <is>
          <t>Top</t>
        </is>
      </c>
      <c r="E705" s="180" t="n">
        <v>100</v>
      </c>
      <c r="F705" s="180" t="inlineStr">
        <is>
          <t>Single</t>
        </is>
      </c>
      <c r="G705" s="180" t="n"/>
      <c r="H705" s="180" t="inlineStr">
        <is>
          <t>221 X 317</t>
        </is>
      </c>
      <c r="I705" s="180" t="inlineStr">
        <is>
          <t>13 X 18.5</t>
        </is>
      </c>
      <c r="J705" s="180" t="n">
        <v>2</v>
      </c>
      <c r="K705" s="227" t="n"/>
      <c r="L705" s="31" t="n"/>
      <c r="M705" s="32" t="n">
        <v>1.906191369606004</v>
      </c>
      <c r="N705" s="31" t="n"/>
      <c r="O705" s="33" t="n"/>
    </row>
    <row r="706" ht="15" customHeight="1">
      <c r="A706" s="232" t="n"/>
      <c r="B706" s="232" t="n"/>
      <c r="C706" s="235" t="n"/>
      <c r="D706" s="169" t="inlineStr">
        <is>
          <t>Bottom</t>
        </is>
      </c>
      <c r="E706" s="180" t="n">
        <v>70</v>
      </c>
      <c r="F706" s="180" t="inlineStr">
        <is>
          <t>Single</t>
        </is>
      </c>
      <c r="G706" s="180" t="n"/>
      <c r="H706" s="180" t="inlineStr">
        <is>
          <t>221 X 317</t>
        </is>
      </c>
      <c r="I706" s="180" t="inlineStr">
        <is>
          <t>13 X 18.5</t>
        </is>
      </c>
      <c r="J706" s="180" t="n">
        <v>2</v>
      </c>
      <c r="K706" s="228" t="n"/>
      <c r="L706" s="14" t="n"/>
      <c r="M706" s="15" t="n">
        <v>1.269736842105263</v>
      </c>
      <c r="N706" s="14" t="n"/>
      <c r="O706" s="16" t="n"/>
    </row>
    <row r="707" ht="15.75" customHeight="1">
      <c r="A707" s="234" t="n"/>
      <c r="B707" s="234" t="n"/>
      <c r="C707" s="231" t="inlineStr">
        <is>
          <t>SCFG Red/Gray</t>
        </is>
      </c>
      <c r="D707" s="166" t="inlineStr">
        <is>
          <t>-</t>
        </is>
      </c>
      <c r="E707" s="166" t="n">
        <v>15</v>
      </c>
      <c r="F707" s="166" t="inlineStr">
        <is>
          <t>Single</t>
        </is>
      </c>
      <c r="G707" s="166" t="n"/>
      <c r="H707" s="166" t="inlineStr">
        <is>
          <t>248 X 349</t>
        </is>
      </c>
      <c r="I707" s="166" t="inlineStr">
        <is>
          <t>14.5 X 21</t>
        </is>
      </c>
      <c r="J707" s="166" t="n">
        <v>2</v>
      </c>
      <c r="K707" s="230" t="n"/>
      <c r="L707" s="25" t="n"/>
      <c r="M707" s="26" t="n">
        <v>0.3381642512077295</v>
      </c>
      <c r="N707" s="25" t="n"/>
      <c r="O707" s="27" t="n"/>
    </row>
    <row r="708" ht="15" customHeight="1">
      <c r="A708" s="197" t="n">
        <v>1</v>
      </c>
      <c r="B708" s="198" t="inlineStr">
        <is>
          <t>Bull CB 24 STS</t>
        </is>
      </c>
      <c r="C708" s="198" t="inlineStr">
        <is>
          <t>CRPL</t>
        </is>
      </c>
      <c r="D708" s="185" t="inlineStr">
        <is>
          <t>Top</t>
        </is>
      </c>
      <c r="E708" s="185" t="n">
        <v>100</v>
      </c>
      <c r="F708" s="185" t="inlineStr">
        <is>
          <t>Single</t>
        </is>
      </c>
      <c r="G708" s="185" t="n"/>
      <c r="H708" s="180" t="inlineStr">
        <is>
          <t>54 X 176</t>
        </is>
      </c>
      <c r="I708" s="180" t="inlineStr">
        <is>
          <t>21 X 22</t>
        </is>
      </c>
      <c r="J708" s="180" t="n">
        <v>24</v>
      </c>
      <c r="K708" s="207" t="n"/>
      <c r="L708" s="72" t="n"/>
      <c r="M708" s="73" t="n">
        <v>1.906191369606004</v>
      </c>
      <c r="N708" s="72" t="n"/>
      <c r="O708" s="74" t="n"/>
    </row>
    <row r="709" ht="15.75" customHeight="1">
      <c r="A709" s="234" t="n"/>
      <c r="B709" s="234" t="n"/>
      <c r="C709" s="234" t="n"/>
      <c r="D709" s="166" t="inlineStr">
        <is>
          <t>Bottom</t>
        </is>
      </c>
      <c r="E709" s="177" t="n">
        <v>70</v>
      </c>
      <c r="F709" s="177" t="inlineStr">
        <is>
          <t>Single</t>
        </is>
      </c>
      <c r="G709" s="177" t="n"/>
      <c r="H709" s="166" t="inlineStr">
        <is>
          <t>54 X 176</t>
        </is>
      </c>
      <c r="I709" s="166" t="inlineStr">
        <is>
          <t>21 X 22</t>
        </is>
      </c>
      <c r="J709" s="166" t="n">
        <v>24</v>
      </c>
      <c r="K709" s="176" t="n"/>
      <c r="L709" s="25" t="n"/>
      <c r="M709" s="26" t="n">
        <v>1.269736842105263</v>
      </c>
      <c r="N709" s="25" t="n"/>
      <c r="O709" s="27" t="n"/>
    </row>
    <row r="710" ht="15" customHeight="1">
      <c r="A710" s="197" t="n">
        <v>2</v>
      </c>
      <c r="B710" s="198" t="inlineStr">
        <is>
          <t>Bull CB 40 STS</t>
        </is>
      </c>
      <c r="C710" s="198" t="inlineStr">
        <is>
          <t>CRPL</t>
        </is>
      </c>
      <c r="D710" s="185" t="inlineStr">
        <is>
          <t>Top</t>
        </is>
      </c>
      <c r="E710" s="185" t="n">
        <v>100</v>
      </c>
      <c r="F710" s="185" t="inlineStr">
        <is>
          <t>Single</t>
        </is>
      </c>
      <c r="G710" s="185" t="n"/>
      <c r="H710" s="180" t="inlineStr">
        <is>
          <t>84 X 179</t>
        </is>
      </c>
      <c r="I710" s="180" t="inlineStr">
        <is>
          <t>23 X 23</t>
        </is>
      </c>
      <c r="J710" s="180" t="n">
        <v>18</v>
      </c>
      <c r="K710" s="207" t="n"/>
      <c r="L710" s="72" t="n"/>
      <c r="M710" s="73" t="n">
        <v>1.906191369606004</v>
      </c>
      <c r="N710" s="72" t="n"/>
      <c r="O710" s="74" t="n"/>
    </row>
    <row r="711" ht="15.75" customHeight="1">
      <c r="A711" s="234" t="n"/>
      <c r="B711" s="234" t="n"/>
      <c r="C711" s="234" t="n"/>
      <c r="D711" s="166" t="inlineStr">
        <is>
          <t>Bottom</t>
        </is>
      </c>
      <c r="E711" s="177" t="n">
        <v>70</v>
      </c>
      <c r="F711" s="177" t="inlineStr">
        <is>
          <t>Single</t>
        </is>
      </c>
      <c r="G711" s="177" t="n"/>
      <c r="H711" s="180" t="inlineStr">
        <is>
          <t>84 X 179</t>
        </is>
      </c>
      <c r="I711" s="180" t="inlineStr">
        <is>
          <t>23 X 23</t>
        </is>
      </c>
      <c r="J711" s="180" t="n">
        <v>18</v>
      </c>
      <c r="K711" s="176" t="n"/>
      <c r="L711" s="25" t="n"/>
      <c r="M711" s="26" t="n">
        <v>1.269736842105263</v>
      </c>
      <c r="N711" s="25" t="n"/>
      <c r="O711" s="27" t="n"/>
    </row>
    <row r="712" ht="15" customHeight="1">
      <c r="A712" s="197" t="n">
        <v>3</v>
      </c>
      <c r="B712" s="198" t="inlineStr">
        <is>
          <t>Bull CB 45 STS</t>
        </is>
      </c>
      <c r="C712" s="198" t="inlineStr">
        <is>
          <t>CRPL</t>
        </is>
      </c>
      <c r="D712" s="185" t="inlineStr">
        <is>
          <t>Top</t>
        </is>
      </c>
      <c r="E712" s="185" t="n">
        <v>100</v>
      </c>
      <c r="F712" s="185" t="inlineStr">
        <is>
          <t>Single</t>
        </is>
      </c>
      <c r="G712" s="185" t="n"/>
      <c r="H712" s="185" t="inlineStr">
        <is>
          <t>163 X 198</t>
        </is>
      </c>
      <c r="I712" s="185" t="inlineStr">
        <is>
          <t>14 X 17</t>
        </is>
      </c>
      <c r="J712" s="185" t="n">
        <v>4</v>
      </c>
      <c r="K712" s="207" t="n"/>
      <c r="L712" s="72" t="n"/>
      <c r="M712" s="73" t="n">
        <v>1.906191369606004</v>
      </c>
      <c r="N712" s="72" t="n"/>
      <c r="O712" s="74" t="n"/>
    </row>
    <row r="713" ht="15.75" customHeight="1">
      <c r="A713" s="234" t="n"/>
      <c r="B713" s="234" t="n"/>
      <c r="C713" s="234" t="n"/>
      <c r="D713" s="166" t="inlineStr">
        <is>
          <t>Bottom</t>
        </is>
      </c>
      <c r="E713" s="177" t="n">
        <v>70</v>
      </c>
      <c r="F713" s="177" t="inlineStr">
        <is>
          <t>Single</t>
        </is>
      </c>
      <c r="G713" s="177" t="n"/>
      <c r="H713" s="177" t="inlineStr">
        <is>
          <t>163 X 198</t>
        </is>
      </c>
      <c r="I713" s="177" t="inlineStr">
        <is>
          <t>14 X 17</t>
        </is>
      </c>
      <c r="J713" s="177" t="n">
        <v>4</v>
      </c>
      <c r="K713" s="176" t="n"/>
      <c r="L713" s="25" t="n"/>
      <c r="M713" s="26" t="n">
        <v>1.269736842105263</v>
      </c>
      <c r="N713" s="25" t="n"/>
      <c r="O713" s="27" t="n"/>
    </row>
    <row r="714" ht="15" customHeight="1">
      <c r="A714" s="197" t="n">
        <v>4</v>
      </c>
      <c r="B714" s="198" t="inlineStr">
        <is>
          <t>Bull CB 55 STS</t>
        </is>
      </c>
      <c r="C714" s="198" t="inlineStr">
        <is>
          <t>CRPL</t>
        </is>
      </c>
      <c r="D714" s="185" t="inlineStr">
        <is>
          <t>Top</t>
        </is>
      </c>
      <c r="E714" s="185" t="n">
        <v>100</v>
      </c>
      <c r="F714" s="185" t="inlineStr">
        <is>
          <t>Single</t>
        </is>
      </c>
      <c r="G714" s="185" t="n"/>
      <c r="H714" s="185" t="inlineStr">
        <is>
          <t>230 X 312</t>
        </is>
      </c>
      <c r="I714" s="185" t="inlineStr">
        <is>
          <t>13 X 19</t>
        </is>
      </c>
      <c r="J714" s="185" t="n">
        <v>2</v>
      </c>
      <c r="K714" s="207" t="n"/>
      <c r="L714" s="72" t="n"/>
      <c r="M714" s="73" t="n">
        <v>1.906191369606004</v>
      </c>
      <c r="N714" s="72" t="n"/>
      <c r="O714" s="74" t="n"/>
    </row>
    <row r="715" ht="15.75" customHeight="1">
      <c r="A715" s="234" t="n"/>
      <c r="B715" s="234" t="n"/>
      <c r="C715" s="234" t="n"/>
      <c r="D715" s="166" t="inlineStr">
        <is>
          <t>Bottom</t>
        </is>
      </c>
      <c r="E715" s="177" t="n">
        <v>70</v>
      </c>
      <c r="F715" s="177" t="inlineStr">
        <is>
          <t>Single</t>
        </is>
      </c>
      <c r="G715" s="177" t="n"/>
      <c r="H715" s="177" t="inlineStr">
        <is>
          <t>230 X 312</t>
        </is>
      </c>
      <c r="I715" s="177" t="inlineStr">
        <is>
          <t>13 X 19</t>
        </is>
      </c>
      <c r="J715" s="177" t="n">
        <v>2</v>
      </c>
      <c r="K715" s="176" t="n"/>
      <c r="L715" s="25" t="n"/>
      <c r="M715" s="26" t="n">
        <v>1.269736842105263</v>
      </c>
      <c r="N715" s="25" t="n"/>
      <c r="O715" s="27" t="n"/>
    </row>
    <row r="716" ht="15" customHeight="1">
      <c r="A716" s="197" t="n">
        <v>5</v>
      </c>
      <c r="B716" s="198" t="inlineStr">
        <is>
          <t>Bull CB 46</t>
        </is>
      </c>
      <c r="C716" s="198" t="inlineStr">
        <is>
          <t>CRPL</t>
        </is>
      </c>
      <c r="D716" s="185" t="inlineStr">
        <is>
          <t>Top</t>
        </is>
      </c>
      <c r="E716" s="185" t="n">
        <v>100</v>
      </c>
      <c r="F716" s="185" t="inlineStr">
        <is>
          <t>Single</t>
        </is>
      </c>
      <c r="G716" s="185" t="n"/>
      <c r="H716" s="185" t="inlineStr">
        <is>
          <t>129 X 407</t>
        </is>
      </c>
      <c r="I716" s="185" t="inlineStr">
        <is>
          <t>16.5 X 22.5</t>
        </is>
      </c>
      <c r="J716" s="185" t="n">
        <v>4</v>
      </c>
      <c r="K716" s="207" t="n"/>
      <c r="L716" s="72" t="n"/>
      <c r="M716" s="73" t="n">
        <v>1.906191369606004</v>
      </c>
      <c r="N716" s="72" t="n"/>
      <c r="O716" s="74" t="n"/>
    </row>
    <row r="717" ht="15.75" customHeight="1">
      <c r="A717" s="234" t="n"/>
      <c r="B717" s="234" t="n"/>
      <c r="C717" s="234" t="n"/>
      <c r="D717" s="166" t="inlineStr">
        <is>
          <t>Bottom</t>
        </is>
      </c>
      <c r="E717" s="177" t="n">
        <v>70</v>
      </c>
      <c r="F717" s="177" t="inlineStr">
        <is>
          <t>Single</t>
        </is>
      </c>
      <c r="G717" s="177" t="n"/>
      <c r="H717" s="177" t="inlineStr">
        <is>
          <t>129 X 407</t>
        </is>
      </c>
      <c r="I717" s="177" t="inlineStr">
        <is>
          <t>16.5 X 22.5</t>
        </is>
      </c>
      <c r="J717" s="177" t="n">
        <v>4</v>
      </c>
      <c r="K717" s="176" t="n"/>
      <c r="L717" s="25" t="n"/>
      <c r="M717" s="26" t="n">
        <v>1.269736842105263</v>
      </c>
      <c r="N717" s="25" t="n"/>
      <c r="O717" s="27" t="n"/>
    </row>
    <row r="718" ht="15" customHeight="1">
      <c r="A718" s="197" t="n">
        <v>6</v>
      </c>
      <c r="B718" s="198" t="inlineStr">
        <is>
          <t>Bull CB 50</t>
        </is>
      </c>
      <c r="C718" s="198" t="inlineStr">
        <is>
          <t>CRPL</t>
        </is>
      </c>
      <c r="D718" s="185" t="inlineStr">
        <is>
          <t>Top</t>
        </is>
      </c>
      <c r="E718" s="185" t="n">
        <v>100</v>
      </c>
      <c r="F718" s="185" t="inlineStr">
        <is>
          <t>Single</t>
        </is>
      </c>
      <c r="G718" s="185" t="n"/>
      <c r="H718" s="185" t="inlineStr">
        <is>
          <t>189 X 557</t>
        </is>
      </c>
      <c r="I718" s="185" t="inlineStr">
        <is>
          <t>16 X 23</t>
        </is>
      </c>
      <c r="J718" s="185" t="n">
        <v>2</v>
      </c>
      <c r="K718" s="207" t="n"/>
      <c r="L718" s="72" t="n"/>
      <c r="M718" s="73" t="n">
        <v>1.906191369606004</v>
      </c>
      <c r="N718" s="72" t="n"/>
      <c r="O718" s="74" t="n"/>
    </row>
    <row r="719" ht="15.75" customHeight="1">
      <c r="A719" s="234" t="n"/>
      <c r="B719" s="234" t="n"/>
      <c r="C719" s="234" t="n"/>
      <c r="D719" s="166" t="inlineStr">
        <is>
          <t>Bottom</t>
        </is>
      </c>
      <c r="E719" s="177" t="n">
        <v>70</v>
      </c>
      <c r="F719" s="177" t="inlineStr">
        <is>
          <t>Single</t>
        </is>
      </c>
      <c r="G719" s="177" t="n"/>
      <c r="H719" s="177" t="inlineStr">
        <is>
          <t>189 X 557</t>
        </is>
      </c>
      <c r="I719" s="177" t="inlineStr">
        <is>
          <t>16 X 23</t>
        </is>
      </c>
      <c r="J719" s="177" t="n">
        <v>2</v>
      </c>
      <c r="K719" s="176" t="n"/>
      <c r="L719" s="25" t="n"/>
      <c r="M719" s="26" t="n">
        <v>1.269736842105263</v>
      </c>
      <c r="N719" s="25" t="n"/>
      <c r="O719" s="27" t="n"/>
    </row>
  </sheetData>
  <mergeCells count="654">
    <mergeCell ref="A660:A662"/>
    <mergeCell ref="C477:C478"/>
    <mergeCell ref="A144:A146"/>
    <mergeCell ref="A573:A575"/>
    <mergeCell ref="A81:A83"/>
    <mergeCell ref="B699:B701"/>
    <mergeCell ref="B555:B557"/>
    <mergeCell ref="B36:B38"/>
    <mergeCell ref="B334:B336"/>
    <mergeCell ref="B394:B396"/>
    <mergeCell ref="B636:B638"/>
    <mergeCell ref="B570:B572"/>
    <mergeCell ref="C114:C115"/>
    <mergeCell ref="A696:A698"/>
    <mergeCell ref="A525:A527"/>
    <mergeCell ref="B271:B273"/>
    <mergeCell ref="B265:B267"/>
    <mergeCell ref="B507:B509"/>
    <mergeCell ref="B165:B167"/>
    <mergeCell ref="B621:B623"/>
    <mergeCell ref="A716:A717"/>
    <mergeCell ref="B202:B204"/>
    <mergeCell ref="C424:C425"/>
    <mergeCell ref="A84:A86"/>
    <mergeCell ref="A355:A357"/>
    <mergeCell ref="C27:C28"/>
    <mergeCell ref="B552:B554"/>
    <mergeCell ref="C513:C514"/>
    <mergeCell ref="A678:A680"/>
    <mergeCell ref="C190:C191"/>
    <mergeCell ref="A457:A459"/>
    <mergeCell ref="A286:A288"/>
    <mergeCell ref="B412:B414"/>
    <mergeCell ref="B120:B122"/>
    <mergeCell ref="B349:B351"/>
    <mergeCell ref="B178:B180"/>
    <mergeCell ref="C427:C428"/>
    <mergeCell ref="A409:A411"/>
    <mergeCell ref="C256:C257"/>
    <mergeCell ref="B451:B453"/>
    <mergeCell ref="A12:A14"/>
    <mergeCell ref="B687:B689"/>
    <mergeCell ref="A175:A177"/>
    <mergeCell ref="C45:C46"/>
    <mergeCell ref="B624:B626"/>
    <mergeCell ref="C343:C344"/>
    <mergeCell ref="C501:C502"/>
    <mergeCell ref="A373:A375"/>
    <mergeCell ref="C693:C694"/>
    <mergeCell ref="A114:A116"/>
    <mergeCell ref="A412:A414"/>
    <mergeCell ref="C630:C631"/>
    <mergeCell ref="B576:B578"/>
    <mergeCell ref="A241:A243"/>
    <mergeCell ref="A648:A650"/>
    <mergeCell ref="C409:C410"/>
    <mergeCell ref="C567:C568"/>
    <mergeCell ref="A501:A503"/>
    <mergeCell ref="A172:A174"/>
    <mergeCell ref="B75:B77"/>
    <mergeCell ref="C51:C52"/>
    <mergeCell ref="C582:C583"/>
    <mergeCell ref="B466:B467"/>
    <mergeCell ref="B102:B104"/>
    <mergeCell ref="B708:B709"/>
    <mergeCell ref="B400:B402"/>
    <mergeCell ref="B642:B644"/>
    <mergeCell ref="B39:B41"/>
    <mergeCell ref="C636:C637"/>
    <mergeCell ref="B337:B339"/>
    <mergeCell ref="A105:A107"/>
    <mergeCell ref="B573:B575"/>
    <mergeCell ref="A292:A294"/>
    <mergeCell ref="A699:A701"/>
    <mergeCell ref="A528:A530"/>
    <mergeCell ref="A307:A309"/>
    <mergeCell ref="C229:C230"/>
    <mergeCell ref="A636:A638"/>
    <mergeCell ref="C489:C490"/>
    <mergeCell ref="A165:A167"/>
    <mergeCell ref="C280:C281"/>
    <mergeCell ref="B226:B228"/>
    <mergeCell ref="C516:C517"/>
    <mergeCell ref="A621:A623"/>
    <mergeCell ref="C84:C85"/>
    <mergeCell ref="C193:C194"/>
    <mergeCell ref="A102:A104"/>
    <mergeCell ref="A400:A402"/>
    <mergeCell ref="A229:A231"/>
    <mergeCell ref="A289:A291"/>
    <mergeCell ref="B355:B357"/>
    <mergeCell ref="B415:B417"/>
    <mergeCell ref="B63:B65"/>
    <mergeCell ref="C36:C37"/>
    <mergeCell ref="B492:B494"/>
    <mergeCell ref="B292:B294"/>
    <mergeCell ref="B286:B288"/>
    <mergeCell ref="A618:A620"/>
    <mergeCell ref="B528:B530"/>
    <mergeCell ref="B690:B692"/>
    <mergeCell ref="B223:B225"/>
    <mergeCell ref="C651:C652"/>
    <mergeCell ref="A178:A180"/>
    <mergeCell ref="C48:C49"/>
    <mergeCell ref="A466:A467"/>
    <mergeCell ref="C346:C347"/>
    <mergeCell ref="A687:A689"/>
    <mergeCell ref="B352:B354"/>
    <mergeCell ref="A120:A122"/>
    <mergeCell ref="C217:C218"/>
    <mergeCell ref="C633:C634"/>
    <mergeCell ref="B579:B581"/>
    <mergeCell ref="C681:C682"/>
    <mergeCell ref="C648:C649"/>
    <mergeCell ref="C448:C449"/>
    <mergeCell ref="C504:C505"/>
    <mergeCell ref="B205:B207"/>
    <mergeCell ref="A33:A35"/>
    <mergeCell ref="C349:C350"/>
    <mergeCell ref="B241:B243"/>
    <mergeCell ref="B403:B405"/>
    <mergeCell ref="B645:B647"/>
    <mergeCell ref="B474:B476"/>
    <mergeCell ref="B501:B503"/>
    <mergeCell ref="C522:C523"/>
    <mergeCell ref="B280:B282"/>
    <mergeCell ref="B169:B171"/>
    <mergeCell ref="B516:B518"/>
    <mergeCell ref="C301:C302"/>
    <mergeCell ref="A615:A617"/>
    <mergeCell ref="C537:C538"/>
    <mergeCell ref="A642:A644"/>
    <mergeCell ref="A464:A465"/>
    <mergeCell ref="A39:A41"/>
    <mergeCell ref="A310:A312"/>
    <mergeCell ref="C232:C233"/>
    <mergeCell ref="A337:A339"/>
    <mergeCell ref="C430:C431"/>
    <mergeCell ref="C588:C589"/>
    <mergeCell ref="C72:C73"/>
    <mergeCell ref="C96:C97"/>
    <mergeCell ref="C603:C604"/>
    <mergeCell ref="A624:A626"/>
    <mergeCell ref="B421:B423"/>
    <mergeCell ref="B60:B62"/>
    <mergeCell ref="B594:B596"/>
    <mergeCell ref="A313:A315"/>
    <mergeCell ref="C436:C437"/>
    <mergeCell ref="A21:A23"/>
    <mergeCell ref="B495:B497"/>
    <mergeCell ref="B289:B291"/>
    <mergeCell ref="A57:A59"/>
    <mergeCell ref="C250:C251"/>
    <mergeCell ref="A657:A659"/>
    <mergeCell ref="C654:C655"/>
    <mergeCell ref="B84:B86"/>
    <mergeCell ref="C510:C511"/>
    <mergeCell ref="C591:C592"/>
    <mergeCell ref="C525:C526"/>
    <mergeCell ref="C214:C215"/>
    <mergeCell ref="A123:A125"/>
    <mergeCell ref="A421:A423"/>
    <mergeCell ref="C226:C227"/>
    <mergeCell ref="C93:C94"/>
    <mergeCell ref="A552:A554"/>
    <mergeCell ref="A24:A26"/>
    <mergeCell ref="B150:B152"/>
    <mergeCell ref="C576:C577"/>
    <mergeCell ref="A352:A354"/>
    <mergeCell ref="C57:C58"/>
    <mergeCell ref="B684:B686"/>
    <mergeCell ref="B513:B515"/>
    <mergeCell ref="B307:B309"/>
    <mergeCell ref="B190:B192"/>
    <mergeCell ref="A639:A641"/>
    <mergeCell ref="B21:B23"/>
    <mergeCell ref="C385:C386"/>
    <mergeCell ref="B208:B210"/>
    <mergeCell ref="B244:B246"/>
    <mergeCell ref="A370:A372"/>
    <mergeCell ref="C69:C70"/>
    <mergeCell ref="A205:A207"/>
    <mergeCell ref="A385:A387"/>
    <mergeCell ref="B606:B608"/>
    <mergeCell ref="B283:B285"/>
    <mergeCell ref="C6:C7"/>
    <mergeCell ref="C111:C112"/>
    <mergeCell ref="B519:B521"/>
    <mergeCell ref="C304:C305"/>
    <mergeCell ref="A238:A240"/>
    <mergeCell ref="C480:C481"/>
    <mergeCell ref="A42:A44"/>
    <mergeCell ref="C540:C541"/>
    <mergeCell ref="A645:A647"/>
    <mergeCell ref="A474:A476"/>
    <mergeCell ref="C702:C703"/>
    <mergeCell ref="C531:C532"/>
    <mergeCell ref="C696:C697"/>
    <mergeCell ref="B397:B399"/>
    <mergeCell ref="B310:B312"/>
    <mergeCell ref="A540:A542"/>
    <mergeCell ref="B126:B128"/>
    <mergeCell ref="B424:B426"/>
    <mergeCell ref="B666:B668"/>
    <mergeCell ref="B138:B140"/>
    <mergeCell ref="B3:B5"/>
    <mergeCell ref="A202:A204"/>
    <mergeCell ref="B301:B303"/>
    <mergeCell ref="A627:A629"/>
    <mergeCell ref="B537:B539"/>
    <mergeCell ref="A663:A665"/>
    <mergeCell ref="B232:B234"/>
    <mergeCell ref="A564:A566"/>
    <mergeCell ref="A442:A444"/>
    <mergeCell ref="A60:A62"/>
    <mergeCell ref="C253:C254"/>
    <mergeCell ref="C597:C598"/>
    <mergeCell ref="A268:A270"/>
    <mergeCell ref="B427:B429"/>
    <mergeCell ref="C534:C535"/>
    <mergeCell ref="C528:C529"/>
    <mergeCell ref="A126:A128"/>
    <mergeCell ref="C319:C320"/>
    <mergeCell ref="A424:A426"/>
    <mergeCell ref="B379:B381"/>
    <mergeCell ref="B718:B719"/>
    <mergeCell ref="C579:C580"/>
    <mergeCell ref="C457:C458"/>
    <mergeCell ref="B87:B89"/>
    <mergeCell ref="B627:B629"/>
    <mergeCell ref="B316:B318"/>
    <mergeCell ref="B543:B545"/>
    <mergeCell ref="C594:C595"/>
    <mergeCell ref="B24:B26"/>
    <mergeCell ref="A63:A65"/>
    <mergeCell ref="A150:A152"/>
    <mergeCell ref="B558:B560"/>
    <mergeCell ref="A684:A686"/>
    <mergeCell ref="A513:A515"/>
    <mergeCell ref="A99:O101"/>
    <mergeCell ref="B51:B53"/>
    <mergeCell ref="C12:C13"/>
    <mergeCell ref="B153:B155"/>
    <mergeCell ref="B591:B593"/>
    <mergeCell ref="C612:C613"/>
    <mergeCell ref="C418:C419"/>
    <mergeCell ref="C247:C248"/>
    <mergeCell ref="C412:C413"/>
    <mergeCell ref="C241:C242"/>
    <mergeCell ref="C483:C484"/>
    <mergeCell ref="A45:A47"/>
    <mergeCell ref="A343:A345"/>
    <mergeCell ref="A477:A479"/>
    <mergeCell ref="A361:O363"/>
    <mergeCell ref="C178:C179"/>
    <mergeCell ref="A87:A89"/>
    <mergeCell ref="B705:B707"/>
    <mergeCell ref="C78:C79"/>
    <mergeCell ref="C718:C719"/>
    <mergeCell ref="B382:B384"/>
    <mergeCell ref="B238:B240"/>
    <mergeCell ref="B42:B44"/>
    <mergeCell ref="C699:C700"/>
    <mergeCell ref="A193:A195"/>
    <mergeCell ref="B229:B231"/>
    <mergeCell ref="B471:B473"/>
    <mergeCell ref="C307:C308"/>
    <mergeCell ref="B253:B255"/>
    <mergeCell ref="A376:A378"/>
    <mergeCell ref="B669:B671"/>
    <mergeCell ref="A397:A399"/>
    <mergeCell ref="A468:A470"/>
    <mergeCell ref="B6:B8"/>
    <mergeCell ref="B448:B450"/>
    <mergeCell ref="B304:B306"/>
    <mergeCell ref="B298:B300"/>
    <mergeCell ref="A630:A632"/>
    <mergeCell ref="B540:B542"/>
    <mergeCell ref="C325:C326"/>
    <mergeCell ref="A666:A668"/>
    <mergeCell ref="C33:C34"/>
    <mergeCell ref="A147:A149"/>
    <mergeCell ref="C340:C341"/>
    <mergeCell ref="A594:A605"/>
    <mergeCell ref="B477:B479"/>
    <mergeCell ref="A445:A447"/>
    <mergeCell ref="C196:C197"/>
    <mergeCell ref="C600:C601"/>
    <mergeCell ref="C394:C395"/>
    <mergeCell ref="B331:B333"/>
    <mergeCell ref="B184:B186"/>
    <mergeCell ref="C433:C434"/>
    <mergeCell ref="B159:B161"/>
    <mergeCell ref="A427:A429"/>
    <mergeCell ref="B268:B270"/>
    <mergeCell ref="B693:B695"/>
    <mergeCell ref="B96:B98"/>
    <mergeCell ref="B90:B92"/>
    <mergeCell ref="B630:B632"/>
    <mergeCell ref="A379:A381"/>
    <mergeCell ref="B27:B29"/>
    <mergeCell ref="A579:A593"/>
    <mergeCell ref="A66:A68"/>
    <mergeCell ref="A522:A524"/>
    <mergeCell ref="A516:A518"/>
    <mergeCell ref="A316:A318"/>
    <mergeCell ref="C15:C16"/>
    <mergeCell ref="C313:C314"/>
    <mergeCell ref="C555:C556"/>
    <mergeCell ref="A331:A333"/>
    <mergeCell ref="C549:C550"/>
    <mergeCell ref="B250:B252"/>
    <mergeCell ref="C30:C31"/>
    <mergeCell ref="C184:C185"/>
    <mergeCell ref="C657:C658"/>
    <mergeCell ref="C486:C487"/>
    <mergeCell ref="B187:B189"/>
    <mergeCell ref="B510:B512"/>
    <mergeCell ref="A72:A74"/>
    <mergeCell ref="B108:B110"/>
    <mergeCell ref="B546:B548"/>
    <mergeCell ref="B564:B566"/>
    <mergeCell ref="C615:C616"/>
    <mergeCell ref="B45:B47"/>
    <mergeCell ref="B343:B345"/>
    <mergeCell ref="C123:C124"/>
    <mergeCell ref="B256:B258"/>
    <mergeCell ref="A705:A707"/>
    <mergeCell ref="B612:B614"/>
    <mergeCell ref="A471:A473"/>
    <mergeCell ref="C105:C106"/>
    <mergeCell ref="C639:C640"/>
    <mergeCell ref="C439:C440"/>
    <mergeCell ref="C710:C711"/>
    <mergeCell ref="C328:C329"/>
    <mergeCell ref="C675:C676"/>
    <mergeCell ref="A669:A671"/>
    <mergeCell ref="A6:A8"/>
    <mergeCell ref="A448:A450"/>
    <mergeCell ref="A277:A279"/>
    <mergeCell ref="C199:C200"/>
    <mergeCell ref="A108:A110"/>
    <mergeCell ref="B259:B261"/>
    <mergeCell ref="B567:B569"/>
    <mergeCell ref="B681:B683"/>
    <mergeCell ref="B211:B213"/>
    <mergeCell ref="B162:B164"/>
    <mergeCell ref="B702:B704"/>
    <mergeCell ref="B696:B698"/>
    <mergeCell ref="B525:B527"/>
    <mergeCell ref="A651:A653"/>
    <mergeCell ref="B561:B563"/>
    <mergeCell ref="A451:A453"/>
    <mergeCell ref="B33:B35"/>
    <mergeCell ref="C54:C55"/>
    <mergeCell ref="A159:A161"/>
    <mergeCell ref="B633:B635"/>
    <mergeCell ref="B498:B500"/>
    <mergeCell ref="A693:A695"/>
    <mergeCell ref="A382:A384"/>
    <mergeCell ref="A96:A98"/>
    <mergeCell ref="B193:B195"/>
    <mergeCell ref="A403:A405"/>
    <mergeCell ref="C621:C622"/>
    <mergeCell ref="C129:C130"/>
    <mergeCell ref="B585:B587"/>
    <mergeCell ref="C400:C401"/>
    <mergeCell ref="C316:C317"/>
    <mergeCell ref="C120:C121"/>
    <mergeCell ref="C552:C553"/>
    <mergeCell ref="C454:C455"/>
    <mergeCell ref="B522:B524"/>
    <mergeCell ref="C60:C61"/>
    <mergeCell ref="C331:C332"/>
    <mergeCell ref="B117:B119"/>
    <mergeCell ref="C714:C715"/>
    <mergeCell ref="B111:B113"/>
    <mergeCell ref="B409:B411"/>
    <mergeCell ref="B651:B653"/>
    <mergeCell ref="B480:B482"/>
    <mergeCell ref="B328:B330"/>
    <mergeCell ref="A606:A608"/>
    <mergeCell ref="B48:B50"/>
    <mergeCell ref="B346:B348"/>
    <mergeCell ref="B175:B177"/>
    <mergeCell ref="A3:A5"/>
    <mergeCell ref="C126:C127"/>
    <mergeCell ref="B582:B584"/>
    <mergeCell ref="A301:A303"/>
    <mergeCell ref="A543:A545"/>
    <mergeCell ref="A537:A539"/>
    <mergeCell ref="C220:C221"/>
    <mergeCell ref="A18:A20"/>
    <mergeCell ref="C334:C335"/>
    <mergeCell ref="C570:C571"/>
    <mergeCell ref="C42:C43"/>
    <mergeCell ref="C642:C643"/>
    <mergeCell ref="C678:C679"/>
    <mergeCell ref="B648:B650"/>
    <mergeCell ref="A612:A614"/>
    <mergeCell ref="C507:C508"/>
    <mergeCell ref="A93:A95"/>
    <mergeCell ref="A111:A113"/>
    <mergeCell ref="B710:B711"/>
    <mergeCell ref="B406:B408"/>
    <mergeCell ref="B66:B68"/>
    <mergeCell ref="C546:C547"/>
    <mergeCell ref="C442:C443"/>
    <mergeCell ref="B277:B279"/>
    <mergeCell ref="B712:B713"/>
    <mergeCell ref="B295:B297"/>
    <mergeCell ref="B105:B107"/>
    <mergeCell ref="B214:B216"/>
    <mergeCell ref="A492:A494"/>
    <mergeCell ref="B639:B641"/>
    <mergeCell ref="A169:A171"/>
    <mergeCell ref="C660:C661"/>
    <mergeCell ref="C39:C40"/>
    <mergeCell ref="A690:A692"/>
    <mergeCell ref="A162:A164"/>
    <mergeCell ref="C355:C356"/>
    <mergeCell ref="A702:A704"/>
    <mergeCell ref="A531:A533"/>
    <mergeCell ref="C391:C392"/>
    <mergeCell ref="C468:C469"/>
    <mergeCell ref="A406:A408"/>
    <mergeCell ref="A235:A237"/>
    <mergeCell ref="B132:B134"/>
    <mergeCell ref="B430:B432"/>
    <mergeCell ref="B588:B590"/>
    <mergeCell ref="C259:C260"/>
    <mergeCell ref="C666:C667"/>
    <mergeCell ref="C495:C496"/>
    <mergeCell ref="B196:B198"/>
    <mergeCell ref="A322:A324"/>
    <mergeCell ref="A558:A560"/>
    <mergeCell ref="B54:B56"/>
    <mergeCell ref="B418:B420"/>
    <mergeCell ref="B114:B116"/>
    <mergeCell ref="C75:C76"/>
    <mergeCell ref="B654:B656"/>
    <mergeCell ref="B483:B485"/>
    <mergeCell ref="B464:B465"/>
    <mergeCell ref="A609:A611"/>
    <mergeCell ref="C561:C562"/>
    <mergeCell ref="A117:A119"/>
    <mergeCell ref="A304:A306"/>
    <mergeCell ref="A546:A548"/>
    <mergeCell ref="A480:A482"/>
    <mergeCell ref="C223:C224"/>
    <mergeCell ref="A328:A330"/>
    <mergeCell ref="A132:A134"/>
    <mergeCell ref="A325:A327"/>
    <mergeCell ref="A430:A432"/>
    <mergeCell ref="A48:A50"/>
    <mergeCell ref="A319:A321"/>
    <mergeCell ref="A561:A563"/>
    <mergeCell ref="C337:C338"/>
    <mergeCell ref="C573:C574"/>
    <mergeCell ref="B445:B447"/>
    <mergeCell ref="C585:C586"/>
    <mergeCell ref="C81:C82"/>
    <mergeCell ref="C352:C353"/>
    <mergeCell ref="B18:B20"/>
    <mergeCell ref="A394:A396"/>
    <mergeCell ref="B672:B674"/>
    <mergeCell ref="B9:B11"/>
    <mergeCell ref="A208:A210"/>
    <mergeCell ref="B69:B71"/>
    <mergeCell ref="B367:B369"/>
    <mergeCell ref="B603:B605"/>
    <mergeCell ref="C445:C446"/>
    <mergeCell ref="A710:A711"/>
    <mergeCell ref="A495:A497"/>
    <mergeCell ref="C63:C64"/>
    <mergeCell ref="A712:A713"/>
    <mergeCell ref="A274:A276"/>
    <mergeCell ref="C663:C664"/>
    <mergeCell ref="B123:B125"/>
    <mergeCell ref="A633:A635"/>
    <mergeCell ref="C705:C706"/>
    <mergeCell ref="A534:A536"/>
    <mergeCell ref="C211:C212"/>
    <mergeCell ref="A15:A17"/>
    <mergeCell ref="B489:B491"/>
    <mergeCell ref="A549:A551"/>
    <mergeCell ref="C471:C472"/>
    <mergeCell ref="B141:B143"/>
    <mergeCell ref="B135:B137"/>
    <mergeCell ref="B433:B435"/>
    <mergeCell ref="B504:B506"/>
    <mergeCell ref="B531:B533"/>
    <mergeCell ref="C66:C67"/>
    <mergeCell ref="B12:B14"/>
    <mergeCell ref="B322:B324"/>
    <mergeCell ref="B72:B74"/>
    <mergeCell ref="C669:C670"/>
    <mergeCell ref="C498:C499"/>
    <mergeCell ref="B199:B201"/>
    <mergeCell ref="B235:B237"/>
    <mergeCell ref="B660:B662"/>
    <mergeCell ref="A196:A198"/>
    <mergeCell ref="B57:B59"/>
    <mergeCell ref="A498:A500"/>
    <mergeCell ref="B597:B599"/>
    <mergeCell ref="B657:B659"/>
    <mergeCell ref="B364:B366"/>
    <mergeCell ref="C618:C619"/>
    <mergeCell ref="B436:B438"/>
    <mergeCell ref="C397:C398"/>
    <mergeCell ref="A418:A420"/>
    <mergeCell ref="A489:A491"/>
    <mergeCell ref="A654:A656"/>
    <mergeCell ref="A483:A485"/>
    <mergeCell ref="A135:A137"/>
    <mergeCell ref="C712:C713"/>
    <mergeCell ref="B609:B611"/>
    <mergeCell ref="A433:A435"/>
    <mergeCell ref="C451:C452"/>
    <mergeCell ref="C687:C688"/>
    <mergeCell ref="B388:B390"/>
    <mergeCell ref="B217:B219"/>
    <mergeCell ref="A199:A201"/>
    <mergeCell ref="C382:C383"/>
    <mergeCell ref="B714:B715"/>
    <mergeCell ref="C624:C625"/>
    <mergeCell ref="B325:B327"/>
    <mergeCell ref="B319:B321"/>
    <mergeCell ref="A280:A282"/>
    <mergeCell ref="B439:B441"/>
    <mergeCell ref="B675:B677"/>
    <mergeCell ref="B716:B717"/>
    <mergeCell ref="B156:B158"/>
    <mergeCell ref="A211:A213"/>
    <mergeCell ref="B370:B372"/>
    <mergeCell ref="A138:A140"/>
    <mergeCell ref="A567:A569"/>
    <mergeCell ref="A672:A674"/>
    <mergeCell ref="A51:A53"/>
    <mergeCell ref="C415:C416"/>
    <mergeCell ref="B385:B387"/>
    <mergeCell ref="A349:A351"/>
    <mergeCell ref="C244:C245"/>
    <mergeCell ref="A346:A348"/>
    <mergeCell ref="A153:A155"/>
    <mergeCell ref="A69:A71"/>
    <mergeCell ref="A340:A342"/>
    <mergeCell ref="A367:A369"/>
    <mergeCell ref="A54:A56"/>
    <mergeCell ref="C181:C182"/>
    <mergeCell ref="C606:C607"/>
    <mergeCell ref="C102:C103"/>
    <mergeCell ref="C87:C88"/>
    <mergeCell ref="C3:C4"/>
    <mergeCell ref="C543:C544"/>
    <mergeCell ref="C310:C311"/>
    <mergeCell ref="A415:A417"/>
    <mergeCell ref="C18:C19"/>
    <mergeCell ref="B274:B276"/>
    <mergeCell ref="C558:C559"/>
    <mergeCell ref="B78:B80"/>
    <mergeCell ref="B376:B378"/>
    <mergeCell ref="B534:B536"/>
    <mergeCell ref="B15:B17"/>
    <mergeCell ref="A718:A719"/>
    <mergeCell ref="B373:B375"/>
    <mergeCell ref="B129:B131"/>
    <mergeCell ref="A504:A506"/>
    <mergeCell ref="B663:B665"/>
    <mergeCell ref="A295:A297"/>
    <mergeCell ref="C684:C685"/>
    <mergeCell ref="B144:B146"/>
    <mergeCell ref="B442:B444"/>
    <mergeCell ref="C21:C22"/>
    <mergeCell ref="B600:B602"/>
    <mergeCell ref="A555:A557"/>
    <mergeCell ref="A244:A267"/>
    <mergeCell ref="C238:C239"/>
    <mergeCell ref="A36:A38"/>
    <mergeCell ref="C474:C475"/>
    <mergeCell ref="A334:A336"/>
    <mergeCell ref="A30:A32"/>
    <mergeCell ref="A570:A572"/>
    <mergeCell ref="C492:C493"/>
    <mergeCell ref="A486:A488"/>
    <mergeCell ref="A364:A366"/>
    <mergeCell ref="B454:B456"/>
    <mergeCell ref="B93:B95"/>
    <mergeCell ref="C690:C691"/>
    <mergeCell ref="C519:C520"/>
    <mergeCell ref="B391:B393"/>
    <mergeCell ref="B220:B222"/>
    <mergeCell ref="B247:B249"/>
    <mergeCell ref="C298:C299"/>
    <mergeCell ref="B262:B264"/>
    <mergeCell ref="A90:A92"/>
    <mergeCell ref="A283:A285"/>
    <mergeCell ref="C406:C407"/>
    <mergeCell ref="A388:A390"/>
    <mergeCell ref="C235:C236"/>
    <mergeCell ref="A519:A521"/>
    <mergeCell ref="B618:B620"/>
    <mergeCell ref="B678:B680"/>
    <mergeCell ref="A27:A29"/>
    <mergeCell ref="B457:B459"/>
    <mergeCell ref="C421:C422"/>
    <mergeCell ref="B313:B315"/>
    <mergeCell ref="A141:A143"/>
    <mergeCell ref="B549:B551"/>
    <mergeCell ref="A439:A441"/>
    <mergeCell ref="A681:A683"/>
    <mergeCell ref="A510:A512"/>
    <mergeCell ref="A675:A677"/>
    <mergeCell ref="B30:B32"/>
    <mergeCell ref="C187:C188"/>
    <mergeCell ref="A156:A158"/>
    <mergeCell ref="C716:C717"/>
    <mergeCell ref="B486:B488"/>
    <mergeCell ref="A714:A715"/>
    <mergeCell ref="C672:C673"/>
    <mergeCell ref="A454:A456"/>
    <mergeCell ref="A708:A709"/>
    <mergeCell ref="C708:C709"/>
    <mergeCell ref="C9:C10"/>
    <mergeCell ref="A391:A393"/>
    <mergeCell ref="C609:C610"/>
    <mergeCell ref="C403:C404"/>
    <mergeCell ref="C645:C646"/>
    <mergeCell ref="C90:C91"/>
    <mergeCell ref="C117:C118"/>
    <mergeCell ref="C388:C389"/>
    <mergeCell ref="B340:B342"/>
    <mergeCell ref="A9:A11"/>
    <mergeCell ref="A232:A234"/>
    <mergeCell ref="B81:B83"/>
    <mergeCell ref="B615:B617"/>
    <mergeCell ref="A576:A578"/>
    <mergeCell ref="B468:B470"/>
    <mergeCell ref="A460:O462"/>
    <mergeCell ref="A78:A80"/>
    <mergeCell ref="A271:A273"/>
    <mergeCell ref="B181:B183"/>
    <mergeCell ref="A75:A77"/>
    <mergeCell ref="A507:A509"/>
    <mergeCell ref="B172:B174"/>
    <mergeCell ref="C627:C628"/>
    <mergeCell ref="A298:A300"/>
    <mergeCell ref="B147:B149"/>
    <mergeCell ref="C108:C109"/>
    <mergeCell ref="C24:C25"/>
    <mergeCell ref="A129:A131"/>
    <mergeCell ref="C322:C323"/>
    <mergeCell ref="C564:C565"/>
    <mergeCell ref="A436:A4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kwikpatch</dc:creator>
  <dcterms:created xmlns:dcterms="http://purl.org/dc/terms/" xmlns:xsi="http://www.w3.org/2001/XMLSchema-instance" xsi:type="dcterms:W3CDTF">2026-08-06T07:12:34Z</dcterms:created>
  <dcterms:modified xmlns:dcterms="http://purl.org/dc/terms/" xmlns:xsi="http://www.w3.org/2001/XMLSchema-instance" xsi:type="dcterms:W3CDTF">2026-08-31T05:52:19Z</dcterms:modified>
  <cp:lastModifiedBy>kwikpatch</cp:lastModifiedBy>
</cp:coreProperties>
</file>